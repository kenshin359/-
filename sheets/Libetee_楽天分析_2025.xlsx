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データ" sheetId="1" state="visible" r:id="rId1"/>
    <sheet name="月次トレンド" sheetId="2" state="visible" r:id="rId2"/>
    <sheet name="イベント効果" sheetId="3" state="visible" r:id="rId3"/>
    <sheet name="曜日別" sheetId="4" state="visible" r:id="rId4"/>
    <sheet name="予想" sheetId="5" state="visible" r:id="rId5"/>
    <sheet name="読み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/mm/dd"/>
    <numFmt numFmtId="166" formatCode="¥#,##0"/>
    <numFmt numFmtId="167" formatCode="0.00&quot;%&quot;"/>
    <numFmt numFmtId="168" formatCode="0.0%"/>
    <numFmt numFmtId="169" formatCode="0.00&quot;x&quot;"/>
    <numFmt numFmtId="170" formatCode="+0%;-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000000"/>
    </font>
    <font>
      <name val="Arial"/>
      <color rgb="00008000"/>
    </font>
    <font>
      <name val="Arial"/>
      <b val="1"/>
    </font>
    <font>
      <name val="Arial"/>
      <i val="1"/>
      <color rgb="00555555"/>
      <sz val="9"/>
    </font>
    <font>
      <name val="Arial"/>
      <color rgb="000000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7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3" fillId="0" borderId="1" pivotButton="0" quotePrefix="0" xfId="0"/>
    <xf numFmtId="0" fontId="3" fillId="0" borderId="1" pivotButton="0" quotePrefix="0" xfId="0"/>
    <xf numFmtId="166" fontId="3" fillId="0" borderId="1" pivotButton="0" quotePrefix="0" xfId="0"/>
    <xf numFmtId="3" fontId="3" fillId="0" borderId="1" pivotButton="0" quotePrefix="0" xfId="0"/>
    <xf numFmtId="167" fontId="3" fillId="0" borderId="1" pivotButton="0" quotePrefix="0" xfId="0"/>
    <xf numFmtId="0" fontId="4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168" fontId="0" fillId="0" borderId="1" pivotButton="0" quotePrefix="0" xfId="0"/>
    <xf numFmtId="0" fontId="5" fillId="3" borderId="1" pivotButton="0" quotePrefix="0" xfId="0"/>
    <xf numFmtId="166" fontId="5" fillId="3" borderId="1" pivotButton="0" quotePrefix="0" xfId="0"/>
    <xf numFmtId="3" fontId="5" fillId="3" borderId="1" pivotButton="0" quotePrefix="0" xfId="0"/>
    <xf numFmtId="0" fontId="6" fillId="0" borderId="0" pivotButton="0" quotePrefix="0" xfId="0"/>
    <xf numFmtId="0" fontId="5" fillId="0" borderId="1" pivotButton="0" quotePrefix="0" xfId="0"/>
    <xf numFmtId="169" fontId="3" fillId="0" borderId="1" pivotButton="0" quotePrefix="0" xfId="0"/>
    <xf numFmtId="170" fontId="3" fillId="0" borderId="1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4" borderId="1" pivotButton="0" quotePrefix="0" xfId="0"/>
    <xf numFmtId="169" fontId="0" fillId="0" borderId="1" pivotButton="0" quotePrefix="0" xfId="0"/>
    <xf numFmtId="166" fontId="0" fillId="5" borderId="1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3" customWidth="1" min="4" max="4"/>
    <col width="9" customWidth="1" min="5" max="5"/>
    <col width="12" customWidth="1" min="6" max="6"/>
    <col width="9" customWidth="1" min="7" max="7"/>
    <col width="11" customWidth="1" min="8" max="8"/>
  </cols>
  <sheetData>
    <row r="1">
      <c r="A1" s="1" t="inlineStr">
        <is>
          <t>楽天 日次データ（2025年7〜11月・実績）</t>
        </is>
      </c>
    </row>
    <row r="3">
      <c r="A3" s="2" t="inlineStr">
        <is>
          <t>日付</t>
        </is>
      </c>
      <c r="B3" s="2" t="inlineStr">
        <is>
          <t>曜日</t>
        </is>
      </c>
      <c r="C3" s="2" t="inlineStr">
        <is>
          <t>イベント種別</t>
        </is>
      </c>
      <c r="D3" s="2" t="inlineStr">
        <is>
          <t>売上金額</t>
        </is>
      </c>
      <c r="E3" s="2" t="inlineStr">
        <is>
          <t>売上件数</t>
        </is>
      </c>
      <c r="F3" s="2" t="inlineStr">
        <is>
          <t>アクセス人数</t>
        </is>
      </c>
      <c r="G3" s="2" t="inlineStr">
        <is>
          <t>転換率</t>
        </is>
      </c>
      <c r="H3" s="2" t="inlineStr">
        <is>
          <t>客単価</t>
        </is>
      </c>
    </row>
    <row r="4">
      <c r="A4" s="3" t="n">
        <v>45839</v>
      </c>
      <c r="B4" s="4" t="inlineStr">
        <is>
          <t>火</t>
        </is>
      </c>
      <c r="C4" s="4" t="inlineStr">
        <is>
          <t>ワンダフルデー</t>
        </is>
      </c>
      <c r="D4" s="5" t="n">
        <v>1313728</v>
      </c>
      <c r="E4" s="6" t="n">
        <v>215</v>
      </c>
      <c r="F4" s="6" t="n">
        <v>14565</v>
      </c>
      <c r="G4" s="7" t="n">
        <v>1.48</v>
      </c>
      <c r="H4" s="5" t="n">
        <v>6110</v>
      </c>
    </row>
    <row r="5">
      <c r="A5" s="3" t="n">
        <v>45840</v>
      </c>
      <c r="B5" s="4" t="inlineStr">
        <is>
          <t>水</t>
        </is>
      </c>
      <c r="C5" s="4" t="inlineStr">
        <is>
          <t>平常</t>
        </is>
      </c>
      <c r="D5" s="5" t="n">
        <v>1070304</v>
      </c>
      <c r="E5" s="6" t="n">
        <v>171</v>
      </c>
      <c r="F5" s="6" t="n">
        <v>14362</v>
      </c>
      <c r="G5" s="7" t="n">
        <v>1.19</v>
      </c>
      <c r="H5" s="5" t="n">
        <v>6259</v>
      </c>
    </row>
    <row r="6">
      <c r="A6" s="3" t="n">
        <v>45841</v>
      </c>
      <c r="B6" s="4" t="inlineStr">
        <is>
          <t>木</t>
        </is>
      </c>
      <c r="C6" s="4" t="inlineStr">
        <is>
          <t>平常</t>
        </is>
      </c>
      <c r="D6" s="5" t="n">
        <v>731595</v>
      </c>
      <c r="E6" s="6" t="n">
        <v>112</v>
      </c>
      <c r="F6" s="6" t="n">
        <v>12014</v>
      </c>
      <c r="G6" s="7" t="n">
        <v>0.93</v>
      </c>
      <c r="H6" s="5" t="n">
        <v>6532</v>
      </c>
    </row>
    <row r="7">
      <c r="A7" s="3" t="n">
        <v>45842</v>
      </c>
      <c r="B7" s="4" t="inlineStr">
        <is>
          <t>金</t>
        </is>
      </c>
      <c r="C7" s="4" t="inlineStr">
        <is>
          <t>平常</t>
        </is>
      </c>
      <c r="D7" s="5" t="n">
        <v>862029</v>
      </c>
      <c r="E7" s="6" t="n">
        <v>109</v>
      </c>
      <c r="F7" s="6" t="n">
        <v>9718</v>
      </c>
      <c r="G7" s="7" t="n">
        <v>1.12</v>
      </c>
      <c r="H7" s="5" t="n">
        <v>7909</v>
      </c>
    </row>
    <row r="8">
      <c r="A8" s="3" t="n">
        <v>45843</v>
      </c>
      <c r="B8" s="4" t="inlineStr">
        <is>
          <t>土</t>
        </is>
      </c>
      <c r="C8" s="4" t="inlineStr">
        <is>
          <t>5と0のつく日</t>
        </is>
      </c>
      <c r="D8" s="5" t="n">
        <v>2668411</v>
      </c>
      <c r="E8" s="6" t="n">
        <v>227</v>
      </c>
      <c r="F8" s="6" t="n">
        <v>8538</v>
      </c>
      <c r="G8" s="7" t="n">
        <v>2.66</v>
      </c>
      <c r="H8" s="5" t="n">
        <v>11755</v>
      </c>
    </row>
    <row r="9">
      <c r="A9" s="3" t="n">
        <v>45844</v>
      </c>
      <c r="B9" s="4" t="inlineStr">
        <is>
          <t>日</t>
        </is>
      </c>
      <c r="C9" s="4" t="inlineStr">
        <is>
          <t>平常</t>
        </is>
      </c>
      <c r="D9" s="5" t="n">
        <v>1743205</v>
      </c>
      <c r="E9" s="6" t="n">
        <v>192</v>
      </c>
      <c r="F9" s="6" t="n">
        <v>10158</v>
      </c>
      <c r="G9" s="7" t="n">
        <v>1.89</v>
      </c>
      <c r="H9" s="5" t="n">
        <v>9079</v>
      </c>
    </row>
    <row r="10">
      <c r="A10" s="3" t="n">
        <v>45845</v>
      </c>
      <c r="B10" s="4" t="inlineStr">
        <is>
          <t>月</t>
        </is>
      </c>
      <c r="C10" s="4" t="inlineStr">
        <is>
          <t>平常</t>
        </is>
      </c>
      <c r="D10" s="5" t="n">
        <v>1092182</v>
      </c>
      <c r="E10" s="6" t="n">
        <v>135</v>
      </c>
      <c r="F10" s="6" t="n">
        <v>9216</v>
      </c>
      <c r="G10" s="7" t="n">
        <v>1.46</v>
      </c>
      <c r="H10" s="5" t="n">
        <v>8090</v>
      </c>
    </row>
    <row r="11">
      <c r="A11" s="3" t="n">
        <v>45846</v>
      </c>
      <c r="B11" s="4" t="inlineStr">
        <is>
          <t>火</t>
        </is>
      </c>
      <c r="C11" s="4" t="inlineStr">
        <is>
          <t>平常</t>
        </is>
      </c>
      <c r="D11" s="5" t="n">
        <v>879211</v>
      </c>
      <c r="E11" s="6" t="n">
        <v>105</v>
      </c>
      <c r="F11" s="6" t="n">
        <v>8496</v>
      </c>
      <c r="G11" s="7" t="n">
        <v>1.24</v>
      </c>
      <c r="H11" s="5" t="n">
        <v>8373</v>
      </c>
    </row>
    <row r="12">
      <c r="A12" s="3" t="n">
        <v>45847</v>
      </c>
      <c r="B12" s="4" t="inlineStr">
        <is>
          <t>水</t>
        </is>
      </c>
      <c r="C12" s="4" t="inlineStr">
        <is>
          <t>平常</t>
        </is>
      </c>
      <c r="D12" s="5" t="n">
        <v>631398</v>
      </c>
      <c r="E12" s="6" t="n">
        <v>76</v>
      </c>
      <c r="F12" s="6" t="n">
        <v>7791</v>
      </c>
      <c r="G12" s="7" t="n">
        <v>0.98</v>
      </c>
      <c r="H12" s="5" t="n">
        <v>8308</v>
      </c>
    </row>
    <row r="13">
      <c r="A13" s="3" t="n">
        <v>45848</v>
      </c>
      <c r="B13" s="4" t="inlineStr">
        <is>
          <t>木</t>
        </is>
      </c>
      <c r="C13" s="4" t="inlineStr">
        <is>
          <t>5と0のつく日</t>
        </is>
      </c>
      <c r="D13" s="5" t="n">
        <v>1717517</v>
      </c>
      <c r="E13" s="6" t="n">
        <v>132</v>
      </c>
      <c r="F13" s="6" t="n">
        <v>7892</v>
      </c>
      <c r="G13" s="7" t="n">
        <v>1.67</v>
      </c>
      <c r="H13" s="5" t="n">
        <v>13011</v>
      </c>
    </row>
    <row r="14">
      <c r="A14" s="3" t="n">
        <v>45849</v>
      </c>
      <c r="B14" s="4" t="inlineStr">
        <is>
          <t>金</t>
        </is>
      </c>
      <c r="C14" s="4" t="inlineStr">
        <is>
          <t>平常</t>
        </is>
      </c>
      <c r="D14" s="5" t="n">
        <v>476237</v>
      </c>
      <c r="E14" s="6" t="n">
        <v>68</v>
      </c>
      <c r="F14" s="6" t="n">
        <v>7788</v>
      </c>
      <c r="G14" s="7" t="n">
        <v>0.87</v>
      </c>
      <c r="H14" s="5" t="n">
        <v>7003</v>
      </c>
    </row>
    <row r="15">
      <c r="A15" s="3" t="n">
        <v>45850</v>
      </c>
      <c r="B15" s="4" t="inlineStr">
        <is>
          <t>土</t>
        </is>
      </c>
      <c r="C15" s="4" t="inlineStr">
        <is>
          <t>平常</t>
        </is>
      </c>
      <c r="D15" s="5" t="n">
        <v>581819</v>
      </c>
      <c r="E15" s="6" t="n">
        <v>49</v>
      </c>
      <c r="F15" s="6" t="n">
        <v>9043</v>
      </c>
      <c r="G15" s="7" t="n">
        <v>0.54</v>
      </c>
      <c r="H15" s="5" t="n">
        <v>11874</v>
      </c>
    </row>
    <row r="16">
      <c r="A16" s="3" t="n">
        <v>45851</v>
      </c>
      <c r="B16" s="4" t="inlineStr">
        <is>
          <t>日</t>
        </is>
      </c>
      <c r="C16" s="4" t="inlineStr">
        <is>
          <t>平常</t>
        </is>
      </c>
      <c r="D16" s="5" t="n">
        <v>1059989</v>
      </c>
      <c r="E16" s="6" t="n">
        <v>66</v>
      </c>
      <c r="F16" s="6" t="n">
        <v>6540</v>
      </c>
      <c r="G16" s="7" t="n">
        <v>1.01</v>
      </c>
      <c r="H16" s="5" t="n">
        <v>16060</v>
      </c>
    </row>
    <row r="17">
      <c r="A17" s="3" t="n">
        <v>45852</v>
      </c>
      <c r="B17" s="4" t="inlineStr">
        <is>
          <t>月</t>
        </is>
      </c>
      <c r="C17" s="4" t="inlineStr">
        <is>
          <t>平常</t>
        </is>
      </c>
      <c r="D17" s="5" t="n">
        <v>586704</v>
      </c>
      <c r="E17" s="6" t="n">
        <v>34</v>
      </c>
      <c r="F17" s="6" t="n">
        <v>5522</v>
      </c>
      <c r="G17" s="7" t="n">
        <v>0.62</v>
      </c>
      <c r="H17" s="5" t="n">
        <v>17256</v>
      </c>
    </row>
    <row r="18">
      <c r="A18" s="3" t="n">
        <v>45853</v>
      </c>
      <c r="B18" s="4" t="inlineStr">
        <is>
          <t>火</t>
        </is>
      </c>
      <c r="C18" s="4" t="inlineStr">
        <is>
          <t>5と0のつく日</t>
        </is>
      </c>
      <c r="D18" s="5" t="n">
        <v>974687</v>
      </c>
      <c r="E18" s="6" t="n">
        <v>58</v>
      </c>
      <c r="F18" s="6" t="n">
        <v>5031</v>
      </c>
      <c r="G18" s="7" t="n">
        <v>1.15</v>
      </c>
      <c r="H18" s="5" t="n">
        <v>16805</v>
      </c>
    </row>
    <row r="19">
      <c r="A19" s="3" t="n">
        <v>45854</v>
      </c>
      <c r="B19" s="4" t="inlineStr">
        <is>
          <t>水</t>
        </is>
      </c>
      <c r="C19" s="4" t="inlineStr">
        <is>
          <t>平常</t>
        </is>
      </c>
      <c r="D19" s="5" t="n">
        <v>628771</v>
      </c>
      <c r="E19" s="6" t="n">
        <v>36</v>
      </c>
      <c r="F19" s="6" t="n">
        <v>5037</v>
      </c>
      <c r="G19" s="7" t="n">
        <v>0.71</v>
      </c>
      <c r="H19" s="5" t="n">
        <v>17466</v>
      </c>
    </row>
    <row r="20">
      <c r="A20" s="3" t="n">
        <v>45855</v>
      </c>
      <c r="B20" s="4" t="inlineStr">
        <is>
          <t>木</t>
        </is>
      </c>
      <c r="C20" s="4" t="inlineStr">
        <is>
          <t>平常</t>
        </is>
      </c>
      <c r="D20" s="5" t="n">
        <v>395945</v>
      </c>
      <c r="E20" s="6" t="n">
        <v>27</v>
      </c>
      <c r="F20" s="6" t="n">
        <v>8733</v>
      </c>
      <c r="G20" s="7" t="n">
        <v>0.31</v>
      </c>
      <c r="H20" s="5" t="n">
        <v>14665</v>
      </c>
    </row>
    <row r="21">
      <c r="A21" s="3" t="n">
        <v>45856</v>
      </c>
      <c r="B21" s="4" t="inlineStr">
        <is>
          <t>金</t>
        </is>
      </c>
      <c r="C21" s="4" t="inlineStr">
        <is>
          <t>平常</t>
        </is>
      </c>
      <c r="D21" s="5" t="n">
        <v>593346</v>
      </c>
      <c r="E21" s="6" t="n">
        <v>25</v>
      </c>
      <c r="F21" s="6" t="n">
        <v>10823</v>
      </c>
      <c r="G21" s="7" t="n">
        <v>0.23</v>
      </c>
      <c r="H21" s="5" t="n">
        <v>23734</v>
      </c>
    </row>
    <row r="22">
      <c r="A22" s="3" t="n">
        <v>45857</v>
      </c>
      <c r="B22" s="4" t="inlineStr">
        <is>
          <t>土</t>
        </is>
      </c>
      <c r="C22" s="4" t="inlineStr">
        <is>
          <t>平常</t>
        </is>
      </c>
      <c r="D22" s="5" t="n">
        <v>550216</v>
      </c>
      <c r="E22" s="6" t="n">
        <v>29</v>
      </c>
      <c r="F22" s="6" t="n">
        <v>9483</v>
      </c>
      <c r="G22" s="7" t="n">
        <v>0.31</v>
      </c>
      <c r="H22" s="5" t="n">
        <v>18973</v>
      </c>
    </row>
    <row r="23">
      <c r="A23" s="3" t="n">
        <v>45858</v>
      </c>
      <c r="B23" s="4" t="inlineStr">
        <is>
          <t>日</t>
        </is>
      </c>
      <c r="C23" s="4" t="inlineStr">
        <is>
          <t>5と0のつく日</t>
        </is>
      </c>
      <c r="D23" s="5" t="n">
        <v>1673625</v>
      </c>
      <c r="E23" s="6" t="n">
        <v>88</v>
      </c>
      <c r="F23" s="6" t="n">
        <v>10182</v>
      </c>
      <c r="G23" s="7" t="n">
        <v>0.86</v>
      </c>
      <c r="H23" s="5" t="n">
        <v>19018</v>
      </c>
    </row>
    <row r="24">
      <c r="A24" s="3" t="n">
        <v>45859</v>
      </c>
      <c r="B24" s="4" t="inlineStr">
        <is>
          <t>月</t>
        </is>
      </c>
      <c r="C24" s="4" t="inlineStr">
        <is>
          <t>平常</t>
        </is>
      </c>
      <c r="D24" s="5" t="n">
        <v>751240</v>
      </c>
      <c r="E24" s="6" t="n">
        <v>43</v>
      </c>
      <c r="F24" s="6" t="n">
        <v>10540</v>
      </c>
      <c r="G24" s="7" t="n">
        <v>0.41</v>
      </c>
      <c r="H24" s="5" t="n">
        <v>17471</v>
      </c>
    </row>
    <row r="25">
      <c r="A25" s="3" t="n">
        <v>45860</v>
      </c>
      <c r="B25" s="4" t="inlineStr">
        <is>
          <t>火</t>
        </is>
      </c>
      <c r="C25" s="4" t="inlineStr">
        <is>
          <t>平常</t>
        </is>
      </c>
      <c r="D25" s="5" t="n">
        <v>573170</v>
      </c>
      <c r="E25" s="6" t="n">
        <v>35</v>
      </c>
      <c r="F25" s="6" t="n">
        <v>9403</v>
      </c>
      <c r="G25" s="7" t="n">
        <v>0.37</v>
      </c>
      <c r="H25" s="5" t="n">
        <v>16376</v>
      </c>
    </row>
    <row r="26">
      <c r="A26" s="3" t="n">
        <v>45861</v>
      </c>
      <c r="B26" s="4" t="inlineStr">
        <is>
          <t>水</t>
        </is>
      </c>
      <c r="C26" s="4" t="inlineStr">
        <is>
          <t>平常</t>
        </is>
      </c>
      <c r="D26" s="5" t="n">
        <v>661901</v>
      </c>
      <c r="E26" s="6" t="n">
        <v>44</v>
      </c>
      <c r="F26" s="6" t="n">
        <v>10285</v>
      </c>
      <c r="G26" s="7" t="n">
        <v>0.43</v>
      </c>
      <c r="H26" s="5" t="n">
        <v>15043</v>
      </c>
    </row>
    <row r="27">
      <c r="A27" s="3" t="n">
        <v>45862</v>
      </c>
      <c r="B27" s="4" t="inlineStr">
        <is>
          <t>木</t>
        </is>
      </c>
      <c r="C27" s="4" t="inlineStr">
        <is>
          <t>平常</t>
        </is>
      </c>
      <c r="D27" s="5" t="n">
        <v>733413</v>
      </c>
      <c r="E27" s="6" t="n">
        <v>53</v>
      </c>
      <c r="F27" s="6" t="n">
        <v>9831</v>
      </c>
      <c r="G27" s="7" t="n">
        <v>0.54</v>
      </c>
      <c r="H27" s="5" t="n">
        <v>13838</v>
      </c>
    </row>
    <row r="28">
      <c r="A28" s="3" t="n">
        <v>45863</v>
      </c>
      <c r="B28" s="4" t="inlineStr">
        <is>
          <t>金</t>
        </is>
      </c>
      <c r="C28" s="4" t="inlineStr">
        <is>
          <t>5と0のつく日</t>
        </is>
      </c>
      <c r="D28" s="5" t="n">
        <v>1412288</v>
      </c>
      <c r="E28" s="6" t="n">
        <v>79</v>
      </c>
      <c r="F28" s="6" t="n">
        <v>10018</v>
      </c>
      <c r="G28" s="7" t="n">
        <v>0.79</v>
      </c>
      <c r="H28" s="5" t="n">
        <v>17877</v>
      </c>
    </row>
    <row r="29">
      <c r="A29" s="3" t="n">
        <v>45864</v>
      </c>
      <c r="B29" s="4" t="inlineStr">
        <is>
          <t>土</t>
        </is>
      </c>
      <c r="C29" s="4" t="inlineStr">
        <is>
          <t>平常</t>
        </is>
      </c>
      <c r="D29" s="5" t="n">
        <v>760967</v>
      </c>
      <c r="E29" s="6" t="n">
        <v>49</v>
      </c>
      <c r="F29" s="6" t="n">
        <v>8009</v>
      </c>
      <c r="G29" s="7" t="n">
        <v>0.61</v>
      </c>
      <c r="H29" s="5" t="n">
        <v>15530</v>
      </c>
    </row>
    <row r="30">
      <c r="A30" s="3" t="n">
        <v>45865</v>
      </c>
      <c r="B30" s="4" t="inlineStr">
        <is>
          <t>日</t>
        </is>
      </c>
      <c r="C30" s="4" t="inlineStr">
        <is>
          <t>平常</t>
        </is>
      </c>
      <c r="D30" s="5" t="n">
        <v>1130257</v>
      </c>
      <c r="E30" s="6" t="n">
        <v>63</v>
      </c>
      <c r="F30" s="6" t="n">
        <v>8003</v>
      </c>
      <c r="G30" s="7" t="n">
        <v>0.79</v>
      </c>
      <c r="H30" s="5" t="n">
        <v>17941</v>
      </c>
    </row>
    <row r="31">
      <c r="A31" s="3" t="n">
        <v>45866</v>
      </c>
      <c r="B31" s="4" t="inlineStr">
        <is>
          <t>月</t>
        </is>
      </c>
      <c r="C31" s="4" t="inlineStr">
        <is>
          <t>平常</t>
        </is>
      </c>
      <c r="D31" s="5" t="n">
        <v>493300</v>
      </c>
      <c r="E31" s="6" t="n">
        <v>35</v>
      </c>
      <c r="F31" s="6" t="n">
        <v>7241</v>
      </c>
      <c r="G31" s="7" t="n">
        <v>0.48</v>
      </c>
      <c r="H31" s="5" t="n">
        <v>14094</v>
      </c>
    </row>
    <row r="32">
      <c r="A32" s="3" t="n">
        <v>45867</v>
      </c>
      <c r="B32" s="4" t="inlineStr">
        <is>
          <t>火</t>
        </is>
      </c>
      <c r="C32" s="4" t="inlineStr">
        <is>
          <t>平常</t>
        </is>
      </c>
      <c r="D32" s="5" t="n">
        <v>666122</v>
      </c>
      <c r="E32" s="6" t="n">
        <v>38</v>
      </c>
      <c r="F32" s="6" t="n">
        <v>5438</v>
      </c>
      <c r="G32" s="7" t="n">
        <v>0.7</v>
      </c>
      <c r="H32" s="5" t="n">
        <v>17530</v>
      </c>
    </row>
    <row r="33">
      <c r="A33" s="3" t="n">
        <v>45868</v>
      </c>
      <c r="B33" s="4" t="inlineStr">
        <is>
          <t>水</t>
        </is>
      </c>
      <c r="C33" s="4" t="inlineStr">
        <is>
          <t>5と0のつく日</t>
        </is>
      </c>
      <c r="D33" s="5" t="n">
        <v>1019265</v>
      </c>
      <c r="E33" s="6" t="n">
        <v>49</v>
      </c>
      <c r="F33" s="6" t="n">
        <v>4445</v>
      </c>
      <c r="G33" s="7" t="n">
        <v>1.1</v>
      </c>
      <c r="H33" s="5" t="n">
        <v>20801</v>
      </c>
    </row>
    <row r="34">
      <c r="A34" s="3" t="n">
        <v>45869</v>
      </c>
      <c r="B34" s="4" t="inlineStr">
        <is>
          <t>木</t>
        </is>
      </c>
      <c r="C34" s="4" t="inlineStr">
        <is>
          <t>平常</t>
        </is>
      </c>
      <c r="D34" s="5" t="n">
        <v>553840</v>
      </c>
      <c r="E34" s="6" t="n">
        <v>28</v>
      </c>
      <c r="F34" s="6" t="n">
        <v>4251</v>
      </c>
      <c r="G34" s="7" t="n">
        <v>0.66</v>
      </c>
      <c r="H34" s="5" t="n">
        <v>19780</v>
      </c>
    </row>
    <row r="35">
      <c r="A35" s="3" t="n">
        <v>45870</v>
      </c>
      <c r="B35" s="4" t="inlineStr">
        <is>
          <t>金</t>
        </is>
      </c>
      <c r="C35" s="4" t="inlineStr">
        <is>
          <t>ワンダフルデー</t>
        </is>
      </c>
      <c r="D35" s="5" t="n">
        <v>1125695</v>
      </c>
      <c r="E35" s="6" t="n">
        <v>47</v>
      </c>
      <c r="F35" s="6" t="n">
        <v>5632</v>
      </c>
      <c r="G35" s="7" t="n">
        <v>0.83</v>
      </c>
      <c r="H35" s="5" t="n">
        <v>23951</v>
      </c>
    </row>
    <row r="36">
      <c r="A36" s="3" t="n">
        <v>45871</v>
      </c>
      <c r="B36" s="4" t="inlineStr">
        <is>
          <t>土</t>
        </is>
      </c>
      <c r="C36" s="4" t="inlineStr">
        <is>
          <t>平常</t>
        </is>
      </c>
      <c r="D36" s="5" t="n">
        <v>724686</v>
      </c>
      <c r="E36" s="6" t="n">
        <v>36</v>
      </c>
      <c r="F36" s="6" t="n">
        <v>6096</v>
      </c>
      <c r="G36" s="7" t="n">
        <v>0.59</v>
      </c>
      <c r="H36" s="5" t="n">
        <v>20130</v>
      </c>
    </row>
    <row r="37">
      <c r="A37" s="3" t="n">
        <v>45872</v>
      </c>
      <c r="B37" s="4" t="inlineStr">
        <is>
          <t>日</t>
        </is>
      </c>
      <c r="C37" s="4" t="inlineStr">
        <is>
          <t>平常</t>
        </is>
      </c>
      <c r="D37" s="5" t="n">
        <v>1066218</v>
      </c>
      <c r="E37" s="6" t="n">
        <v>48</v>
      </c>
      <c r="F37" s="6" t="n">
        <v>7162</v>
      </c>
      <c r="G37" s="7" t="n">
        <v>0.67</v>
      </c>
      <c r="H37" s="5" t="n">
        <v>22213</v>
      </c>
    </row>
    <row r="38">
      <c r="A38" s="3" t="n">
        <v>45873</v>
      </c>
      <c r="B38" s="4" t="inlineStr">
        <is>
          <t>月</t>
        </is>
      </c>
      <c r="C38" s="4" t="inlineStr">
        <is>
          <t>平常</t>
        </is>
      </c>
      <c r="D38" s="5" t="n">
        <v>436723</v>
      </c>
      <c r="E38" s="6" t="n">
        <v>24</v>
      </c>
      <c r="F38" s="6" t="n">
        <v>6553</v>
      </c>
      <c r="G38" s="7" t="n">
        <v>0.37</v>
      </c>
      <c r="H38" s="5" t="n">
        <v>18197</v>
      </c>
    </row>
    <row r="39">
      <c r="A39" s="3" t="n">
        <v>45874</v>
      </c>
      <c r="B39" s="4" t="inlineStr">
        <is>
          <t>火</t>
        </is>
      </c>
      <c r="C39" s="4" t="inlineStr">
        <is>
          <t>5と0のつく日</t>
        </is>
      </c>
      <c r="D39" s="5" t="n">
        <v>1459255</v>
      </c>
      <c r="E39" s="6" t="n">
        <v>72</v>
      </c>
      <c r="F39" s="6" t="n">
        <v>6726</v>
      </c>
      <c r="G39" s="7" t="n">
        <v>1.07</v>
      </c>
      <c r="H39" s="5" t="n">
        <v>20267</v>
      </c>
    </row>
    <row r="40">
      <c r="A40" s="3" t="n">
        <v>45875</v>
      </c>
      <c r="B40" s="4" t="inlineStr">
        <is>
          <t>水</t>
        </is>
      </c>
      <c r="C40" s="4" t="inlineStr">
        <is>
          <t>平常</t>
        </is>
      </c>
      <c r="D40" s="5" t="n">
        <v>841315</v>
      </c>
      <c r="E40" s="6" t="n">
        <v>35</v>
      </c>
      <c r="F40" s="6" t="n">
        <v>6605</v>
      </c>
      <c r="G40" s="7" t="n">
        <v>0.53</v>
      </c>
      <c r="H40" s="5" t="n">
        <v>24038</v>
      </c>
    </row>
    <row r="41">
      <c r="A41" s="3" t="n">
        <v>45876</v>
      </c>
      <c r="B41" s="4" t="inlineStr">
        <is>
          <t>木</t>
        </is>
      </c>
      <c r="C41" s="4" t="inlineStr">
        <is>
          <t>平常</t>
        </is>
      </c>
      <c r="D41" s="5" t="n">
        <v>861840</v>
      </c>
      <c r="E41" s="6" t="n">
        <v>40</v>
      </c>
      <c r="F41" s="6" t="n">
        <v>5788</v>
      </c>
      <c r="G41" s="7" t="n">
        <v>0.6899999999999999</v>
      </c>
      <c r="H41" s="5" t="n">
        <v>21546</v>
      </c>
    </row>
    <row r="42">
      <c r="A42" s="3" t="n">
        <v>45877</v>
      </c>
      <c r="B42" s="4" t="inlineStr">
        <is>
          <t>金</t>
        </is>
      </c>
      <c r="C42" s="4" t="inlineStr">
        <is>
          <t>平常</t>
        </is>
      </c>
      <c r="D42" s="5" t="n">
        <v>528814</v>
      </c>
      <c r="E42" s="6" t="n">
        <v>21</v>
      </c>
      <c r="F42" s="6" t="n">
        <v>4782</v>
      </c>
      <c r="G42" s="7" t="n">
        <v>0.44</v>
      </c>
      <c r="H42" s="5" t="n">
        <v>25182</v>
      </c>
    </row>
    <row r="43">
      <c r="A43" s="3" t="n">
        <v>45878</v>
      </c>
      <c r="B43" s="4" t="inlineStr">
        <is>
          <t>土</t>
        </is>
      </c>
      <c r="C43" s="4" t="inlineStr">
        <is>
          <t>平常</t>
        </is>
      </c>
      <c r="D43" s="5" t="n">
        <v>592829</v>
      </c>
      <c r="E43" s="6" t="n">
        <v>23</v>
      </c>
      <c r="F43" s="6" t="n">
        <v>6189</v>
      </c>
      <c r="G43" s="7" t="n">
        <v>0.37</v>
      </c>
      <c r="H43" s="5" t="n">
        <v>25775</v>
      </c>
    </row>
    <row r="44">
      <c r="A44" s="3" t="n">
        <v>45879</v>
      </c>
      <c r="B44" s="4" t="inlineStr">
        <is>
          <t>日</t>
        </is>
      </c>
      <c r="C44" s="4" t="inlineStr">
        <is>
          <t>5と0のつく日</t>
        </is>
      </c>
      <c r="D44" s="5" t="n">
        <v>1635357</v>
      </c>
      <c r="E44" s="6" t="n">
        <v>56</v>
      </c>
      <c r="F44" s="6" t="n">
        <v>7304</v>
      </c>
      <c r="G44" s="7" t="n">
        <v>0.77</v>
      </c>
      <c r="H44" s="5" t="n">
        <v>29203</v>
      </c>
    </row>
    <row r="45">
      <c r="A45" s="3" t="n">
        <v>45880</v>
      </c>
      <c r="B45" s="4" t="inlineStr">
        <is>
          <t>月</t>
        </is>
      </c>
      <c r="C45" s="4" t="inlineStr">
        <is>
          <t>平常</t>
        </is>
      </c>
      <c r="D45" s="5" t="n">
        <v>452850</v>
      </c>
      <c r="E45" s="6" t="n">
        <v>19</v>
      </c>
      <c r="F45" s="6" t="n">
        <v>5293</v>
      </c>
      <c r="G45" s="7" t="n">
        <v>0.36</v>
      </c>
      <c r="H45" s="5" t="n">
        <v>23834</v>
      </c>
    </row>
    <row r="46">
      <c r="A46" s="3" t="n">
        <v>45881</v>
      </c>
      <c r="B46" s="4" t="inlineStr">
        <is>
          <t>火</t>
        </is>
      </c>
      <c r="C46" s="4" t="inlineStr">
        <is>
          <t>平常</t>
        </is>
      </c>
      <c r="D46" s="5" t="n">
        <v>377079</v>
      </c>
      <c r="E46" s="6" t="n">
        <v>13</v>
      </c>
      <c r="F46" s="6" t="n">
        <v>6411</v>
      </c>
      <c r="G46" s="7" t="n">
        <v>0.2</v>
      </c>
      <c r="H46" s="5" t="n">
        <v>29006</v>
      </c>
    </row>
    <row r="47">
      <c r="A47" s="3" t="n">
        <v>45882</v>
      </c>
      <c r="B47" s="4" t="inlineStr">
        <is>
          <t>水</t>
        </is>
      </c>
      <c r="C47" s="4" t="inlineStr">
        <is>
          <t>平常</t>
        </is>
      </c>
      <c r="D47" s="5" t="n">
        <v>511537</v>
      </c>
      <c r="E47" s="6" t="n">
        <v>19</v>
      </c>
      <c r="F47" s="6" t="n">
        <v>7911</v>
      </c>
      <c r="G47" s="7" t="n">
        <v>0.24</v>
      </c>
      <c r="H47" s="5" t="n">
        <v>26923</v>
      </c>
    </row>
    <row r="48">
      <c r="A48" s="3" t="n">
        <v>45883</v>
      </c>
      <c r="B48" s="4" t="inlineStr">
        <is>
          <t>木</t>
        </is>
      </c>
      <c r="C48" s="4" t="inlineStr">
        <is>
          <t>平常</t>
        </is>
      </c>
      <c r="D48" s="5" t="n">
        <v>662067</v>
      </c>
      <c r="E48" s="6" t="n">
        <v>23</v>
      </c>
      <c r="F48" s="6" t="n">
        <v>7593</v>
      </c>
      <c r="G48" s="7" t="n">
        <v>0.3</v>
      </c>
      <c r="H48" s="5" t="n">
        <v>28786</v>
      </c>
    </row>
    <row r="49">
      <c r="A49" s="3" t="n">
        <v>45884</v>
      </c>
      <c r="B49" s="4" t="inlineStr">
        <is>
          <t>金</t>
        </is>
      </c>
      <c r="C49" s="4" t="inlineStr">
        <is>
          <t>5と0のつく日</t>
        </is>
      </c>
      <c r="D49" s="5" t="n">
        <v>1041018</v>
      </c>
      <c r="E49" s="6" t="n">
        <v>37</v>
      </c>
      <c r="F49" s="6" t="n">
        <v>7401</v>
      </c>
      <c r="G49" s="7" t="n">
        <v>0.5</v>
      </c>
      <c r="H49" s="5" t="n">
        <v>28136</v>
      </c>
    </row>
    <row r="50">
      <c r="A50" s="3" t="n">
        <v>45885</v>
      </c>
      <c r="B50" s="4" t="inlineStr">
        <is>
          <t>土</t>
        </is>
      </c>
      <c r="C50" s="4" t="inlineStr">
        <is>
          <t>平常</t>
        </is>
      </c>
      <c r="D50" s="5" t="n">
        <v>618958</v>
      </c>
      <c r="E50" s="6" t="n">
        <v>22</v>
      </c>
      <c r="F50" s="6" t="n">
        <v>7551</v>
      </c>
      <c r="G50" s="7" t="n">
        <v>0.29</v>
      </c>
      <c r="H50" s="5" t="n">
        <v>28134</v>
      </c>
    </row>
    <row r="51">
      <c r="A51" s="3" t="n">
        <v>45886</v>
      </c>
      <c r="B51" s="4" t="inlineStr">
        <is>
          <t>日</t>
        </is>
      </c>
      <c r="C51" s="4" t="inlineStr">
        <is>
          <t>平常</t>
        </is>
      </c>
      <c r="D51" s="5" t="n">
        <v>605479</v>
      </c>
      <c r="E51" s="6" t="n">
        <v>21</v>
      </c>
      <c r="F51" s="6" t="n">
        <v>7404</v>
      </c>
      <c r="G51" s="7" t="n">
        <v>0.28</v>
      </c>
      <c r="H51" s="5" t="n">
        <v>28832</v>
      </c>
    </row>
    <row r="52">
      <c r="A52" s="3" t="n">
        <v>45887</v>
      </c>
      <c r="B52" s="4" t="inlineStr">
        <is>
          <t>月</t>
        </is>
      </c>
      <c r="C52" s="4" t="inlineStr">
        <is>
          <t>平常</t>
        </is>
      </c>
      <c r="D52" s="5" t="n">
        <v>811258</v>
      </c>
      <c r="E52" s="6" t="n">
        <v>29</v>
      </c>
      <c r="F52" s="6" t="n">
        <v>6265</v>
      </c>
      <c r="G52" s="7" t="n">
        <v>0.46</v>
      </c>
      <c r="H52" s="5" t="n">
        <v>27974</v>
      </c>
    </row>
    <row r="53">
      <c r="A53" s="3" t="n">
        <v>45888</v>
      </c>
      <c r="B53" s="4" t="inlineStr">
        <is>
          <t>火</t>
        </is>
      </c>
      <c r="C53" s="4" t="inlineStr">
        <is>
          <t>平常</t>
        </is>
      </c>
      <c r="D53" s="5" t="n">
        <v>640677</v>
      </c>
      <c r="E53" s="6" t="n">
        <v>25</v>
      </c>
      <c r="F53" s="6" t="n">
        <v>5043</v>
      </c>
      <c r="G53" s="7" t="n">
        <v>0.5</v>
      </c>
      <c r="H53" s="5" t="n">
        <v>25627</v>
      </c>
    </row>
    <row r="54">
      <c r="A54" s="3" t="n">
        <v>45889</v>
      </c>
      <c r="B54" s="4" t="inlineStr">
        <is>
          <t>水</t>
        </is>
      </c>
      <c r="C54" s="4" t="inlineStr">
        <is>
          <t>5と0のつく日</t>
        </is>
      </c>
      <c r="D54" s="5" t="n">
        <v>967857</v>
      </c>
      <c r="E54" s="6" t="n">
        <v>42</v>
      </c>
      <c r="F54" s="6" t="n">
        <v>4049</v>
      </c>
      <c r="G54" s="7" t="n">
        <v>1.04</v>
      </c>
      <c r="H54" s="5" t="n">
        <v>23044</v>
      </c>
    </row>
    <row r="55">
      <c r="A55" s="3" t="n">
        <v>45890</v>
      </c>
      <c r="B55" s="4" t="inlineStr">
        <is>
          <t>木</t>
        </is>
      </c>
      <c r="C55" s="4" t="inlineStr">
        <is>
          <t>平常</t>
        </is>
      </c>
      <c r="D55" s="5" t="n">
        <v>753037</v>
      </c>
      <c r="E55" s="6" t="n">
        <v>27</v>
      </c>
      <c r="F55" s="6" t="n">
        <v>3827</v>
      </c>
      <c r="G55" s="7" t="n">
        <v>0.71</v>
      </c>
      <c r="H55" s="5" t="n">
        <v>27890</v>
      </c>
    </row>
    <row r="56">
      <c r="A56" s="3" t="n">
        <v>45891</v>
      </c>
      <c r="B56" s="4" t="inlineStr">
        <is>
          <t>金</t>
        </is>
      </c>
      <c r="C56" s="4" t="inlineStr">
        <is>
          <t>平常</t>
        </is>
      </c>
      <c r="D56" s="5" t="n">
        <v>210634</v>
      </c>
      <c r="E56" s="6" t="n">
        <v>11</v>
      </c>
      <c r="F56" s="6" t="n">
        <v>3641</v>
      </c>
      <c r="G56" s="7" t="n">
        <v>0.3</v>
      </c>
      <c r="H56" s="5" t="n">
        <v>19149</v>
      </c>
    </row>
    <row r="57">
      <c r="A57" s="3" t="n">
        <v>45892</v>
      </c>
      <c r="B57" s="4" t="inlineStr">
        <is>
          <t>土</t>
        </is>
      </c>
      <c r="C57" s="4" t="inlineStr">
        <is>
          <t>平常</t>
        </is>
      </c>
      <c r="D57" s="5" t="n">
        <v>372762</v>
      </c>
      <c r="E57" s="6" t="n">
        <v>16</v>
      </c>
      <c r="F57" s="6" t="n">
        <v>3664</v>
      </c>
      <c r="G57" s="7" t="n">
        <v>0.44</v>
      </c>
      <c r="H57" s="5" t="n">
        <v>23298</v>
      </c>
    </row>
    <row r="58">
      <c r="A58" s="3" t="n">
        <v>45893</v>
      </c>
      <c r="B58" s="4" t="inlineStr">
        <is>
          <t>日</t>
        </is>
      </c>
      <c r="C58" s="4" t="inlineStr">
        <is>
          <t>平常</t>
        </is>
      </c>
      <c r="D58" s="5" t="n">
        <v>854444</v>
      </c>
      <c r="E58" s="6" t="n">
        <v>33</v>
      </c>
      <c r="F58" s="6" t="n">
        <v>4431</v>
      </c>
      <c r="G58" s="7" t="n">
        <v>0.74</v>
      </c>
      <c r="H58" s="5" t="n">
        <v>25892</v>
      </c>
    </row>
    <row r="59">
      <c r="A59" s="3" t="n">
        <v>45894</v>
      </c>
      <c r="B59" s="4" t="inlineStr">
        <is>
          <t>月</t>
        </is>
      </c>
      <c r="C59" s="4" t="inlineStr">
        <is>
          <t>5と0のつく日</t>
        </is>
      </c>
      <c r="D59" s="5" t="n">
        <v>2767473</v>
      </c>
      <c r="E59" s="6" t="n">
        <v>100</v>
      </c>
      <c r="F59" s="6" t="n">
        <v>14837</v>
      </c>
      <c r="G59" s="7" t="n">
        <v>0.67</v>
      </c>
      <c r="H59" s="5" t="n">
        <v>27675</v>
      </c>
    </row>
    <row r="60">
      <c r="A60" s="3" t="n">
        <v>45895</v>
      </c>
      <c r="B60" s="4" t="inlineStr">
        <is>
          <t>火</t>
        </is>
      </c>
      <c r="C60" s="4" t="inlineStr">
        <is>
          <t>平常</t>
        </is>
      </c>
      <c r="D60" s="5" t="n">
        <v>1632653</v>
      </c>
      <c r="E60" s="6" t="n">
        <v>61</v>
      </c>
      <c r="F60" s="6" t="n">
        <v>11462</v>
      </c>
      <c r="G60" s="7" t="n">
        <v>0.53</v>
      </c>
      <c r="H60" s="5" t="n">
        <v>26765</v>
      </c>
    </row>
    <row r="61">
      <c r="A61" s="3" t="n">
        <v>45896</v>
      </c>
      <c r="B61" s="4" t="inlineStr">
        <is>
          <t>水</t>
        </is>
      </c>
      <c r="C61" s="4" t="inlineStr">
        <is>
          <t>平常</t>
        </is>
      </c>
      <c r="D61" s="5" t="n">
        <v>1026659</v>
      </c>
      <c r="E61" s="6" t="n">
        <v>35</v>
      </c>
      <c r="F61" s="6" t="n">
        <v>6233</v>
      </c>
      <c r="G61" s="7" t="n">
        <v>0.5600000000000001</v>
      </c>
      <c r="H61" s="5" t="n">
        <v>29333</v>
      </c>
    </row>
    <row r="62">
      <c r="A62" s="3" t="n">
        <v>45897</v>
      </c>
      <c r="B62" s="4" t="inlineStr">
        <is>
          <t>木</t>
        </is>
      </c>
      <c r="C62" s="4" t="inlineStr">
        <is>
          <t>平常</t>
        </is>
      </c>
      <c r="D62" s="5" t="n">
        <v>587901</v>
      </c>
      <c r="E62" s="6" t="n">
        <v>23</v>
      </c>
      <c r="F62" s="6" t="n">
        <v>5049</v>
      </c>
      <c r="G62" s="7" t="n">
        <v>0.46</v>
      </c>
      <c r="H62" s="5" t="n">
        <v>25561</v>
      </c>
    </row>
    <row r="63">
      <c r="A63" s="3" t="n">
        <v>45898</v>
      </c>
      <c r="B63" s="4" t="inlineStr">
        <is>
          <t>金</t>
        </is>
      </c>
      <c r="C63" s="4" t="inlineStr">
        <is>
          <t>平常</t>
        </is>
      </c>
      <c r="D63" s="5" t="n">
        <v>349758</v>
      </c>
      <c r="E63" s="6" t="n">
        <v>13</v>
      </c>
      <c r="F63" s="6" t="n">
        <v>3929</v>
      </c>
      <c r="G63" s="7" t="n">
        <v>0.33</v>
      </c>
      <c r="H63" s="5" t="n">
        <v>26904</v>
      </c>
    </row>
    <row r="64">
      <c r="A64" s="3" t="n">
        <v>45899</v>
      </c>
      <c r="B64" s="4" t="inlineStr">
        <is>
          <t>土</t>
        </is>
      </c>
      <c r="C64" s="4" t="inlineStr">
        <is>
          <t>5と0のつく日</t>
        </is>
      </c>
      <c r="D64" s="5" t="n">
        <v>819172</v>
      </c>
      <c r="E64" s="6" t="n">
        <v>26</v>
      </c>
      <c r="F64" s="6" t="n">
        <v>4838</v>
      </c>
      <c r="G64" s="7" t="n">
        <v>0.54</v>
      </c>
      <c r="H64" s="5" t="n">
        <v>31507</v>
      </c>
    </row>
    <row r="65">
      <c r="A65" s="3" t="n">
        <v>45900</v>
      </c>
      <c r="B65" s="4" t="inlineStr">
        <is>
          <t>日</t>
        </is>
      </c>
      <c r="C65" s="4" t="inlineStr">
        <is>
          <t>平常</t>
        </is>
      </c>
      <c r="D65" s="5" t="n">
        <v>989951</v>
      </c>
      <c r="E65" s="6" t="n">
        <v>34</v>
      </c>
      <c r="F65" s="6" t="n">
        <v>5029</v>
      </c>
      <c r="G65" s="7" t="n">
        <v>0.68</v>
      </c>
      <c r="H65" s="5" t="n">
        <v>29116</v>
      </c>
    </row>
    <row r="66">
      <c r="A66" s="3" t="n">
        <v>45901</v>
      </c>
      <c r="B66" s="4" t="inlineStr">
        <is>
          <t>月</t>
        </is>
      </c>
      <c r="C66" s="4" t="inlineStr">
        <is>
          <t>ワンダフルデー</t>
        </is>
      </c>
      <c r="D66" s="5" t="n">
        <v>1376107</v>
      </c>
      <c r="E66" s="6" t="n">
        <v>49</v>
      </c>
      <c r="F66" s="6" t="n">
        <v>4689</v>
      </c>
      <c r="G66" s="7" t="n">
        <v>1.04</v>
      </c>
      <c r="H66" s="5" t="n">
        <v>28084</v>
      </c>
    </row>
    <row r="67">
      <c r="A67" s="3" t="n">
        <v>45902</v>
      </c>
      <c r="B67" s="4" t="inlineStr">
        <is>
          <t>火</t>
        </is>
      </c>
      <c r="C67" s="4" t="inlineStr">
        <is>
          <t>平常</t>
        </is>
      </c>
      <c r="D67" s="5" t="n">
        <v>234419</v>
      </c>
      <c r="E67" s="6" t="n">
        <v>9</v>
      </c>
      <c r="F67" s="6" t="n">
        <v>2016</v>
      </c>
      <c r="G67" s="7" t="n">
        <v>0.45</v>
      </c>
      <c r="H67" s="5" t="n">
        <v>26047</v>
      </c>
    </row>
    <row r="68">
      <c r="A68" s="3" t="n">
        <v>45903</v>
      </c>
      <c r="B68" s="4" t="inlineStr">
        <is>
          <t>水</t>
        </is>
      </c>
      <c r="C68" s="4" t="inlineStr">
        <is>
          <t>平常</t>
        </is>
      </c>
      <c r="D68" s="5" t="n">
        <v>458863</v>
      </c>
      <c r="E68" s="6" t="n">
        <v>16</v>
      </c>
      <c r="F68" s="6" t="n">
        <v>2512</v>
      </c>
      <c r="G68" s="7" t="n">
        <v>0.64</v>
      </c>
      <c r="H68" s="5" t="n">
        <v>28679</v>
      </c>
    </row>
    <row r="69">
      <c r="A69" s="3" t="n">
        <v>45904</v>
      </c>
      <c r="B69" s="4" t="inlineStr">
        <is>
          <t>木</t>
        </is>
      </c>
      <c r="C69" s="4" t="inlineStr">
        <is>
          <t>スーパーSALE</t>
        </is>
      </c>
      <c r="D69" s="5" t="n">
        <v>1909672</v>
      </c>
      <c r="E69" s="6" t="n">
        <v>65</v>
      </c>
      <c r="F69" s="6" t="n">
        <v>6276</v>
      </c>
      <c r="G69" s="7" t="n">
        <v>1.04</v>
      </c>
      <c r="H69" s="5" t="n">
        <v>29380</v>
      </c>
    </row>
    <row r="70">
      <c r="A70" s="3" t="n">
        <v>45905</v>
      </c>
      <c r="B70" s="4" t="inlineStr">
        <is>
          <t>金</t>
        </is>
      </c>
      <c r="C70" s="4" t="inlineStr">
        <is>
          <t>スーパーSALE</t>
        </is>
      </c>
      <c r="D70" s="5" t="n">
        <v>3193777</v>
      </c>
      <c r="E70" s="6" t="n">
        <v>107</v>
      </c>
      <c r="F70" s="6" t="n">
        <v>6362</v>
      </c>
      <c r="G70" s="7" t="n">
        <v>1.68</v>
      </c>
      <c r="H70" s="5" t="n">
        <v>29848</v>
      </c>
    </row>
    <row r="71">
      <c r="A71" s="3" t="n">
        <v>45906</v>
      </c>
      <c r="B71" s="4" t="inlineStr">
        <is>
          <t>土</t>
        </is>
      </c>
      <c r="C71" s="4" t="inlineStr">
        <is>
          <t>スーパーSALE</t>
        </is>
      </c>
      <c r="D71" s="5" t="n">
        <v>1411120</v>
      </c>
      <c r="E71" s="6" t="n">
        <v>48</v>
      </c>
      <c r="F71" s="6" t="n">
        <v>6068</v>
      </c>
      <c r="G71" s="7" t="n">
        <v>0.79</v>
      </c>
      <c r="H71" s="5" t="n">
        <v>29398</v>
      </c>
    </row>
    <row r="72">
      <c r="A72" s="3" t="n">
        <v>45907</v>
      </c>
      <c r="B72" s="4" t="inlineStr">
        <is>
          <t>日</t>
        </is>
      </c>
      <c r="C72" s="4" t="inlineStr">
        <is>
          <t>スーパーSALE</t>
        </is>
      </c>
      <c r="D72" s="5" t="n">
        <v>1225137</v>
      </c>
      <c r="E72" s="6" t="n">
        <v>42</v>
      </c>
      <c r="F72" s="6" t="n">
        <v>7171</v>
      </c>
      <c r="G72" s="7" t="n">
        <v>0.59</v>
      </c>
      <c r="H72" s="5" t="n">
        <v>29170</v>
      </c>
    </row>
    <row r="73">
      <c r="A73" s="3" t="n">
        <v>45908</v>
      </c>
      <c r="B73" s="4" t="inlineStr">
        <is>
          <t>月</t>
        </is>
      </c>
      <c r="C73" s="4" t="inlineStr">
        <is>
          <t>スーパーSALE</t>
        </is>
      </c>
      <c r="D73" s="5" t="n">
        <v>1092437</v>
      </c>
      <c r="E73" s="6" t="n">
        <v>38</v>
      </c>
      <c r="F73" s="6" t="n">
        <v>5341</v>
      </c>
      <c r="G73" s="7" t="n">
        <v>0.71</v>
      </c>
      <c r="H73" s="5" t="n">
        <v>28748</v>
      </c>
    </row>
    <row r="74">
      <c r="A74" s="3" t="n">
        <v>45909</v>
      </c>
      <c r="B74" s="4" t="inlineStr">
        <is>
          <t>火</t>
        </is>
      </c>
      <c r="C74" s="4" t="inlineStr">
        <is>
          <t>スーパーSALE</t>
        </is>
      </c>
      <c r="D74" s="5" t="n">
        <v>868780</v>
      </c>
      <c r="E74" s="6" t="n">
        <v>28</v>
      </c>
      <c r="F74" s="6" t="n">
        <v>6990</v>
      </c>
      <c r="G74" s="7" t="n">
        <v>0.4</v>
      </c>
      <c r="H74" s="5" t="n">
        <v>31028</v>
      </c>
    </row>
    <row r="75">
      <c r="A75" s="3" t="n">
        <v>45910</v>
      </c>
      <c r="B75" s="4" t="inlineStr">
        <is>
          <t>水</t>
        </is>
      </c>
      <c r="C75" s="4" t="inlineStr">
        <is>
          <t>スーパーSALE</t>
        </is>
      </c>
      <c r="D75" s="5" t="n">
        <v>2682401</v>
      </c>
      <c r="E75" s="6" t="n">
        <v>92</v>
      </c>
      <c r="F75" s="6" t="n">
        <v>8567</v>
      </c>
      <c r="G75" s="7" t="n">
        <v>1.07</v>
      </c>
      <c r="H75" s="5" t="n">
        <v>29157</v>
      </c>
    </row>
    <row r="76">
      <c r="A76" s="3" t="n">
        <v>45911</v>
      </c>
      <c r="B76" s="4" t="inlineStr">
        <is>
          <t>木</t>
        </is>
      </c>
      <c r="C76" s="4" t="inlineStr">
        <is>
          <t>スーパーSALE</t>
        </is>
      </c>
      <c r="D76" s="5" t="n">
        <v>728200</v>
      </c>
      <c r="E76" s="6" t="n">
        <v>22</v>
      </c>
      <c r="F76" s="6" t="n">
        <v>7167</v>
      </c>
      <c r="G76" s="7" t="n">
        <v>0.31</v>
      </c>
      <c r="H76" s="5" t="n">
        <v>33100</v>
      </c>
    </row>
    <row r="77">
      <c r="A77" s="3" t="n">
        <v>45912</v>
      </c>
      <c r="B77" s="4" t="inlineStr">
        <is>
          <t>金</t>
        </is>
      </c>
      <c r="C77" s="4" t="inlineStr">
        <is>
          <t>平常</t>
        </is>
      </c>
      <c r="D77" s="5" t="n">
        <v>427200</v>
      </c>
      <c r="E77" s="6" t="n">
        <v>14</v>
      </c>
      <c r="F77" s="6" t="n">
        <v>6599</v>
      </c>
      <c r="G77" s="7" t="n">
        <v>0.21</v>
      </c>
      <c r="H77" s="5" t="n">
        <v>30514</v>
      </c>
    </row>
    <row r="78">
      <c r="A78" s="3" t="n">
        <v>45913</v>
      </c>
      <c r="B78" s="4" t="inlineStr">
        <is>
          <t>土</t>
        </is>
      </c>
      <c r="C78" s="4" t="inlineStr">
        <is>
          <t>平常</t>
        </is>
      </c>
      <c r="D78" s="5" t="n">
        <v>527528</v>
      </c>
      <c r="E78" s="6" t="n">
        <v>20</v>
      </c>
      <c r="F78" s="6" t="n">
        <v>8028</v>
      </c>
      <c r="G78" s="7" t="n">
        <v>0.25</v>
      </c>
      <c r="H78" s="5" t="n">
        <v>26376</v>
      </c>
    </row>
    <row r="79">
      <c r="A79" s="3" t="n">
        <v>45914</v>
      </c>
      <c r="B79" s="4" t="inlineStr">
        <is>
          <t>日</t>
        </is>
      </c>
      <c r="C79" s="4" t="inlineStr">
        <is>
          <t>平常</t>
        </is>
      </c>
      <c r="D79" s="5" t="n">
        <v>431040</v>
      </c>
      <c r="E79" s="6" t="n">
        <v>15</v>
      </c>
      <c r="F79" s="6" t="n">
        <v>8399</v>
      </c>
      <c r="G79" s="7" t="n">
        <v>0.18</v>
      </c>
      <c r="H79" s="5" t="n">
        <v>28736</v>
      </c>
    </row>
    <row r="80">
      <c r="A80" s="3" t="n">
        <v>45915</v>
      </c>
      <c r="B80" s="4" t="inlineStr">
        <is>
          <t>月</t>
        </is>
      </c>
      <c r="C80" s="4" t="inlineStr">
        <is>
          <t>5と0のつく日</t>
        </is>
      </c>
      <c r="D80" s="5" t="n">
        <v>779960</v>
      </c>
      <c r="E80" s="6" t="n">
        <v>26</v>
      </c>
      <c r="F80" s="6" t="n">
        <v>8333</v>
      </c>
      <c r="G80" s="7" t="n">
        <v>0.31</v>
      </c>
      <c r="H80" s="5" t="n">
        <v>29998</v>
      </c>
    </row>
    <row r="81">
      <c r="A81" s="3" t="n">
        <v>45916</v>
      </c>
      <c r="B81" s="4" t="inlineStr">
        <is>
          <t>火</t>
        </is>
      </c>
      <c r="C81" s="4" t="inlineStr">
        <is>
          <t>平常</t>
        </is>
      </c>
      <c r="D81" s="5" t="n">
        <v>321800</v>
      </c>
      <c r="E81" s="6" t="n">
        <v>11</v>
      </c>
      <c r="F81" s="6" t="n">
        <v>7397</v>
      </c>
      <c r="G81" s="7" t="n">
        <v>0.15</v>
      </c>
      <c r="H81" s="5" t="n">
        <v>29255</v>
      </c>
    </row>
    <row r="82">
      <c r="A82" s="3" t="n">
        <v>45917</v>
      </c>
      <c r="B82" s="4" t="inlineStr">
        <is>
          <t>水</t>
        </is>
      </c>
      <c r="C82" s="4" t="inlineStr">
        <is>
          <t>平常</t>
        </is>
      </c>
      <c r="D82" s="5" t="n">
        <v>641300</v>
      </c>
      <c r="E82" s="6" t="n">
        <v>20</v>
      </c>
      <c r="F82" s="6" t="n">
        <v>7769</v>
      </c>
      <c r="G82" s="7" t="n">
        <v>0.26</v>
      </c>
      <c r="H82" s="5" t="n">
        <v>32065</v>
      </c>
    </row>
    <row r="83">
      <c r="A83" s="3" t="n">
        <v>45918</v>
      </c>
      <c r="B83" s="4" t="inlineStr">
        <is>
          <t>木</t>
        </is>
      </c>
      <c r="C83" s="4" t="inlineStr">
        <is>
          <t>平常</t>
        </is>
      </c>
      <c r="D83" s="5" t="n">
        <v>608500</v>
      </c>
      <c r="E83" s="6" t="n">
        <v>20</v>
      </c>
      <c r="F83" s="6" t="n">
        <v>7637</v>
      </c>
      <c r="G83" s="7" t="n">
        <v>0.26</v>
      </c>
      <c r="H83" s="5" t="n">
        <v>30425</v>
      </c>
    </row>
    <row r="84">
      <c r="A84" s="3" t="n">
        <v>45919</v>
      </c>
      <c r="B84" s="4" t="inlineStr">
        <is>
          <t>金</t>
        </is>
      </c>
      <c r="C84" s="4" t="inlineStr">
        <is>
          <t>平常</t>
        </is>
      </c>
      <c r="D84" s="5" t="n">
        <v>590680</v>
      </c>
      <c r="E84" s="6" t="n">
        <v>19</v>
      </c>
      <c r="F84" s="6" t="n">
        <v>7575</v>
      </c>
      <c r="G84" s="7" t="n">
        <v>0.25</v>
      </c>
      <c r="H84" s="5" t="n">
        <v>31088</v>
      </c>
    </row>
    <row r="85">
      <c r="A85" s="3" t="n">
        <v>45920</v>
      </c>
      <c r="B85" s="4" t="inlineStr">
        <is>
          <t>土</t>
        </is>
      </c>
      <c r="C85" s="4" t="inlineStr">
        <is>
          <t>5と0のつく日</t>
        </is>
      </c>
      <c r="D85" s="5" t="n">
        <v>1254580</v>
      </c>
      <c r="E85" s="6" t="n">
        <v>42</v>
      </c>
      <c r="F85" s="6" t="n">
        <v>8782</v>
      </c>
      <c r="G85" s="7" t="n">
        <v>0.48</v>
      </c>
      <c r="H85" s="5" t="n">
        <v>29871</v>
      </c>
    </row>
    <row r="86">
      <c r="A86" s="3" t="n">
        <v>45921</v>
      </c>
      <c r="B86" s="4" t="inlineStr">
        <is>
          <t>日</t>
        </is>
      </c>
      <c r="C86" s="4" t="inlineStr">
        <is>
          <t>平常</t>
        </is>
      </c>
      <c r="D86" s="5" t="n">
        <v>910600</v>
      </c>
      <c r="E86" s="6" t="n">
        <v>32</v>
      </c>
      <c r="F86" s="6" t="n">
        <v>9007</v>
      </c>
      <c r="G86" s="7" t="n">
        <v>0.36</v>
      </c>
      <c r="H86" s="5" t="n">
        <v>28456</v>
      </c>
    </row>
    <row r="87">
      <c r="A87" s="3" t="n">
        <v>45922</v>
      </c>
      <c r="B87" s="4" t="inlineStr">
        <is>
          <t>月</t>
        </is>
      </c>
      <c r="C87" s="4" t="inlineStr">
        <is>
          <t>平常</t>
        </is>
      </c>
      <c r="D87" s="5" t="n">
        <v>438000</v>
      </c>
      <c r="E87" s="6" t="n">
        <v>15</v>
      </c>
      <c r="F87" s="6" t="n">
        <v>8247</v>
      </c>
      <c r="G87" s="7" t="n">
        <v>0.18</v>
      </c>
      <c r="H87" s="5" t="n">
        <v>29200</v>
      </c>
    </row>
    <row r="88">
      <c r="A88" s="3" t="n">
        <v>45923</v>
      </c>
      <c r="B88" s="4" t="inlineStr">
        <is>
          <t>火</t>
        </is>
      </c>
      <c r="C88" s="4" t="inlineStr">
        <is>
          <t>平常</t>
        </is>
      </c>
      <c r="D88" s="5" t="n">
        <v>886700</v>
      </c>
      <c r="E88" s="6" t="n">
        <v>29</v>
      </c>
      <c r="F88" s="6" t="n">
        <v>8783</v>
      </c>
      <c r="G88" s="7" t="n">
        <v>0.33</v>
      </c>
      <c r="H88" s="5" t="n">
        <v>30576</v>
      </c>
    </row>
    <row r="89">
      <c r="A89" s="3" t="n">
        <v>45924</v>
      </c>
      <c r="B89" s="4" t="inlineStr">
        <is>
          <t>水</t>
        </is>
      </c>
      <c r="C89" s="4" t="inlineStr">
        <is>
          <t>平常</t>
        </is>
      </c>
      <c r="D89" s="5" t="n">
        <v>389880</v>
      </c>
      <c r="E89" s="6" t="n">
        <v>14</v>
      </c>
      <c r="F89" s="6" t="n">
        <v>7097</v>
      </c>
      <c r="G89" s="7" t="n">
        <v>0.2</v>
      </c>
      <c r="H89" s="5" t="n">
        <v>27849</v>
      </c>
    </row>
    <row r="90">
      <c r="A90" s="3" t="n">
        <v>45925</v>
      </c>
      <c r="B90" s="4" t="inlineStr">
        <is>
          <t>木</t>
        </is>
      </c>
      <c r="C90" s="4" t="inlineStr">
        <is>
          <t>5と0のつく日</t>
        </is>
      </c>
      <c r="D90" s="5" t="n">
        <v>505100</v>
      </c>
      <c r="E90" s="6" t="n">
        <v>17</v>
      </c>
      <c r="F90" s="6" t="n">
        <v>6795</v>
      </c>
      <c r="G90" s="7" t="n">
        <v>0.25</v>
      </c>
      <c r="H90" s="5" t="n">
        <v>29712</v>
      </c>
    </row>
    <row r="91">
      <c r="A91" s="3" t="n">
        <v>45926</v>
      </c>
      <c r="B91" s="4" t="inlineStr">
        <is>
          <t>金</t>
        </is>
      </c>
      <c r="C91" s="4" t="inlineStr">
        <is>
          <t>平常</t>
        </is>
      </c>
      <c r="D91" s="5" t="n">
        <v>147500</v>
      </c>
      <c r="E91" s="6" t="n">
        <v>5</v>
      </c>
      <c r="F91" s="6" t="n">
        <v>6484</v>
      </c>
      <c r="G91" s="7" t="n">
        <v>0.08</v>
      </c>
      <c r="H91" s="5" t="n">
        <v>29500</v>
      </c>
    </row>
    <row r="92">
      <c r="A92" s="3" t="n">
        <v>45927</v>
      </c>
      <c r="B92" s="4" t="inlineStr">
        <is>
          <t>土</t>
        </is>
      </c>
      <c r="C92" s="4" t="inlineStr">
        <is>
          <t>平常</t>
        </is>
      </c>
      <c r="D92" s="5" t="n">
        <v>346300</v>
      </c>
      <c r="E92" s="6" t="n">
        <v>10</v>
      </c>
      <c r="F92" s="6" t="n">
        <v>7396</v>
      </c>
      <c r="G92" s="7" t="n">
        <v>0.14</v>
      </c>
      <c r="H92" s="5" t="n">
        <v>34630</v>
      </c>
    </row>
    <row r="93">
      <c r="A93" s="3" t="n">
        <v>45928</v>
      </c>
      <c r="B93" s="4" t="inlineStr">
        <is>
          <t>日</t>
        </is>
      </c>
      <c r="C93" s="4" t="inlineStr">
        <is>
          <t>平常</t>
        </is>
      </c>
      <c r="D93" s="5" t="n">
        <v>432500</v>
      </c>
      <c r="E93" s="6" t="n">
        <v>15</v>
      </c>
      <c r="F93" s="6" t="n">
        <v>8058</v>
      </c>
      <c r="G93" s="7" t="n">
        <v>0.19</v>
      </c>
      <c r="H93" s="5" t="n">
        <v>28833</v>
      </c>
    </row>
    <row r="94">
      <c r="A94" s="3" t="n">
        <v>45929</v>
      </c>
      <c r="B94" s="4" t="inlineStr">
        <is>
          <t>月</t>
        </is>
      </c>
      <c r="C94" s="4" t="inlineStr">
        <is>
          <t>平常</t>
        </is>
      </c>
      <c r="D94" s="5" t="n">
        <v>350662</v>
      </c>
      <c r="E94" s="6" t="n">
        <v>12</v>
      </c>
      <c r="F94" s="6" t="n">
        <v>8112</v>
      </c>
      <c r="G94" s="7" t="n">
        <v>0.15</v>
      </c>
      <c r="H94" s="5" t="n">
        <v>29222</v>
      </c>
    </row>
    <row r="95">
      <c r="A95" s="3" t="n">
        <v>45930</v>
      </c>
      <c r="B95" s="4" t="inlineStr">
        <is>
          <t>火</t>
        </is>
      </c>
      <c r="C95" s="4" t="inlineStr">
        <is>
          <t>5と0のつく日</t>
        </is>
      </c>
      <c r="D95" s="5" t="n">
        <v>434000</v>
      </c>
      <c r="E95" s="6" t="n">
        <v>15</v>
      </c>
      <c r="F95" s="6" t="n">
        <v>6542</v>
      </c>
      <c r="G95" s="7" t="n">
        <v>0.23</v>
      </c>
      <c r="H95" s="5" t="n">
        <v>28933</v>
      </c>
    </row>
    <row r="96">
      <c r="A96" s="3" t="n">
        <v>45931</v>
      </c>
      <c r="B96" s="4" t="inlineStr">
        <is>
          <t>水</t>
        </is>
      </c>
      <c r="C96" s="4" t="inlineStr">
        <is>
          <t>ワンダフルデー</t>
        </is>
      </c>
      <c r="D96" s="5" t="n">
        <v>832380</v>
      </c>
      <c r="E96" s="6" t="n">
        <v>29</v>
      </c>
      <c r="F96" s="6" t="n">
        <v>3793</v>
      </c>
      <c r="G96" s="7" t="n">
        <v>0.76</v>
      </c>
      <c r="H96" s="5" t="n">
        <v>28703</v>
      </c>
    </row>
    <row r="97">
      <c r="A97" s="3" t="n">
        <v>45932</v>
      </c>
      <c r="B97" s="4" t="inlineStr">
        <is>
          <t>木</t>
        </is>
      </c>
      <c r="C97" s="4" t="inlineStr">
        <is>
          <t>平常</t>
        </is>
      </c>
      <c r="D97" s="5" t="n">
        <v>707380</v>
      </c>
      <c r="E97" s="6" t="n">
        <v>21</v>
      </c>
      <c r="F97" s="6" t="n">
        <v>4202</v>
      </c>
      <c r="G97" s="7" t="n">
        <v>0.5</v>
      </c>
      <c r="H97" s="5" t="n">
        <v>33685</v>
      </c>
    </row>
    <row r="98">
      <c r="A98" s="3" t="n">
        <v>45933</v>
      </c>
      <c r="B98" s="4" t="inlineStr">
        <is>
          <t>金</t>
        </is>
      </c>
      <c r="C98" s="4" t="inlineStr">
        <is>
          <t>平常</t>
        </is>
      </c>
      <c r="D98" s="5" t="n">
        <v>285200</v>
      </c>
      <c r="E98" s="6" t="n">
        <v>9</v>
      </c>
      <c r="F98" s="6" t="n">
        <v>4471</v>
      </c>
      <c r="G98" s="7" t="n">
        <v>0.2</v>
      </c>
      <c r="H98" s="5" t="n">
        <v>31689</v>
      </c>
    </row>
    <row r="99">
      <c r="A99" s="3" t="n">
        <v>45934</v>
      </c>
      <c r="B99" s="4" t="inlineStr">
        <is>
          <t>土</t>
        </is>
      </c>
      <c r="C99" s="4" t="inlineStr">
        <is>
          <t>平常</t>
        </is>
      </c>
      <c r="D99" s="5" t="n">
        <v>402280</v>
      </c>
      <c r="E99" s="6" t="n">
        <v>14</v>
      </c>
      <c r="F99" s="6" t="n">
        <v>4393</v>
      </c>
      <c r="G99" s="7" t="n">
        <v>0.32</v>
      </c>
      <c r="H99" s="5" t="n">
        <v>28734</v>
      </c>
    </row>
    <row r="100">
      <c r="A100" s="3" t="n">
        <v>45935</v>
      </c>
      <c r="B100" s="4" t="inlineStr">
        <is>
          <t>日</t>
        </is>
      </c>
      <c r="C100" s="4" t="inlineStr">
        <is>
          <t>5と0のつく日</t>
        </is>
      </c>
      <c r="D100" s="5" t="n">
        <v>1467380</v>
      </c>
      <c r="E100" s="6" t="n">
        <v>47</v>
      </c>
      <c r="F100" s="6" t="n">
        <v>5165</v>
      </c>
      <c r="G100" s="7" t="n">
        <v>0.91</v>
      </c>
      <c r="H100" s="5" t="n">
        <v>31221</v>
      </c>
    </row>
    <row r="101">
      <c r="A101" s="3" t="n">
        <v>45936</v>
      </c>
      <c r="B101" s="4" t="inlineStr">
        <is>
          <t>月</t>
        </is>
      </c>
      <c r="C101" s="4" t="inlineStr">
        <is>
          <t>平常</t>
        </is>
      </c>
      <c r="D101" s="5" t="n">
        <v>600040</v>
      </c>
      <c r="E101" s="6" t="n">
        <v>20</v>
      </c>
      <c r="F101" s="6" t="n">
        <v>3767</v>
      </c>
      <c r="G101" s="7" t="n">
        <v>0.53</v>
      </c>
      <c r="H101" s="5" t="n">
        <v>30002</v>
      </c>
    </row>
    <row r="102">
      <c r="A102" s="3" t="n">
        <v>45937</v>
      </c>
      <c r="B102" s="4" t="inlineStr">
        <is>
          <t>火</t>
        </is>
      </c>
      <c r="C102" s="4" t="inlineStr">
        <is>
          <t>平常</t>
        </is>
      </c>
      <c r="D102" s="5" t="n">
        <v>472300</v>
      </c>
      <c r="E102" s="6" t="n">
        <v>16</v>
      </c>
      <c r="F102" s="6" t="n">
        <v>4339</v>
      </c>
      <c r="G102" s="7" t="n">
        <v>0.37</v>
      </c>
      <c r="H102" s="5" t="n">
        <v>29519</v>
      </c>
    </row>
    <row r="103">
      <c r="A103" s="3" t="n">
        <v>45938</v>
      </c>
      <c r="B103" s="4" t="inlineStr">
        <is>
          <t>水</t>
        </is>
      </c>
      <c r="C103" s="4" t="inlineStr">
        <is>
          <t>平常</t>
        </is>
      </c>
      <c r="D103" s="5" t="n">
        <v>776500</v>
      </c>
      <c r="E103" s="6" t="n">
        <v>25</v>
      </c>
      <c r="F103" s="6" t="n">
        <v>4619</v>
      </c>
      <c r="G103" s="7" t="n">
        <v>0.54</v>
      </c>
      <c r="H103" s="5" t="n">
        <v>31060</v>
      </c>
    </row>
    <row r="104">
      <c r="A104" s="3" t="n">
        <v>45939</v>
      </c>
      <c r="B104" s="4" t="inlineStr">
        <is>
          <t>木</t>
        </is>
      </c>
      <c r="C104" s="4" t="inlineStr">
        <is>
          <t>平常</t>
        </is>
      </c>
      <c r="D104" s="5" t="n">
        <v>566200</v>
      </c>
      <c r="E104" s="6" t="n">
        <v>19</v>
      </c>
      <c r="F104" s="6" t="n">
        <v>3624</v>
      </c>
      <c r="G104" s="7" t="n">
        <v>0.52</v>
      </c>
      <c r="H104" s="5" t="n">
        <v>29800</v>
      </c>
    </row>
    <row r="105">
      <c r="A105" s="3" t="n">
        <v>45940</v>
      </c>
      <c r="B105" s="4" t="inlineStr">
        <is>
          <t>金</t>
        </is>
      </c>
      <c r="C105" s="4" t="inlineStr">
        <is>
          <t>5と0のつく日</t>
        </is>
      </c>
      <c r="D105" s="5" t="n">
        <v>371590</v>
      </c>
      <c r="E105" s="6" t="n">
        <v>12</v>
      </c>
      <c r="F105" s="6" t="n">
        <v>3439</v>
      </c>
      <c r="G105" s="7" t="n">
        <v>0.35</v>
      </c>
      <c r="H105" s="5" t="n">
        <v>30966</v>
      </c>
    </row>
    <row r="106">
      <c r="A106" s="3" t="n">
        <v>45941</v>
      </c>
      <c r="B106" s="4" t="inlineStr">
        <is>
          <t>土</t>
        </is>
      </c>
      <c r="C106" s="4" t="inlineStr">
        <is>
          <t>平常</t>
        </is>
      </c>
      <c r="D106" s="5" t="n">
        <v>506800</v>
      </c>
      <c r="E106" s="6" t="n">
        <v>16</v>
      </c>
      <c r="F106" s="6" t="n">
        <v>3938</v>
      </c>
      <c r="G106" s="7" t="n">
        <v>0.41</v>
      </c>
      <c r="H106" s="5" t="n">
        <v>31675</v>
      </c>
    </row>
    <row r="107">
      <c r="A107" s="3" t="n">
        <v>45942</v>
      </c>
      <c r="B107" s="4" t="inlineStr">
        <is>
          <t>日</t>
        </is>
      </c>
      <c r="C107" s="4" t="inlineStr">
        <is>
          <t>平常</t>
        </is>
      </c>
      <c r="D107" s="5" t="n">
        <v>164000</v>
      </c>
      <c r="E107" s="6" t="n">
        <v>5</v>
      </c>
      <c r="F107" s="6" t="n">
        <v>4123</v>
      </c>
      <c r="G107" s="7" t="n">
        <v>0.12</v>
      </c>
      <c r="H107" s="5" t="n">
        <v>32800</v>
      </c>
    </row>
    <row r="108">
      <c r="A108" s="3" t="n">
        <v>45943</v>
      </c>
      <c r="B108" s="4" t="inlineStr">
        <is>
          <t>月</t>
        </is>
      </c>
      <c r="C108" s="4" t="inlineStr">
        <is>
          <t>平常</t>
        </is>
      </c>
      <c r="D108" s="5" t="n">
        <v>299000</v>
      </c>
      <c r="E108" s="6" t="n">
        <v>10</v>
      </c>
      <c r="F108" s="6" t="n">
        <v>4212</v>
      </c>
      <c r="G108" s="7" t="n">
        <v>0.24</v>
      </c>
      <c r="H108" s="5" t="n">
        <v>29900</v>
      </c>
    </row>
    <row r="109">
      <c r="A109" s="3" t="n">
        <v>45944</v>
      </c>
      <c r="B109" s="4" t="inlineStr">
        <is>
          <t>火</t>
        </is>
      </c>
      <c r="C109" s="4" t="inlineStr">
        <is>
          <t>平常</t>
        </is>
      </c>
      <c r="D109" s="5" t="n">
        <v>441700</v>
      </c>
      <c r="E109" s="6" t="n">
        <v>14</v>
      </c>
      <c r="F109" s="6" t="n">
        <v>3895</v>
      </c>
      <c r="G109" s="7" t="n">
        <v>0.36</v>
      </c>
      <c r="H109" s="5" t="n">
        <v>31550</v>
      </c>
    </row>
    <row r="110">
      <c r="A110" s="3" t="n">
        <v>45945</v>
      </c>
      <c r="B110" s="4" t="inlineStr">
        <is>
          <t>水</t>
        </is>
      </c>
      <c r="C110" s="4" t="inlineStr">
        <is>
          <t>5と0のつく日</t>
        </is>
      </c>
      <c r="D110" s="5" t="n">
        <v>851200</v>
      </c>
      <c r="E110" s="6" t="n">
        <v>29</v>
      </c>
      <c r="F110" s="6" t="n">
        <v>4052</v>
      </c>
      <c r="G110" s="7" t="n">
        <v>0.72</v>
      </c>
      <c r="H110" s="5" t="n">
        <v>29352</v>
      </c>
    </row>
    <row r="111">
      <c r="A111" s="3" t="n">
        <v>45946</v>
      </c>
      <c r="B111" s="4" t="inlineStr">
        <is>
          <t>木</t>
        </is>
      </c>
      <c r="C111" s="4" t="inlineStr">
        <is>
          <t>平常</t>
        </is>
      </c>
      <c r="D111" s="5" t="n">
        <v>516900</v>
      </c>
      <c r="E111" s="6" t="n">
        <v>18</v>
      </c>
      <c r="F111" s="6" t="n">
        <v>2588</v>
      </c>
      <c r="G111" s="7" t="n">
        <v>0.7</v>
      </c>
      <c r="H111" s="5" t="n">
        <v>28717</v>
      </c>
    </row>
    <row r="112">
      <c r="A112" s="3" t="n">
        <v>45947</v>
      </c>
      <c r="B112" s="4" t="inlineStr">
        <is>
          <t>金</t>
        </is>
      </c>
      <c r="C112" s="4" t="inlineStr">
        <is>
          <t>平常</t>
        </is>
      </c>
      <c r="D112" s="5" t="n">
        <v>429980</v>
      </c>
      <c r="E112" s="6" t="n">
        <v>17</v>
      </c>
      <c r="F112" s="6" t="n">
        <v>2114</v>
      </c>
      <c r="G112" s="7" t="n">
        <v>0.8</v>
      </c>
      <c r="H112" s="5" t="n">
        <v>25293</v>
      </c>
    </row>
    <row r="113">
      <c r="A113" s="3" t="n">
        <v>45948</v>
      </c>
      <c r="B113" s="4" t="inlineStr">
        <is>
          <t>土</t>
        </is>
      </c>
      <c r="C113" s="4" t="inlineStr">
        <is>
          <t>平常</t>
        </is>
      </c>
      <c r="D113" s="5" t="n">
        <v>264400</v>
      </c>
      <c r="E113" s="6" t="n">
        <v>8</v>
      </c>
      <c r="F113" s="6" t="n">
        <v>2429</v>
      </c>
      <c r="G113" s="7" t="n">
        <v>0.33</v>
      </c>
      <c r="H113" s="5" t="n">
        <v>33050</v>
      </c>
    </row>
    <row r="114">
      <c r="A114" s="3" t="n">
        <v>45949</v>
      </c>
      <c r="B114" s="4" t="inlineStr">
        <is>
          <t>日</t>
        </is>
      </c>
      <c r="C114" s="4" t="inlineStr">
        <is>
          <t>平常</t>
        </is>
      </c>
      <c r="D114" s="5" t="n">
        <v>224560</v>
      </c>
      <c r="E114" s="6" t="n">
        <v>9</v>
      </c>
      <c r="F114" s="6" t="n">
        <v>2518</v>
      </c>
      <c r="G114" s="7" t="n">
        <v>0.36</v>
      </c>
      <c r="H114" s="5" t="n">
        <v>24951</v>
      </c>
    </row>
    <row r="115">
      <c r="A115" s="3" t="n">
        <v>45950</v>
      </c>
      <c r="B115" s="4" t="inlineStr">
        <is>
          <t>月</t>
        </is>
      </c>
      <c r="C115" s="4" t="inlineStr">
        <is>
          <t>5と0のつく日</t>
        </is>
      </c>
      <c r="D115" s="5" t="n">
        <v>335260</v>
      </c>
      <c r="E115" s="6" t="n">
        <v>14</v>
      </c>
      <c r="F115" s="6" t="n">
        <v>2170</v>
      </c>
      <c r="G115" s="7" t="n">
        <v>0.65</v>
      </c>
      <c r="H115" s="5" t="n">
        <v>23947</v>
      </c>
    </row>
    <row r="116">
      <c r="A116" s="3" t="n">
        <v>45951</v>
      </c>
      <c r="B116" s="4" t="inlineStr">
        <is>
          <t>火</t>
        </is>
      </c>
      <c r="C116" s="4" t="inlineStr">
        <is>
          <t>平常</t>
        </is>
      </c>
      <c r="D116" s="5" t="n">
        <v>213064</v>
      </c>
      <c r="E116" s="6" t="n">
        <v>12</v>
      </c>
      <c r="F116" s="6" t="n">
        <v>2205</v>
      </c>
      <c r="G116" s="7" t="n">
        <v>0.54</v>
      </c>
      <c r="H116" s="5" t="n">
        <v>17755</v>
      </c>
    </row>
    <row r="117">
      <c r="A117" s="3" t="n">
        <v>45952</v>
      </c>
      <c r="B117" s="4" t="inlineStr">
        <is>
          <t>水</t>
        </is>
      </c>
      <c r="C117" s="4" t="inlineStr">
        <is>
          <t>平常</t>
        </is>
      </c>
      <c r="D117" s="5" t="n">
        <v>92888</v>
      </c>
      <c r="E117" s="6" t="n">
        <v>12</v>
      </c>
      <c r="F117" s="6" t="n">
        <v>2301</v>
      </c>
      <c r="G117" s="7" t="n">
        <v>0.52</v>
      </c>
      <c r="H117" s="5" t="n">
        <v>7741</v>
      </c>
    </row>
    <row r="118">
      <c r="A118" s="3" t="n">
        <v>45953</v>
      </c>
      <c r="B118" s="4" t="inlineStr">
        <is>
          <t>木</t>
        </is>
      </c>
      <c r="C118" s="4" t="inlineStr">
        <is>
          <t>平常</t>
        </is>
      </c>
      <c r="D118" s="5" t="n">
        <v>349864</v>
      </c>
      <c r="E118" s="6" t="n">
        <v>13</v>
      </c>
      <c r="F118" s="6" t="n">
        <v>2199</v>
      </c>
      <c r="G118" s="7" t="n">
        <v>0.59</v>
      </c>
      <c r="H118" s="5" t="n">
        <v>26913</v>
      </c>
    </row>
    <row r="119">
      <c r="A119" s="3" t="n">
        <v>45954</v>
      </c>
      <c r="B119" s="4" t="inlineStr">
        <is>
          <t>金</t>
        </is>
      </c>
      <c r="C119" s="4" t="inlineStr">
        <is>
          <t>平常</t>
        </is>
      </c>
      <c r="D119" s="5" t="n">
        <v>159192</v>
      </c>
      <c r="E119" s="6" t="n">
        <v>12</v>
      </c>
      <c r="F119" s="6" t="n">
        <v>1961</v>
      </c>
      <c r="G119" s="7" t="n">
        <v>0.61</v>
      </c>
      <c r="H119" s="5" t="n">
        <v>13266</v>
      </c>
    </row>
    <row r="120">
      <c r="A120" s="3" t="n">
        <v>45955</v>
      </c>
      <c r="B120" s="4" t="inlineStr">
        <is>
          <t>土</t>
        </is>
      </c>
      <c r="C120" s="4" t="inlineStr">
        <is>
          <t>5と0のつく日</t>
        </is>
      </c>
      <c r="D120" s="5" t="n">
        <v>756312</v>
      </c>
      <c r="E120" s="6" t="n">
        <v>35</v>
      </c>
      <c r="F120" s="6" t="n">
        <v>2417</v>
      </c>
      <c r="G120" s="7" t="n">
        <v>1.45</v>
      </c>
      <c r="H120" s="5" t="n">
        <v>21609</v>
      </c>
    </row>
    <row r="121">
      <c r="A121" s="3" t="n">
        <v>45956</v>
      </c>
      <c r="B121" s="4" t="inlineStr">
        <is>
          <t>日</t>
        </is>
      </c>
      <c r="C121" s="4" t="inlineStr">
        <is>
          <t>平常</t>
        </is>
      </c>
      <c r="D121" s="5" t="n">
        <v>589024</v>
      </c>
      <c r="E121" s="6" t="n">
        <v>24</v>
      </c>
      <c r="F121" s="6" t="n">
        <v>2262</v>
      </c>
      <c r="G121" s="7" t="n">
        <v>1.06</v>
      </c>
      <c r="H121" s="5" t="n">
        <v>24543</v>
      </c>
    </row>
    <row r="122">
      <c r="A122" s="3" t="n">
        <v>45957</v>
      </c>
      <c r="B122" s="4" t="inlineStr">
        <is>
          <t>月</t>
        </is>
      </c>
      <c r="C122" s="4" t="inlineStr">
        <is>
          <t>平常</t>
        </is>
      </c>
      <c r="D122" s="5" t="n">
        <v>589288</v>
      </c>
      <c r="E122" s="6" t="n">
        <v>25</v>
      </c>
      <c r="F122" s="6" t="n">
        <v>1772</v>
      </c>
      <c r="G122" s="7" t="n">
        <v>1.41</v>
      </c>
      <c r="H122" s="5" t="n">
        <v>23572</v>
      </c>
    </row>
    <row r="123">
      <c r="A123" s="3" t="n">
        <v>45958</v>
      </c>
      <c r="B123" s="4" t="inlineStr">
        <is>
          <t>火</t>
        </is>
      </c>
      <c r="C123" s="4" t="inlineStr">
        <is>
          <t>平常</t>
        </is>
      </c>
      <c r="D123" s="5" t="n">
        <v>250240</v>
      </c>
      <c r="E123" s="6" t="n">
        <v>13</v>
      </c>
      <c r="F123" s="6" t="n">
        <v>1855</v>
      </c>
      <c r="G123" s="7" t="n">
        <v>0.7</v>
      </c>
      <c r="H123" s="5" t="n">
        <v>19249</v>
      </c>
    </row>
    <row r="124">
      <c r="A124" s="3" t="n">
        <v>45959</v>
      </c>
      <c r="B124" s="4" t="inlineStr">
        <is>
          <t>水</t>
        </is>
      </c>
      <c r="C124" s="4" t="inlineStr">
        <is>
          <t>平常</t>
        </is>
      </c>
      <c r="D124" s="5" t="n">
        <v>378984</v>
      </c>
      <c r="E124" s="6" t="n">
        <v>20</v>
      </c>
      <c r="F124" s="6" t="n">
        <v>1859</v>
      </c>
      <c r="G124" s="7" t="n">
        <v>1.08</v>
      </c>
      <c r="H124" s="5" t="n">
        <v>18949</v>
      </c>
    </row>
    <row r="125">
      <c r="A125" s="3" t="n">
        <v>45960</v>
      </c>
      <c r="B125" s="4" t="inlineStr">
        <is>
          <t>木</t>
        </is>
      </c>
      <c r="C125" s="4" t="inlineStr">
        <is>
          <t>5と0のつく日</t>
        </is>
      </c>
      <c r="D125" s="5" t="n">
        <v>210440</v>
      </c>
      <c r="E125" s="6" t="n">
        <v>12</v>
      </c>
      <c r="F125" s="6" t="n">
        <v>1510</v>
      </c>
      <c r="G125" s="7" t="n">
        <v>0.79</v>
      </c>
      <c r="H125" s="5" t="n">
        <v>17537</v>
      </c>
    </row>
    <row r="126">
      <c r="A126" s="3" t="n">
        <v>45961</v>
      </c>
      <c r="B126" s="4" t="inlineStr">
        <is>
          <t>金</t>
        </is>
      </c>
      <c r="C126" s="4" t="inlineStr">
        <is>
          <t>平常</t>
        </is>
      </c>
      <c r="D126" s="5" t="n">
        <v>304808</v>
      </c>
      <c r="E126" s="6" t="n">
        <v>14</v>
      </c>
      <c r="F126" s="6" t="n">
        <v>1407</v>
      </c>
      <c r="G126" s="7" t="n">
        <v>1</v>
      </c>
      <c r="H126" s="5" t="n">
        <v>21772</v>
      </c>
    </row>
    <row r="127">
      <c r="A127" s="3" t="n">
        <v>45962</v>
      </c>
      <c r="B127" s="4" t="inlineStr">
        <is>
          <t>土</t>
        </is>
      </c>
      <c r="C127" s="4" t="inlineStr">
        <is>
          <t>ワンダフルデー</t>
        </is>
      </c>
      <c r="D127" s="5" t="n">
        <v>629184</v>
      </c>
      <c r="E127" s="6" t="n">
        <v>25</v>
      </c>
      <c r="F127" s="6" t="n">
        <v>1646</v>
      </c>
      <c r="G127" s="7" t="n">
        <v>1.52</v>
      </c>
      <c r="H127" s="5" t="n">
        <v>25167</v>
      </c>
    </row>
    <row r="128">
      <c r="A128" s="3" t="n">
        <v>45963</v>
      </c>
      <c r="B128" s="4" t="inlineStr">
        <is>
          <t>日</t>
        </is>
      </c>
      <c r="C128" s="4" t="inlineStr">
        <is>
          <t>平常</t>
        </is>
      </c>
      <c r="D128" s="5" t="n">
        <v>302760</v>
      </c>
      <c r="E128" s="6" t="n">
        <v>13</v>
      </c>
      <c r="F128" s="6" t="n">
        <v>2627</v>
      </c>
      <c r="G128" s="7" t="n">
        <v>0.49</v>
      </c>
      <c r="H128" s="5" t="n">
        <v>23289</v>
      </c>
    </row>
    <row r="129">
      <c r="A129" s="3" t="n">
        <v>45964</v>
      </c>
      <c r="B129" s="4" t="inlineStr">
        <is>
          <t>月</t>
        </is>
      </c>
      <c r="C129" s="4" t="inlineStr">
        <is>
          <t>平常</t>
        </is>
      </c>
      <c r="D129" s="5" t="n">
        <v>340352</v>
      </c>
      <c r="E129" s="6" t="n">
        <v>16</v>
      </c>
      <c r="F129" s="6" t="n">
        <v>1993</v>
      </c>
      <c r="G129" s="7" t="n">
        <v>0.8</v>
      </c>
      <c r="H129" s="5" t="n">
        <v>21272</v>
      </c>
    </row>
    <row r="130">
      <c r="A130" s="3" t="n">
        <v>45965</v>
      </c>
      <c r="B130" s="4" t="inlineStr">
        <is>
          <t>火</t>
        </is>
      </c>
      <c r="C130" s="4" t="inlineStr">
        <is>
          <t>平常</t>
        </is>
      </c>
      <c r="D130" s="5" t="n">
        <v>665868</v>
      </c>
      <c r="E130" s="6" t="n">
        <v>30</v>
      </c>
      <c r="F130" s="6" t="n">
        <v>1559</v>
      </c>
      <c r="G130" s="7" t="n">
        <v>1.92</v>
      </c>
      <c r="H130" s="5" t="n">
        <v>22196</v>
      </c>
    </row>
    <row r="131">
      <c r="A131" s="3" t="n">
        <v>45966</v>
      </c>
      <c r="B131" s="4" t="inlineStr">
        <is>
          <t>水</t>
        </is>
      </c>
      <c r="C131" s="4" t="inlineStr">
        <is>
          <t>5と0のつく日</t>
        </is>
      </c>
      <c r="D131" s="5" t="n">
        <v>899988</v>
      </c>
      <c r="E131" s="6" t="n">
        <v>34</v>
      </c>
      <c r="F131" s="6" t="n">
        <v>1631</v>
      </c>
      <c r="G131" s="7" t="n">
        <v>2.08</v>
      </c>
      <c r="H131" s="5" t="n">
        <v>26470</v>
      </c>
    </row>
    <row r="132">
      <c r="A132" s="3" t="n">
        <v>45967</v>
      </c>
      <c r="B132" s="4" t="inlineStr">
        <is>
          <t>木</t>
        </is>
      </c>
      <c r="C132" s="4" t="inlineStr">
        <is>
          <t>平常</t>
        </is>
      </c>
      <c r="D132" s="5" t="n">
        <v>352792</v>
      </c>
      <c r="E132" s="6" t="n">
        <v>14</v>
      </c>
      <c r="F132" s="6" t="n">
        <v>1166</v>
      </c>
      <c r="G132" s="7" t="n">
        <v>1.2</v>
      </c>
      <c r="H132" s="5" t="n">
        <v>25199</v>
      </c>
    </row>
    <row r="133">
      <c r="A133" s="3" t="n">
        <v>45968</v>
      </c>
      <c r="B133" s="4" t="inlineStr">
        <is>
          <t>金</t>
        </is>
      </c>
      <c r="C133" s="4" t="inlineStr">
        <is>
          <t>平常</t>
        </is>
      </c>
      <c r="D133" s="5" t="n">
        <v>142204</v>
      </c>
      <c r="E133" s="6" t="n">
        <v>8</v>
      </c>
      <c r="F133" s="6" t="n">
        <v>1333</v>
      </c>
      <c r="G133" s="7" t="n">
        <v>0.6</v>
      </c>
      <c r="H133" s="5" t="n">
        <v>17776</v>
      </c>
    </row>
    <row r="134">
      <c r="A134" s="3" t="n">
        <v>45969</v>
      </c>
      <c r="B134" s="4" t="inlineStr">
        <is>
          <t>土</t>
        </is>
      </c>
      <c r="C134" s="4" t="inlineStr">
        <is>
          <t>平常</t>
        </is>
      </c>
      <c r="D134" s="5" t="n">
        <v>417080</v>
      </c>
      <c r="E134" s="6" t="n">
        <v>22</v>
      </c>
      <c r="F134" s="6" t="n">
        <v>1897</v>
      </c>
      <c r="G134" s="7" t="n">
        <v>1.16</v>
      </c>
      <c r="H134" s="5" t="n">
        <v>18958</v>
      </c>
    </row>
    <row r="135">
      <c r="A135" s="3" t="n">
        <v>45970</v>
      </c>
      <c r="B135" s="4" t="inlineStr">
        <is>
          <t>日</t>
        </is>
      </c>
      <c r="C135" s="4" t="inlineStr">
        <is>
          <t>平常</t>
        </is>
      </c>
      <c r="D135" s="5" t="n">
        <v>471236</v>
      </c>
      <c r="E135" s="6" t="n">
        <v>19</v>
      </c>
      <c r="F135" s="6" t="n">
        <v>2073</v>
      </c>
      <c r="G135" s="7" t="n">
        <v>0.92</v>
      </c>
      <c r="H135" s="5" t="n">
        <v>24802</v>
      </c>
    </row>
    <row r="136">
      <c r="A136" s="3" t="n">
        <v>45971</v>
      </c>
      <c r="B136" s="4" t="inlineStr">
        <is>
          <t>月</t>
        </is>
      </c>
      <c r="C136" s="4" t="inlineStr">
        <is>
          <t>5と0のつく日</t>
        </is>
      </c>
      <c r="D136" s="5" t="n">
        <v>1320524</v>
      </c>
      <c r="E136" s="6" t="n">
        <v>54</v>
      </c>
      <c r="F136" s="6" t="n">
        <v>1907</v>
      </c>
      <c r="G136" s="7" t="n">
        <v>2.83</v>
      </c>
      <c r="H136" s="5" t="n">
        <v>24454</v>
      </c>
    </row>
    <row r="137">
      <c r="A137" s="3" t="n">
        <v>45972</v>
      </c>
      <c r="B137" s="4" t="inlineStr">
        <is>
          <t>火</t>
        </is>
      </c>
      <c r="C137" s="4" t="inlineStr">
        <is>
          <t>平常</t>
        </is>
      </c>
      <c r="D137" s="5" t="n">
        <v>273456</v>
      </c>
      <c r="E137" s="6" t="n">
        <v>12</v>
      </c>
      <c r="F137" s="6" t="n">
        <v>1739</v>
      </c>
      <c r="G137" s="7" t="n">
        <v>0.6899999999999999</v>
      </c>
      <c r="H137" s="5" t="n">
        <v>22788</v>
      </c>
    </row>
    <row r="138">
      <c r="A138" s="3" t="n">
        <v>45973</v>
      </c>
      <c r="B138" s="4" t="inlineStr">
        <is>
          <t>水</t>
        </is>
      </c>
      <c r="C138" s="4" t="inlineStr">
        <is>
          <t>平常</t>
        </is>
      </c>
      <c r="D138" s="5" t="n">
        <v>330168</v>
      </c>
      <c r="E138" s="6" t="n">
        <v>18</v>
      </c>
      <c r="F138" s="6" t="n">
        <v>2083</v>
      </c>
      <c r="G138" s="7" t="n">
        <v>0.86</v>
      </c>
      <c r="H138" s="5" t="n">
        <v>18343</v>
      </c>
    </row>
    <row r="139">
      <c r="A139" s="3" t="n">
        <v>45974</v>
      </c>
      <c r="B139" s="4" t="inlineStr">
        <is>
          <t>木</t>
        </is>
      </c>
      <c r="C139" s="4" t="inlineStr">
        <is>
          <t>平常</t>
        </is>
      </c>
      <c r="D139" s="5" t="n">
        <v>119496</v>
      </c>
      <c r="E139" s="6" t="n">
        <v>6</v>
      </c>
      <c r="F139" s="6" t="n">
        <v>3361</v>
      </c>
      <c r="G139" s="7" t="n">
        <v>0.18</v>
      </c>
      <c r="H139" s="5" t="n">
        <v>19916</v>
      </c>
    </row>
    <row r="140">
      <c r="A140" s="3" t="n">
        <v>45975</v>
      </c>
      <c r="B140" s="4" t="inlineStr">
        <is>
          <t>金</t>
        </is>
      </c>
      <c r="C140" s="4" t="inlineStr">
        <is>
          <t>平常</t>
        </is>
      </c>
      <c r="D140" s="5" t="n">
        <v>328248</v>
      </c>
      <c r="E140" s="6" t="n">
        <v>17</v>
      </c>
      <c r="F140" s="6" t="n">
        <v>5467</v>
      </c>
      <c r="G140" s="7" t="n">
        <v>0.31</v>
      </c>
      <c r="H140" s="5" t="n">
        <v>19309</v>
      </c>
    </row>
    <row r="141">
      <c r="A141" s="3" t="n">
        <v>45976</v>
      </c>
      <c r="B141" s="4" t="inlineStr">
        <is>
          <t>土</t>
        </is>
      </c>
      <c r="C141" s="4" t="inlineStr">
        <is>
          <t>5と0のつく日</t>
        </is>
      </c>
      <c r="D141" s="5" t="n">
        <v>309672</v>
      </c>
      <c r="E141" s="6" t="n">
        <v>17</v>
      </c>
      <c r="F141" s="6" t="n">
        <v>6499</v>
      </c>
      <c r="G141" s="7" t="n">
        <v>0.26</v>
      </c>
      <c r="H141" s="5" t="n">
        <v>18216</v>
      </c>
    </row>
    <row r="142">
      <c r="A142" s="3" t="n">
        <v>45977</v>
      </c>
      <c r="B142" s="4" t="inlineStr">
        <is>
          <t>日</t>
        </is>
      </c>
      <c r="C142" s="4" t="inlineStr">
        <is>
          <t>平常</t>
        </is>
      </c>
      <c r="D142" s="5" t="n">
        <v>525888</v>
      </c>
      <c r="E142" s="6" t="n">
        <v>22</v>
      </c>
      <c r="F142" s="6" t="n">
        <v>7110</v>
      </c>
      <c r="G142" s="7" t="n">
        <v>0.31</v>
      </c>
      <c r="H142" s="5" t="n">
        <v>23904</v>
      </c>
    </row>
    <row r="143">
      <c r="A143" s="3" t="n">
        <v>45978</v>
      </c>
      <c r="B143" s="4" t="inlineStr">
        <is>
          <t>月</t>
        </is>
      </c>
      <c r="C143" s="4" t="inlineStr">
        <is>
          <t>平常</t>
        </is>
      </c>
      <c r="D143" s="5" t="n">
        <v>164024</v>
      </c>
      <c r="E143" s="6" t="n">
        <v>10</v>
      </c>
      <c r="F143" s="6" t="n">
        <v>6543</v>
      </c>
      <c r="G143" s="7" t="n">
        <v>0.15</v>
      </c>
      <c r="H143" s="5" t="n">
        <v>16402</v>
      </c>
    </row>
    <row r="144">
      <c r="A144" s="3" t="n">
        <v>45979</v>
      </c>
      <c r="B144" s="4" t="inlineStr">
        <is>
          <t>火</t>
        </is>
      </c>
      <c r="C144" s="4" t="inlineStr">
        <is>
          <t>平常</t>
        </is>
      </c>
      <c r="D144" s="5" t="n">
        <v>256488</v>
      </c>
      <c r="E144" s="6" t="n">
        <v>14</v>
      </c>
      <c r="F144" s="6" t="n">
        <v>6526</v>
      </c>
      <c r="G144" s="7" t="n">
        <v>0.21</v>
      </c>
      <c r="H144" s="5" t="n">
        <v>18321</v>
      </c>
    </row>
    <row r="145">
      <c r="A145" s="3" t="n">
        <v>45980</v>
      </c>
      <c r="B145" s="4" t="inlineStr">
        <is>
          <t>水</t>
        </is>
      </c>
      <c r="C145" s="4" t="inlineStr">
        <is>
          <t>平常</t>
        </is>
      </c>
      <c r="D145" s="5" t="n">
        <v>151752</v>
      </c>
      <c r="E145" s="6" t="n">
        <v>14</v>
      </c>
      <c r="F145" s="6" t="n">
        <v>6714</v>
      </c>
      <c r="G145" s="7" t="n">
        <v>0.21</v>
      </c>
      <c r="H145" s="5" t="n">
        <v>10839</v>
      </c>
    </row>
    <row r="146">
      <c r="A146" s="3" t="n">
        <v>45981</v>
      </c>
      <c r="B146" s="4" t="inlineStr">
        <is>
          <t>木</t>
        </is>
      </c>
      <c r="C146" s="4" t="inlineStr">
        <is>
          <t>5と0のつく日</t>
        </is>
      </c>
      <c r="D146" s="5" t="n">
        <v>814292</v>
      </c>
      <c r="E146" s="6" t="n">
        <v>38</v>
      </c>
      <c r="F146" s="6" t="n">
        <v>6997</v>
      </c>
      <c r="G146" s="7" t="n">
        <v>0.54</v>
      </c>
      <c r="H146" s="5" t="n">
        <v>21429</v>
      </c>
    </row>
    <row r="147">
      <c r="A147" s="3" t="n">
        <v>45982</v>
      </c>
      <c r="B147" s="4" t="inlineStr">
        <is>
          <t>金</t>
        </is>
      </c>
      <c r="C147" s="4" t="inlineStr">
        <is>
          <t>平常</t>
        </is>
      </c>
      <c r="D147" s="5" t="n">
        <v>310312</v>
      </c>
      <c r="E147" s="6" t="n">
        <v>14</v>
      </c>
      <c r="F147" s="6" t="n">
        <v>6014</v>
      </c>
      <c r="G147" s="7" t="n">
        <v>0.23</v>
      </c>
      <c r="H147" s="5" t="n">
        <v>22165</v>
      </c>
    </row>
    <row r="148">
      <c r="A148" s="3" t="n">
        <v>45983</v>
      </c>
      <c r="B148" s="4" t="inlineStr">
        <is>
          <t>土</t>
        </is>
      </c>
      <c r="C148" s="4" t="inlineStr">
        <is>
          <t>平常</t>
        </is>
      </c>
      <c r="D148" s="5" t="n">
        <v>389860</v>
      </c>
      <c r="E148" s="6" t="n">
        <v>19</v>
      </c>
      <c r="F148" s="6" t="n">
        <v>7274</v>
      </c>
      <c r="G148" s="7" t="n">
        <v>0.26</v>
      </c>
      <c r="H148" s="5" t="n">
        <v>20519</v>
      </c>
    </row>
    <row r="149">
      <c r="A149" s="3" t="n">
        <v>45984</v>
      </c>
      <c r="B149" s="4" t="inlineStr">
        <is>
          <t>日</t>
        </is>
      </c>
      <c r="C149" s="4" t="inlineStr">
        <is>
          <t>平常</t>
        </is>
      </c>
      <c r="D149" s="5" t="n">
        <v>708680</v>
      </c>
      <c r="E149" s="6" t="n">
        <v>26</v>
      </c>
      <c r="F149" s="6" t="n">
        <v>7298</v>
      </c>
      <c r="G149" s="7" t="n">
        <v>0.36</v>
      </c>
      <c r="H149" s="5" t="n">
        <v>27257</v>
      </c>
    </row>
    <row r="150">
      <c r="A150" s="3" t="n">
        <v>45985</v>
      </c>
      <c r="B150" s="4" t="inlineStr">
        <is>
          <t>月</t>
        </is>
      </c>
      <c r="C150" s="4" t="inlineStr">
        <is>
          <t>平常</t>
        </is>
      </c>
      <c r="D150" s="5" t="n">
        <v>433140</v>
      </c>
      <c r="E150" s="6" t="n">
        <v>18</v>
      </c>
      <c r="F150" s="6" t="n">
        <v>7783</v>
      </c>
      <c r="G150" s="7" t="n">
        <v>0.23</v>
      </c>
      <c r="H150" s="5" t="n">
        <v>24063</v>
      </c>
    </row>
    <row r="151">
      <c r="A151" s="3" t="n">
        <v>45986</v>
      </c>
      <c r="B151" s="4" t="inlineStr">
        <is>
          <t>火</t>
        </is>
      </c>
      <c r="C151" s="4" t="inlineStr">
        <is>
          <t>5と0のつく日</t>
        </is>
      </c>
      <c r="D151" s="5" t="n">
        <v>1549300</v>
      </c>
      <c r="E151" s="6" t="n">
        <v>59</v>
      </c>
      <c r="F151" s="6" t="n">
        <v>6466</v>
      </c>
      <c r="G151" s="7" t="n">
        <v>0.91</v>
      </c>
      <c r="H151" s="5" t="n">
        <v>26259</v>
      </c>
    </row>
    <row r="152">
      <c r="A152" s="3" t="n">
        <v>45987</v>
      </c>
      <c r="B152" s="4" t="inlineStr">
        <is>
          <t>水</t>
        </is>
      </c>
      <c r="C152" s="4" t="inlineStr">
        <is>
          <t>平常</t>
        </is>
      </c>
      <c r="D152" s="5" t="n">
        <v>1407962</v>
      </c>
      <c r="E152" s="6" t="n">
        <v>56</v>
      </c>
      <c r="F152" s="6" t="n">
        <v>5028</v>
      </c>
      <c r="G152" s="7" t="n">
        <v>1.11</v>
      </c>
      <c r="H152" s="5" t="n">
        <v>25142</v>
      </c>
    </row>
    <row r="153">
      <c r="A153" s="3" t="n">
        <v>45988</v>
      </c>
      <c r="B153" s="4" t="inlineStr">
        <is>
          <t>木</t>
        </is>
      </c>
      <c r="C153" s="4" t="inlineStr">
        <is>
          <t>平常</t>
        </is>
      </c>
      <c r="D153" s="5" t="n">
        <v>364120</v>
      </c>
      <c r="E153" s="6" t="n">
        <v>18</v>
      </c>
      <c r="F153" s="6" t="n">
        <v>4553</v>
      </c>
      <c r="G153" s="7" t="n">
        <v>0.4</v>
      </c>
      <c r="H153" s="5" t="n">
        <v>20229</v>
      </c>
    </row>
    <row r="154">
      <c r="A154" s="3" t="n">
        <v>45989</v>
      </c>
      <c r="B154" s="4" t="inlineStr">
        <is>
          <t>金</t>
        </is>
      </c>
      <c r="C154" s="4" t="inlineStr">
        <is>
          <t>平常</t>
        </is>
      </c>
      <c r="D154" s="5" t="n">
        <v>154414</v>
      </c>
      <c r="E154" s="6" t="n">
        <v>10</v>
      </c>
      <c r="F154" s="6" t="n">
        <v>4164</v>
      </c>
      <c r="G154" s="7" t="n">
        <v>0.24</v>
      </c>
      <c r="H154" s="5" t="n">
        <v>15441</v>
      </c>
    </row>
    <row r="155">
      <c r="A155" s="3" t="n">
        <v>45990</v>
      </c>
      <c r="B155" s="4" t="inlineStr">
        <is>
          <t>土</t>
        </is>
      </c>
      <c r="C155" s="4" t="inlineStr">
        <is>
          <t>平常</t>
        </is>
      </c>
      <c r="D155" s="5" t="n">
        <v>280864</v>
      </c>
      <c r="E155" s="6" t="n">
        <v>12</v>
      </c>
      <c r="F155" s="6" t="n">
        <v>4763</v>
      </c>
      <c r="G155" s="7" t="n">
        <v>0.25</v>
      </c>
      <c r="H155" s="5" t="n">
        <v>23405</v>
      </c>
    </row>
    <row r="156">
      <c r="A156" s="3" t="n">
        <v>45991</v>
      </c>
      <c r="B156" s="4" t="inlineStr">
        <is>
          <t>日</t>
        </is>
      </c>
      <c r="C156" s="4" t="inlineStr">
        <is>
          <t>5と0のつく日</t>
        </is>
      </c>
      <c r="D156" s="5" t="n">
        <v>673272</v>
      </c>
      <c r="E156" s="6" t="n">
        <v>25</v>
      </c>
      <c r="F156" s="6" t="n">
        <v>3674</v>
      </c>
      <c r="G156" s="7" t="n">
        <v>0.68</v>
      </c>
      <c r="H156" s="5" t="n">
        <v>26931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7" customWidth="1" min="3" max="3"/>
    <col width="13" customWidth="1" min="4" max="4"/>
    <col width="8" customWidth="1" min="5" max="5"/>
    <col width="11" customWidth="1" min="6" max="6"/>
    <col width="12" customWidth="1" min="7" max="7"/>
    <col width="10" customWidth="1" min="8" max="8"/>
  </cols>
  <sheetData>
    <row r="1">
      <c r="A1" s="1" t="inlineStr">
        <is>
          <t>月次トレンド（楽天・実績）</t>
        </is>
      </c>
    </row>
    <row r="2">
      <c r="A2" s="2" t="inlineStr">
        <is>
          <t>月</t>
        </is>
      </c>
      <c r="B2" s="2" t="inlineStr">
        <is>
          <t>月商</t>
        </is>
      </c>
      <c r="C2" s="2" t="inlineStr">
        <is>
          <t>日数</t>
        </is>
      </c>
      <c r="D2" s="2" t="inlineStr">
        <is>
          <t>日平均</t>
        </is>
      </c>
      <c r="E2" s="2" t="inlineStr">
        <is>
          <t>件数</t>
        </is>
      </c>
      <c r="F2" s="2" t="inlineStr">
        <is>
          <t>客単価</t>
        </is>
      </c>
      <c r="G2" s="2" t="inlineStr">
        <is>
          <t>総アクセス</t>
        </is>
      </c>
      <c r="H2" s="2" t="inlineStr">
        <is>
          <t>前月比</t>
        </is>
      </c>
    </row>
    <row r="3">
      <c r="A3" s="8" t="inlineStr">
        <is>
          <t>2025-07</t>
        </is>
      </c>
      <c r="B3" s="9">
        <f>SUMIFS('日次データ'!$D$4:$D$156,'日次データ'!$A$4:$A$156,"&gt;="&amp;DATE(2025,7,1),'日次データ'!$A$4:$A$156,"&lt;="&amp;DATE(2025,7,31))</f>
        <v/>
      </c>
      <c r="C3" s="10">
        <f>COUNTIFS('日次データ'!$A$4:$A$156,"&gt;="&amp;DATE(2025,7,1),'日次データ'!$A$4:$A$156,"&lt;="&amp;DATE(2025,7,31))</f>
        <v/>
      </c>
      <c r="D3" s="9">
        <f>IFERROR(B3/C3,0)</f>
        <v/>
      </c>
      <c r="E3" s="10">
        <f>SUMIFS('日次データ'!$E$4:$E$156,'日次データ'!$A$4:$A$156,"&gt;="&amp;DATE(2025,7,1),'日次データ'!$A$4:$A$156,"&lt;="&amp;DATE(2025,7,31))</f>
        <v/>
      </c>
      <c r="F3" s="9">
        <f>IFERROR(B3/E3,0)</f>
        <v/>
      </c>
      <c r="G3" s="10">
        <f>SUMIFS('日次データ'!$F$4:$F$156,'日次データ'!$A$4:$A$156,"&gt;="&amp;DATE(2025,7,1),'日次データ'!$A$4:$A$156,"&lt;="&amp;DATE(2025,7,31))</f>
        <v/>
      </c>
      <c r="H3" s="11">
        <f>"—"</f>
        <v/>
      </c>
    </row>
    <row r="4">
      <c r="A4" s="8" t="inlineStr">
        <is>
          <t>2025-08</t>
        </is>
      </c>
      <c r="B4" s="9">
        <f>SUMIFS('日次データ'!$D$4:$D$156,'日次データ'!$A$4:$A$156,"&gt;="&amp;DATE(2025,8,1),'日次データ'!$A$4:$A$156,"&lt;="&amp;DATE(2025,8,31))</f>
        <v/>
      </c>
      <c r="C4" s="10">
        <f>COUNTIFS('日次データ'!$A$4:$A$156,"&gt;="&amp;DATE(2025,8,1),'日次データ'!$A$4:$A$156,"&lt;="&amp;DATE(2025,8,31))</f>
        <v/>
      </c>
      <c r="D4" s="9">
        <f>IFERROR(B4/C4,0)</f>
        <v/>
      </c>
      <c r="E4" s="10">
        <f>SUMIFS('日次データ'!$E$4:$E$156,'日次データ'!$A$4:$A$156,"&gt;="&amp;DATE(2025,8,1),'日次データ'!$A$4:$A$156,"&lt;="&amp;DATE(2025,8,31))</f>
        <v/>
      </c>
      <c r="F4" s="9">
        <f>IFERROR(B4/E4,0)</f>
        <v/>
      </c>
      <c r="G4" s="10">
        <f>SUMIFS('日次データ'!$F$4:$F$156,'日次データ'!$A$4:$A$156,"&gt;="&amp;DATE(2025,8,1),'日次データ'!$A$4:$A$156,"&lt;="&amp;DATE(2025,8,31))</f>
        <v/>
      </c>
      <c r="H4" s="11">
        <f>IFERROR(B4/B3-1,0)</f>
        <v/>
      </c>
    </row>
    <row r="5">
      <c r="A5" s="8" t="inlineStr">
        <is>
          <t>2025-09</t>
        </is>
      </c>
      <c r="B5" s="9">
        <f>SUMIFS('日次データ'!$D$4:$D$156,'日次データ'!$A$4:$A$156,"&gt;="&amp;DATE(2025,9,1),'日次データ'!$A$4:$A$156,"&lt;="&amp;DATE(2025,9,30))</f>
        <v/>
      </c>
      <c r="C5" s="10">
        <f>COUNTIFS('日次データ'!$A$4:$A$156,"&gt;="&amp;DATE(2025,9,1),'日次データ'!$A$4:$A$156,"&lt;="&amp;DATE(2025,9,30))</f>
        <v/>
      </c>
      <c r="D5" s="9">
        <f>IFERROR(B5/C5,0)</f>
        <v/>
      </c>
      <c r="E5" s="10">
        <f>SUMIFS('日次データ'!$E$4:$E$156,'日次データ'!$A$4:$A$156,"&gt;="&amp;DATE(2025,9,1),'日次データ'!$A$4:$A$156,"&lt;="&amp;DATE(2025,9,30))</f>
        <v/>
      </c>
      <c r="F5" s="9">
        <f>IFERROR(B5/E5,0)</f>
        <v/>
      </c>
      <c r="G5" s="10">
        <f>SUMIFS('日次データ'!$F$4:$F$156,'日次データ'!$A$4:$A$156,"&gt;="&amp;DATE(2025,9,1),'日次データ'!$A$4:$A$156,"&lt;="&amp;DATE(2025,9,30))</f>
        <v/>
      </c>
      <c r="H5" s="11">
        <f>IFERROR(B5/B4-1,0)</f>
        <v/>
      </c>
    </row>
    <row r="6">
      <c r="A6" s="8" t="inlineStr">
        <is>
          <t>2025-10</t>
        </is>
      </c>
      <c r="B6" s="9">
        <f>SUMIFS('日次データ'!$D$4:$D$156,'日次データ'!$A$4:$A$156,"&gt;="&amp;DATE(2025,10,1),'日次データ'!$A$4:$A$156,"&lt;="&amp;DATE(2025,10,31))</f>
        <v/>
      </c>
      <c r="C6" s="10">
        <f>COUNTIFS('日次データ'!$A$4:$A$156,"&gt;="&amp;DATE(2025,10,1),'日次データ'!$A$4:$A$156,"&lt;="&amp;DATE(2025,10,31))</f>
        <v/>
      </c>
      <c r="D6" s="9">
        <f>IFERROR(B6/C6,0)</f>
        <v/>
      </c>
      <c r="E6" s="10">
        <f>SUMIFS('日次データ'!$E$4:$E$156,'日次データ'!$A$4:$A$156,"&gt;="&amp;DATE(2025,10,1),'日次データ'!$A$4:$A$156,"&lt;="&amp;DATE(2025,10,31))</f>
        <v/>
      </c>
      <c r="F6" s="9">
        <f>IFERROR(B6/E6,0)</f>
        <v/>
      </c>
      <c r="G6" s="10">
        <f>SUMIFS('日次データ'!$F$4:$F$156,'日次データ'!$A$4:$A$156,"&gt;="&amp;DATE(2025,10,1),'日次データ'!$A$4:$A$156,"&lt;="&amp;DATE(2025,10,31))</f>
        <v/>
      </c>
      <c r="H6" s="11">
        <f>IFERROR(B6/B5-1,0)</f>
        <v/>
      </c>
    </row>
    <row r="7">
      <c r="A7" s="8" t="inlineStr">
        <is>
          <t>2025-11</t>
        </is>
      </c>
      <c r="B7" s="9">
        <f>SUMIFS('日次データ'!$D$4:$D$156,'日次データ'!$A$4:$A$156,"&gt;="&amp;DATE(2025,11,1),'日次データ'!$A$4:$A$156,"&lt;="&amp;DATE(2025,11,30))</f>
        <v/>
      </c>
      <c r="C7" s="10">
        <f>COUNTIFS('日次データ'!$A$4:$A$156,"&gt;="&amp;DATE(2025,11,1),'日次データ'!$A$4:$A$156,"&lt;="&amp;DATE(2025,11,30))</f>
        <v/>
      </c>
      <c r="D7" s="9">
        <f>IFERROR(B7/C7,0)</f>
        <v/>
      </c>
      <c r="E7" s="10">
        <f>SUMIFS('日次データ'!$E$4:$E$156,'日次データ'!$A$4:$A$156,"&gt;="&amp;DATE(2025,11,1),'日次データ'!$A$4:$A$156,"&lt;="&amp;DATE(2025,11,30))</f>
        <v/>
      </c>
      <c r="F7" s="9">
        <f>IFERROR(B7/E7,0)</f>
        <v/>
      </c>
      <c r="G7" s="10">
        <f>SUMIFS('日次データ'!$F$4:$F$156,'日次データ'!$A$4:$A$156,"&gt;="&amp;DATE(2025,11,1),'日次データ'!$A$4:$A$156,"&lt;="&amp;DATE(2025,11,30))</f>
        <v/>
      </c>
      <c r="H7" s="11">
        <f>IFERROR(B7/B6-1,0)</f>
        <v/>
      </c>
    </row>
    <row r="8">
      <c r="A8" s="12" t="inlineStr">
        <is>
          <t>合計/平均</t>
        </is>
      </c>
      <c r="B8" s="13">
        <f>SUM(B3:B7)</f>
        <v/>
      </c>
      <c r="C8" s="14">
        <f>SUM(C3:C7)</f>
        <v/>
      </c>
      <c r="D8" s="13">
        <f>IFERROR(B8/C8,0)</f>
        <v/>
      </c>
      <c r="E8" s="14">
        <f>SUM(E3:E7)</f>
        <v/>
      </c>
      <c r="F8" s="13">
        <f>IFERROR(B8/E8,0)</f>
        <v/>
      </c>
      <c r="G8" s="14">
        <f>SUM(G3:G7)</f>
        <v/>
      </c>
      <c r="H8" s="12" t="n"/>
    </row>
  </sheetData>
  <mergeCells count="1">
    <mergeCell ref="A1:H1"/>
  </mergeCells>
  <conditionalFormatting sqref="H4:H7">
    <cfRule type="cellIs" priority="1" operator="lessThan" dxfId="0">
      <formula>-0.15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イベント効果（実測倍率・平常日=1.00）</t>
        </is>
      </c>
    </row>
    <row r="2">
      <c r="A2" s="15" t="inlineStr">
        <is>
          <t>この倍率が予想の心臓部。仮値ではなく実績から算出。</t>
        </is>
      </c>
    </row>
    <row r="3">
      <c r="A3" s="2" t="inlineStr">
        <is>
          <t>イベント種別</t>
        </is>
      </c>
      <c r="B3" s="2" t="inlineStr">
        <is>
          <t>日平均売上</t>
        </is>
      </c>
      <c r="C3" s="2" t="inlineStr">
        <is>
          <t>日数</t>
        </is>
      </c>
      <c r="D3" s="2" t="inlineStr">
        <is>
          <t>リフト倍率</t>
        </is>
      </c>
      <c r="E3" s="2" t="inlineStr">
        <is>
          <t>平常日比+</t>
        </is>
      </c>
    </row>
    <row r="4">
      <c r="A4" s="16" t="inlineStr">
        <is>
          <t>平常</t>
        </is>
      </c>
      <c r="B4" s="5">
        <f>IFERROR(AVERAGEIFS('日次データ'!$D$4:$D$156,'日次データ'!$C$4:$C$156,$A4),0)</f>
        <v/>
      </c>
      <c r="C4" s="6">
        <f>COUNTIFS('日次データ'!$C$4:$C$156,$A4)</f>
        <v/>
      </c>
      <c r="D4" s="17">
        <f>IFERROR(B4/$B$4,0)</f>
        <v/>
      </c>
      <c r="E4" s="18">
        <f>IFERROR(B4/$B$4-1,0)</f>
        <v/>
      </c>
    </row>
    <row r="5">
      <c r="A5" s="8" t="inlineStr">
        <is>
          <t>5と0のつく日</t>
        </is>
      </c>
      <c r="B5" s="5">
        <f>IFERROR(AVERAGEIFS('日次データ'!$D$4:$D$156,'日次データ'!$C$4:$C$156,$A5),0)</f>
        <v/>
      </c>
      <c r="C5" s="6">
        <f>COUNTIFS('日次データ'!$C$4:$C$156,$A5)</f>
        <v/>
      </c>
      <c r="D5" s="17">
        <f>IFERROR(B5/$B$4,0)</f>
        <v/>
      </c>
      <c r="E5" s="18">
        <f>IFERROR(B5/$B$4-1,0)</f>
        <v/>
      </c>
    </row>
    <row r="6">
      <c r="A6" s="8" t="inlineStr">
        <is>
          <t>ワンダフルデー</t>
        </is>
      </c>
      <c r="B6" s="5">
        <f>IFERROR(AVERAGEIFS('日次データ'!$D$4:$D$156,'日次データ'!$C$4:$C$156,$A6),0)</f>
        <v/>
      </c>
      <c r="C6" s="6">
        <f>COUNTIFS('日次データ'!$C$4:$C$156,$A6)</f>
        <v/>
      </c>
      <c r="D6" s="17">
        <f>IFERROR(B6/$B$4,0)</f>
        <v/>
      </c>
      <c r="E6" s="18">
        <f>IFERROR(B6/$B$4-1,0)</f>
        <v/>
      </c>
    </row>
    <row r="7">
      <c r="A7" s="8" t="inlineStr">
        <is>
          <t>スーパーSALE</t>
        </is>
      </c>
      <c r="B7" s="5">
        <f>IFERROR(AVERAGEIFS('日次データ'!$D$4:$D$156,'日次データ'!$C$4:$C$156,$A7),0)</f>
        <v/>
      </c>
      <c r="C7" s="6">
        <f>COUNTIFS('日次データ'!$C$4:$C$156,$A7)</f>
        <v/>
      </c>
      <c r="D7" s="17">
        <f>IFERROR(B7/$B$4,0)</f>
        <v/>
      </c>
      <c r="E7" s="18">
        <f>IFERROR(B7/$B$4-1,0)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</cols>
  <sheetData>
    <row r="1">
      <c r="A1" s="1" t="inlineStr">
        <is>
          <t>曜日別 日平均売上（実績）</t>
        </is>
      </c>
    </row>
    <row r="2">
      <c r="A2" s="2" t="inlineStr">
        <is>
          <t>曜日</t>
        </is>
      </c>
      <c r="B2" s="2" t="inlineStr">
        <is>
          <t>日平均売上</t>
        </is>
      </c>
      <c r="C2" s="2" t="inlineStr">
        <is>
          <t>日数</t>
        </is>
      </c>
    </row>
    <row r="3">
      <c r="A3" s="8" t="inlineStr">
        <is>
          <t>月</t>
        </is>
      </c>
      <c r="B3" s="5">
        <f>IFERROR(AVERAGEIFS('日次データ'!$D$4:$D$156,'日次データ'!$B$4:$B$156,$A3),0)</f>
        <v/>
      </c>
      <c r="C3" s="6">
        <f>COUNTIFS('日次データ'!$B$4:$B$156,$A3)</f>
        <v/>
      </c>
    </row>
    <row r="4">
      <c r="A4" s="8" t="inlineStr">
        <is>
          <t>火</t>
        </is>
      </c>
      <c r="B4" s="5">
        <f>IFERROR(AVERAGEIFS('日次データ'!$D$4:$D$156,'日次データ'!$B$4:$B$156,$A4),0)</f>
        <v/>
      </c>
      <c r="C4" s="6">
        <f>COUNTIFS('日次データ'!$B$4:$B$156,$A4)</f>
        <v/>
      </c>
    </row>
    <row r="5">
      <c r="A5" s="8" t="inlineStr">
        <is>
          <t>水</t>
        </is>
      </c>
      <c r="B5" s="5">
        <f>IFERROR(AVERAGEIFS('日次データ'!$D$4:$D$156,'日次データ'!$B$4:$B$156,$A5),0)</f>
        <v/>
      </c>
      <c r="C5" s="6">
        <f>COUNTIFS('日次データ'!$B$4:$B$156,$A5)</f>
        <v/>
      </c>
    </row>
    <row r="6">
      <c r="A6" s="8" t="inlineStr">
        <is>
          <t>木</t>
        </is>
      </c>
      <c r="B6" s="5">
        <f>IFERROR(AVERAGEIFS('日次データ'!$D$4:$D$156,'日次データ'!$B$4:$B$156,$A6),0)</f>
        <v/>
      </c>
      <c r="C6" s="6">
        <f>COUNTIFS('日次データ'!$B$4:$B$156,$A6)</f>
        <v/>
      </c>
    </row>
    <row r="7">
      <c r="A7" s="8" t="inlineStr">
        <is>
          <t>金</t>
        </is>
      </c>
      <c r="B7" s="5">
        <f>IFERROR(AVERAGEIFS('日次データ'!$D$4:$D$156,'日次データ'!$B$4:$B$156,$A7),0)</f>
        <v/>
      </c>
      <c r="C7" s="6">
        <f>COUNTIFS('日次データ'!$B$4:$B$156,$A7)</f>
        <v/>
      </c>
    </row>
    <row r="8">
      <c r="A8" s="8" t="inlineStr">
        <is>
          <t>土</t>
        </is>
      </c>
      <c r="B8" s="5">
        <f>IFERROR(AVERAGEIFS('日次データ'!$D$4:$D$156,'日次データ'!$B$4:$B$156,$A8),0)</f>
        <v/>
      </c>
      <c r="C8" s="6">
        <f>COUNTIFS('日次データ'!$B$4:$B$156,$A8)</f>
        <v/>
      </c>
    </row>
    <row r="9">
      <c r="A9" s="8" t="inlineStr">
        <is>
          <t>日</t>
        </is>
      </c>
      <c r="B9" s="5">
        <f>IFERROR(AVERAGEIFS('日次データ'!$D$4:$D$156,'日次データ'!$B$4:$B$156,$A9),0)</f>
        <v/>
      </c>
      <c r="C9" s="6">
        <f>COUNTIFS('日次データ'!$B$4:$B$156,$A9)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0" customWidth="1" min="4" max="4"/>
  </cols>
  <sheetData>
    <row r="1">
      <c r="A1" s="1" t="inlineStr">
        <is>
          <t>次のイベント日 売上予想（実測ベース）</t>
        </is>
      </c>
    </row>
    <row r="3">
      <c r="A3" s="19" t="inlineStr">
        <is>
          <t>平常日ベースライン（実測）</t>
        </is>
      </c>
      <c r="B3" s="9">
        <f>'イベント効果'!B4</f>
        <v/>
      </c>
    </row>
    <row r="4">
      <c r="A4" s="20" t="inlineStr">
        <is>
          <t>予想したいイベント種別を選択→</t>
        </is>
      </c>
      <c r="B4" s="21" t="inlineStr">
        <is>
          <t>スーパーSALE</t>
        </is>
      </c>
    </row>
    <row r="6">
      <c r="A6" s="19" t="inlineStr">
        <is>
          <t>採用リフト倍率（実測）</t>
        </is>
      </c>
      <c r="B6" s="22">
        <f>IFERROR(INDEX('イベント効果'!$D$4:$D$7,MATCH($B$4,'イベント効果'!$A$4:$A$7,0)),1)</f>
        <v/>
      </c>
    </row>
    <row r="7">
      <c r="A7" s="19" t="inlineStr">
        <is>
          <t>本命 予想売上（単日）</t>
        </is>
      </c>
      <c r="B7" s="23">
        <f>B3*B6</f>
        <v/>
      </c>
    </row>
    <row r="8">
      <c r="A8" s="24" t="inlineStr">
        <is>
          <t>弱気(−20%)</t>
        </is>
      </c>
      <c r="B8" s="9">
        <f>B7*0.8</f>
        <v/>
      </c>
    </row>
    <row r="9">
      <c r="A9" s="24" t="inlineStr">
        <is>
          <t>強気(+20%)</t>
        </is>
      </c>
      <c r="B9" s="9">
        <f>B7*1.2</f>
        <v/>
      </c>
    </row>
    <row r="11">
      <c r="A11" s="15" t="inlineStr">
        <is>
          <t>※ 倍率は「イベント効果」シートの実測値に自動連動。データが増えれば精度も上がる。</t>
        </is>
      </c>
    </row>
  </sheetData>
  <mergeCells count="1">
    <mergeCell ref="A1:D1"/>
  </mergeCells>
  <dataValidations count="1">
    <dataValidation sqref="B4" showDropDown="0" showInputMessage="0" showErrorMessage="0" allowBlank="1" type="list">
      <formula1>"5と0のつく日,ワンダフルデー,スーパーSALE"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5" t="inlineStr">
        <is>
          <t>楽天分析ダッシュボード（2025年7〜11月・実績）の読み方</t>
        </is>
      </c>
    </row>
    <row r="2">
      <c r="A2" s="26" t="inlineStr"/>
    </row>
    <row r="3">
      <c r="A3" s="27" t="inlineStr">
        <is>
          <t>【最重要】9月→10月で月商が44%落ちた。原因はアクセス（集客）の半減。</t>
        </is>
      </c>
    </row>
    <row r="4">
      <c r="A4" s="26" t="inlineStr">
        <is>
          <t xml:space="preserve">  客単価・転換率は安定〜改善 → 商品や価格ではなく、集客（広告・イベント露出）の問題。</t>
        </is>
      </c>
    </row>
    <row r="5">
      <c r="A5" s="26" t="inlineStr">
        <is>
          <t xml:space="preserve">  打ち手：イベント日への広告集中と、平常日の集客底上げ。</t>
        </is>
      </c>
    </row>
    <row r="6">
      <c r="A6" s="26" t="inlineStr"/>
    </row>
    <row r="7">
      <c r="A7" s="27" t="inlineStr">
        <is>
          <t>【実測の倍率（予想の心臓部）】平常日=1.00に対し</t>
        </is>
      </c>
    </row>
    <row r="8">
      <c r="A8" s="26" t="inlineStr">
        <is>
          <t xml:space="preserve">  スーパーSALE ×2.99 / 5と0のつく日 ×2.23 / ワンダフルデー ×1.93</t>
        </is>
      </c>
    </row>
    <row r="9">
      <c r="A9" s="26" t="inlineStr">
        <is>
          <t xml:space="preserve">  平常日ベースライン ¥547,647/日（実測112日平均）</t>
        </is>
      </c>
    </row>
    <row r="10">
      <c r="A10" s="26" t="inlineStr"/>
    </row>
    <row r="11">
      <c r="A11" s="27" t="inlineStr">
        <is>
          <t>【シート】</t>
        </is>
      </c>
    </row>
    <row r="12">
      <c r="A12" s="26" t="inlineStr">
        <is>
          <t xml:space="preserve">  日次データ … 153日の実績（売上/件数/アクセス/転換率/客単価/イベント種別）</t>
        </is>
      </c>
    </row>
    <row r="13">
      <c r="A13" s="26" t="inlineStr">
        <is>
          <t xml:space="preserve">  月次トレンド … 月商推移と前月比（悪化は赤）</t>
        </is>
      </c>
    </row>
    <row r="14">
      <c r="A14" s="26" t="inlineStr">
        <is>
          <t xml:space="preserve">  イベント効果 … 実測の種別別リフト倍率</t>
        </is>
      </c>
    </row>
    <row r="15">
      <c r="A15" s="26" t="inlineStr">
        <is>
          <t xml:space="preserve">  曜日別 … 日曜が最強・金曜が最弱</t>
        </is>
      </c>
    </row>
    <row r="16">
      <c r="A16" s="26" t="inlineStr">
        <is>
          <t xml:space="preserve">  予想 … 種別を選ぶと 実測倍率 × ベースライン で単日予想</t>
        </is>
      </c>
    </row>
    <row r="17">
      <c r="A17" s="26" t="inlineStr"/>
    </row>
    <row r="18">
      <c r="A18" s="28" t="inlineStr">
        <is>
          <t>色：青字＝入力 / 黒字＝自動計算 / 緑字＝参照。数値はすべて楽天の実データ。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2026-07-27T14:13:38Z</dcterms:created>
  <dcterms:modified xsi:type="dcterms:W3CDTF">2026-07-27T14:13:38Z</dcterms:modified>
</cp:coreProperties>
</file>