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額まとめ" sheetId="1" state="visible" r:id="rId1"/>
    <sheet name="グラフ" sheetId="2" state="visible" r:id="rId2"/>
    <sheet name="日別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yyyy-mm-dd"/>
    <numFmt numFmtId="166" formatCode="m/d(aaa)"/>
  </numFmts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color rgb="00C0392B"/>
      <sz val="13"/>
    </font>
    <font>
      <name val="Arial"/>
      <b val="1"/>
      <color rgb="00C0392B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E2D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164" fontId="4" fillId="8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9" borderId="0" pivotButton="0" quotePrefix="0" xfId="0"/>
    <xf numFmtId="0" fontId="6" fillId="0" borderId="0" pivotButton="0" quotePrefix="0" xfId="0"/>
    <xf numFmtId="166" fontId="0" fillId="5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1日あたり売上：通常予算 vs 増額後（転換率キープ）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'グラフ'!$I$2:$I$6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'グラフ'!$J$2:$J$6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円/日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月間差額 +¥16.5M の内訳（セグメント別）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'グラフ'!K1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8月 月商：通常予算 → 増額後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'グラフ'!I8</f>
            </strRef>
          </tx>
          <spPr>
            <a:ln>
              <a:prstDash val="solid"/>
            </a:ln>
          </spPr>
          <cat>
            <numRef>
              <f>'グラフ'!$H$9:$H$10</f>
            </numRef>
          </cat>
          <val>
            <numRef>
              <f>'グラフ'!$I$9:$I$10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2</row>
      <rowOff>0</rowOff>
    </from>
    <ext cx="39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10" customWidth="1" min="4" max="4"/>
    <col width="13" customWidth="1" min="5" max="5"/>
    <col width="14" customWidth="1" min="6" max="6"/>
    <col width="13" customWidth="1" min="7" max="7"/>
    <col width="14" customWidth="1" min="8" max="8"/>
    <col width="15" customWidth="1" min="9" max="9"/>
  </cols>
  <sheetData>
    <row r="1">
      <c r="A1" s="1" t="inlineStr">
        <is>
          <t>通常予算 vs 増額：売上の差額（転換率キープ・2026年8月公式カレンダー）</t>
        </is>
      </c>
    </row>
    <row r="2">
      <c r="A2" s="2" t="inlineStr">
        <is>
          <t>平日1万→1.5万（+50%）／イベント日3万→4万アクセス。メタ広告（スーツケース）で調整。1アクセス価値＝2026実績の転換率×客単価。</t>
        </is>
      </c>
    </row>
    <row r="4">
      <c r="A4" s="3" t="inlineStr">
        <is>
          <t>セグメント</t>
        </is>
      </c>
      <c r="B4" s="3" t="inlineStr">
        <is>
          <t>日数</t>
        </is>
      </c>
      <c r="C4" s="3" t="inlineStr">
        <is>
          <t>現行
アクセス</t>
        </is>
      </c>
      <c r="D4" s="3" t="inlineStr">
        <is>
          <t>増額
アクセス</t>
        </is>
      </c>
      <c r="E4" s="3" t="inlineStr">
        <is>
          <t>現行 売上/日</t>
        </is>
      </c>
      <c r="F4" s="3" t="inlineStr">
        <is>
          <t>増額後 売上/日</t>
        </is>
      </c>
      <c r="G4" s="3" t="inlineStr">
        <is>
          <t>差額/日</t>
        </is>
      </c>
      <c r="H4" s="3" t="inlineStr">
        <is>
          <t>月間差額</t>
        </is>
      </c>
      <c r="I4" s="3" t="inlineStr">
        <is>
          <t>月間 増額後</t>
        </is>
      </c>
    </row>
    <row r="5">
      <c r="A5" s="4" t="inlineStr">
        <is>
          <t>かぶり日（8/5・10・25）</t>
        </is>
      </c>
      <c r="B5" s="5" t="n">
        <v>3</v>
      </c>
      <c r="C5" s="6" t="n">
        <v>30000</v>
      </c>
      <c r="D5" s="6" t="n">
        <v>40000</v>
      </c>
      <c r="E5" s="7" t="n">
        <v>2234584</v>
      </c>
      <c r="F5" s="7" t="n">
        <v>3573838</v>
      </c>
      <c r="G5" s="8" t="n">
        <v>1339254</v>
      </c>
      <c r="H5" s="8" t="n">
        <v>4017762</v>
      </c>
      <c r="I5" s="7" t="n">
        <v>10721514</v>
      </c>
    </row>
    <row r="6">
      <c r="A6" s="9" t="inlineStr">
        <is>
          <t>5と0単独（8/15・20・30）</t>
        </is>
      </c>
      <c r="B6" s="10" t="n">
        <v>3</v>
      </c>
      <c r="C6" s="11" t="n">
        <v>30000</v>
      </c>
      <c r="D6" s="11" t="n">
        <v>40000</v>
      </c>
      <c r="E6" s="12" t="n">
        <v>1631874</v>
      </c>
      <c r="F6" s="12" t="n">
        <v>2557716</v>
      </c>
      <c r="G6" s="13" t="n">
        <v>925842</v>
      </c>
      <c r="H6" s="13" t="n">
        <v>2777526</v>
      </c>
      <c r="I6" s="12" t="n">
        <v>7673148</v>
      </c>
    </row>
    <row r="7">
      <c r="A7" s="14" t="inlineStr">
        <is>
          <t>ワンダフルデー（8/1）</t>
        </is>
      </c>
      <c r="B7" s="15" t="n">
        <v>1</v>
      </c>
      <c r="C7" s="16" t="n">
        <v>30000</v>
      </c>
      <c r="D7" s="16" t="n">
        <v>40000</v>
      </c>
      <c r="E7" s="17" t="n">
        <v>1081629</v>
      </c>
      <c r="F7" s="17" t="n">
        <v>2154484</v>
      </c>
      <c r="G7" s="18" t="n">
        <v>1072855</v>
      </c>
      <c r="H7" s="18" t="n">
        <v>1072855</v>
      </c>
      <c r="I7" s="17" t="n">
        <v>2154484</v>
      </c>
    </row>
    <row r="8">
      <c r="A8" s="19" t="inlineStr">
        <is>
          <t>マラソン通常（8/4・6・7・8・9・24・26）</t>
        </is>
      </c>
      <c r="B8" s="20" t="n">
        <v>7</v>
      </c>
      <c r="C8" s="21" t="n">
        <v>30000</v>
      </c>
      <c r="D8" s="21" t="n">
        <v>40000</v>
      </c>
      <c r="E8" s="22" t="n">
        <v>824846</v>
      </c>
      <c r="F8" s="22" t="n">
        <v>1454982</v>
      </c>
      <c r="G8" s="23" t="n">
        <v>630136</v>
      </c>
      <c r="H8" s="23" t="n">
        <v>4410952</v>
      </c>
      <c r="I8" s="22" t="n">
        <v>10184874</v>
      </c>
    </row>
    <row r="9">
      <c r="A9" s="24" t="inlineStr">
        <is>
          <t>平日（17日）</t>
        </is>
      </c>
      <c r="B9" s="25" t="n">
        <v>17</v>
      </c>
      <c r="C9" s="26" t="n">
        <v>10000</v>
      </c>
      <c r="D9" s="26" t="n">
        <v>15000</v>
      </c>
      <c r="E9" s="27" t="n">
        <v>740103</v>
      </c>
      <c r="F9" s="27" t="n">
        <v>991321</v>
      </c>
      <c r="G9" s="28" t="n">
        <v>251218</v>
      </c>
      <c r="H9" s="28" t="n">
        <v>4270706</v>
      </c>
      <c r="I9" s="27" t="n">
        <v>16852457</v>
      </c>
    </row>
    <row r="10">
      <c r="A10" s="29" t="inlineStr">
        <is>
          <t>合計（8月・31日）</t>
        </is>
      </c>
      <c r="B10" s="29" t="n"/>
      <c r="C10" s="29" t="n"/>
      <c r="D10" s="29" t="n"/>
      <c r="E10" s="30" t="n">
        <v>31036676</v>
      </c>
      <c r="F10" s="30" t="n">
        <v>47586477</v>
      </c>
      <c r="G10" s="30" t="inlineStr"/>
      <c r="H10" s="30" t="n">
        <v>16549801</v>
      </c>
      <c r="I10" s="30" t="n">
        <v>47586477</v>
      </c>
    </row>
    <row r="12">
      <c r="A12" s="31" t="inlineStr">
        <is>
          <t>月商：通常予算</t>
        </is>
      </c>
      <c r="B12" s="32" t="n">
        <v>31036676</v>
      </c>
    </row>
    <row r="13">
      <c r="A13" s="31" t="inlineStr">
        <is>
          <t>月商：増額後</t>
        </is>
      </c>
      <c r="B13" s="32" t="n">
        <v>47586477</v>
      </c>
    </row>
    <row r="14">
      <c r="A14" s="33" t="inlineStr">
        <is>
          <t>差額</t>
        </is>
      </c>
      <c r="B14" s="34" t="n">
        <v>16549801</v>
      </c>
      <c r="E14" s="35" t="inlineStr">
        <is>
          <t>+53%</t>
        </is>
      </c>
    </row>
    <row r="16">
      <c r="A16" s="2" t="inlineStr">
        <is>
          <t>前提：転換率キープ（理論値上限）。追加アクセス22.5万/月 × 単価¥12 ≒ 追加広告費 約¥270万 → 増分ROAS 約6.1倍。</t>
        </is>
      </c>
    </row>
    <row r="17">
      <c r="A17" s="2" t="inlineStr">
        <is>
          <t>絶対条件：スーツケース在庫（追加注文 約+700件/月）。10月の在庫切れ▲44%を繰り返さないこと。</t>
        </is>
      </c>
    </row>
    <row r="18">
      <c r="A18" s="2" t="inlineStr">
        <is>
          <t>かぶり日は+¥134万/日と価値最大。増額幅に上限がある場合は「かぶり日3日を死守、マラソン通常日と平日を削る」。</t>
        </is>
      </c>
    </row>
  </sheetData>
  <mergeCells count="4">
    <mergeCell ref="A1:I1"/>
    <mergeCell ref="B13:D13"/>
    <mergeCell ref="B12:D12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グラフ（Excel/Googleスプレッドシートで表示）</t>
        </is>
      </c>
      <c r="H1" t="inlineStr">
        <is>
          <t>セグメント</t>
        </is>
      </c>
      <c r="I1" t="inlineStr">
        <is>
          <t>現行 売上/日</t>
        </is>
      </c>
      <c r="J1" t="inlineStr">
        <is>
          <t>増額後 売上/日</t>
        </is>
      </c>
      <c r="K1" t="inlineStr">
        <is>
          <t>月間差額</t>
        </is>
      </c>
    </row>
    <row r="2">
      <c r="H2" t="inlineStr">
        <is>
          <t>かぶり日</t>
        </is>
      </c>
      <c r="I2" t="n">
        <v>2234584</v>
      </c>
      <c r="J2" t="n">
        <v>3573838</v>
      </c>
      <c r="K2" t="n">
        <v>4017762</v>
      </c>
    </row>
    <row r="3">
      <c r="H3" t="inlineStr">
        <is>
          <t>5と0単独</t>
        </is>
      </c>
      <c r="I3" t="n">
        <v>1631874</v>
      </c>
      <c r="J3" t="n">
        <v>2557716</v>
      </c>
      <c r="K3" t="n">
        <v>2777526</v>
      </c>
    </row>
    <row r="4">
      <c r="H4" t="inlineStr">
        <is>
          <t>ワンダフル</t>
        </is>
      </c>
      <c r="I4" t="n">
        <v>1081629</v>
      </c>
      <c r="J4" t="n">
        <v>2154484</v>
      </c>
      <c r="K4" t="n">
        <v>1072855</v>
      </c>
    </row>
    <row r="5">
      <c r="H5" t="inlineStr">
        <is>
          <t>マラソン通常</t>
        </is>
      </c>
      <c r="I5" t="n">
        <v>824846</v>
      </c>
      <c r="J5" t="n">
        <v>1454982</v>
      </c>
      <c r="K5" t="n">
        <v>4410952</v>
      </c>
    </row>
    <row r="6">
      <c r="H6" t="inlineStr">
        <is>
          <t>平日</t>
        </is>
      </c>
      <c r="I6" t="n">
        <v>740103</v>
      </c>
      <c r="J6" t="n">
        <v>991321</v>
      </c>
      <c r="K6" t="n">
        <v>4270706</v>
      </c>
    </row>
    <row r="8">
      <c r="H8" t="inlineStr">
        <is>
          <t>プラン</t>
        </is>
      </c>
      <c r="I8" t="inlineStr">
        <is>
          <t>月商</t>
        </is>
      </c>
    </row>
    <row r="9">
      <c r="H9" t="inlineStr">
        <is>
          <t>通常予算</t>
        </is>
      </c>
      <c r="I9" t="n">
        <v>31036676</v>
      </c>
    </row>
    <row r="10">
      <c r="H10" t="inlineStr">
        <is>
          <t>増額後</t>
        </is>
      </c>
      <c r="I10" t="n">
        <v>47586477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1" customWidth="1" min="4" max="4"/>
    <col width="11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8月 日別明細（通常予算 vs 増額・転換率キープ）</t>
        </is>
      </c>
    </row>
    <row r="3">
      <c r="A3" s="3" t="inlineStr">
        <is>
          <t>日付</t>
        </is>
      </c>
      <c r="B3" s="3" t="inlineStr">
        <is>
          <t>曜日</t>
        </is>
      </c>
      <c r="C3" s="3" t="inlineStr">
        <is>
          <t>セグメント</t>
        </is>
      </c>
      <c r="D3" s="3" t="inlineStr">
        <is>
          <t>現行アクセス</t>
        </is>
      </c>
      <c r="E3" s="3" t="inlineStr">
        <is>
          <t>増額アクセス</t>
        </is>
      </c>
      <c r="F3" s="3" t="inlineStr">
        <is>
          <t>現行売上</t>
        </is>
      </c>
      <c r="G3" s="3" t="inlineStr">
        <is>
          <t>増額後売上</t>
        </is>
      </c>
      <c r="H3" s="3" t="inlineStr">
        <is>
          <t>差額</t>
        </is>
      </c>
    </row>
    <row r="4">
      <c r="A4" s="36" t="n">
        <v>46235</v>
      </c>
      <c r="B4" s="15" t="inlineStr">
        <is>
          <t>土</t>
        </is>
      </c>
      <c r="C4" s="14" t="inlineStr">
        <is>
          <t>ワンダフルデー</t>
        </is>
      </c>
      <c r="D4" s="16" t="n">
        <v>30000</v>
      </c>
      <c r="E4" s="16" t="n">
        <v>40000</v>
      </c>
      <c r="F4" s="17" t="n">
        <v>1081629</v>
      </c>
      <c r="G4" s="17" t="n">
        <v>2154484</v>
      </c>
      <c r="H4" s="17" t="n">
        <v>1072855</v>
      </c>
    </row>
    <row r="5">
      <c r="A5" s="37" t="n">
        <v>46236</v>
      </c>
      <c r="B5" s="25" t="inlineStr">
        <is>
          <t>日</t>
        </is>
      </c>
      <c r="C5" s="24" t="inlineStr">
        <is>
          <t>平日</t>
        </is>
      </c>
      <c r="D5" s="26" t="n">
        <v>10000</v>
      </c>
      <c r="E5" s="26" t="n">
        <v>15000</v>
      </c>
      <c r="F5" s="27" t="n">
        <v>740103</v>
      </c>
      <c r="G5" s="27" t="n">
        <v>991321</v>
      </c>
      <c r="H5" s="27" t="n">
        <v>251218</v>
      </c>
    </row>
    <row r="6">
      <c r="A6" s="37" t="n">
        <v>46237</v>
      </c>
      <c r="B6" s="25" t="inlineStr">
        <is>
          <t>月</t>
        </is>
      </c>
      <c r="C6" s="24" t="inlineStr">
        <is>
          <t>平日</t>
        </is>
      </c>
      <c r="D6" s="26" t="n">
        <v>10000</v>
      </c>
      <c r="E6" s="26" t="n">
        <v>15000</v>
      </c>
      <c r="F6" s="27" t="n">
        <v>740103</v>
      </c>
      <c r="G6" s="27" t="n">
        <v>991321</v>
      </c>
      <c r="H6" s="27" t="n">
        <v>251218</v>
      </c>
    </row>
    <row r="7">
      <c r="A7" s="38" t="n">
        <v>46238</v>
      </c>
      <c r="B7" s="20" t="inlineStr">
        <is>
          <t>火</t>
        </is>
      </c>
      <c r="C7" s="19" t="inlineStr">
        <is>
          <t>マラソン通常</t>
        </is>
      </c>
      <c r="D7" s="21" t="n">
        <v>30000</v>
      </c>
      <c r="E7" s="21" t="n">
        <v>40000</v>
      </c>
      <c r="F7" s="22" t="n">
        <v>824846</v>
      </c>
      <c r="G7" s="22" t="n">
        <v>1454982</v>
      </c>
      <c r="H7" s="22" t="n">
        <v>630136</v>
      </c>
    </row>
    <row r="8">
      <c r="A8" s="39" t="n">
        <v>46239</v>
      </c>
      <c r="B8" s="5" t="inlineStr">
        <is>
          <t>水</t>
        </is>
      </c>
      <c r="C8" s="4" t="inlineStr">
        <is>
          <t>かぶり日</t>
        </is>
      </c>
      <c r="D8" s="6" t="n">
        <v>30000</v>
      </c>
      <c r="E8" s="6" t="n">
        <v>40000</v>
      </c>
      <c r="F8" s="7" t="n">
        <v>2234584</v>
      </c>
      <c r="G8" s="7" t="n">
        <v>3573838</v>
      </c>
      <c r="H8" s="7" t="n">
        <v>1339254</v>
      </c>
    </row>
    <row r="9">
      <c r="A9" s="38" t="n">
        <v>46240</v>
      </c>
      <c r="B9" s="20" t="inlineStr">
        <is>
          <t>木</t>
        </is>
      </c>
      <c r="C9" s="19" t="inlineStr">
        <is>
          <t>マラソン通常</t>
        </is>
      </c>
      <c r="D9" s="21" t="n">
        <v>30000</v>
      </c>
      <c r="E9" s="21" t="n">
        <v>40000</v>
      </c>
      <c r="F9" s="22" t="n">
        <v>824846</v>
      </c>
      <c r="G9" s="22" t="n">
        <v>1454982</v>
      </c>
      <c r="H9" s="22" t="n">
        <v>630136</v>
      </c>
    </row>
    <row r="10">
      <c r="A10" s="38" t="n">
        <v>46241</v>
      </c>
      <c r="B10" s="20" t="inlineStr">
        <is>
          <t>金</t>
        </is>
      </c>
      <c r="C10" s="19" t="inlineStr">
        <is>
          <t>マラソン通常</t>
        </is>
      </c>
      <c r="D10" s="21" t="n">
        <v>30000</v>
      </c>
      <c r="E10" s="21" t="n">
        <v>40000</v>
      </c>
      <c r="F10" s="22" t="n">
        <v>824846</v>
      </c>
      <c r="G10" s="22" t="n">
        <v>1454982</v>
      </c>
      <c r="H10" s="22" t="n">
        <v>630136</v>
      </c>
    </row>
    <row r="11">
      <c r="A11" s="38" t="n">
        <v>46242</v>
      </c>
      <c r="B11" s="20" t="inlineStr">
        <is>
          <t>土</t>
        </is>
      </c>
      <c r="C11" s="19" t="inlineStr">
        <is>
          <t>マラソン通常</t>
        </is>
      </c>
      <c r="D11" s="21" t="n">
        <v>30000</v>
      </c>
      <c r="E11" s="21" t="n">
        <v>40000</v>
      </c>
      <c r="F11" s="22" t="n">
        <v>824846</v>
      </c>
      <c r="G11" s="22" t="n">
        <v>1454982</v>
      </c>
      <c r="H11" s="22" t="n">
        <v>630136</v>
      </c>
    </row>
    <row r="12">
      <c r="A12" s="38" t="n">
        <v>46243</v>
      </c>
      <c r="B12" s="20" t="inlineStr">
        <is>
          <t>日</t>
        </is>
      </c>
      <c r="C12" s="19" t="inlineStr">
        <is>
          <t>マラソン通常</t>
        </is>
      </c>
      <c r="D12" s="21" t="n">
        <v>30000</v>
      </c>
      <c r="E12" s="21" t="n">
        <v>40000</v>
      </c>
      <c r="F12" s="22" t="n">
        <v>824846</v>
      </c>
      <c r="G12" s="22" t="n">
        <v>1454982</v>
      </c>
      <c r="H12" s="22" t="n">
        <v>630136</v>
      </c>
    </row>
    <row r="13">
      <c r="A13" s="39" t="n">
        <v>46244</v>
      </c>
      <c r="B13" s="5" t="inlineStr">
        <is>
          <t>月</t>
        </is>
      </c>
      <c r="C13" s="4" t="inlineStr">
        <is>
          <t>かぶり日</t>
        </is>
      </c>
      <c r="D13" s="6" t="n">
        <v>30000</v>
      </c>
      <c r="E13" s="6" t="n">
        <v>40000</v>
      </c>
      <c r="F13" s="7" t="n">
        <v>2234584</v>
      </c>
      <c r="G13" s="7" t="n">
        <v>3573838</v>
      </c>
      <c r="H13" s="7" t="n">
        <v>1339254</v>
      </c>
    </row>
    <row r="14">
      <c r="A14" s="37" t="n">
        <v>46245</v>
      </c>
      <c r="B14" s="25" t="inlineStr">
        <is>
          <t>火</t>
        </is>
      </c>
      <c r="C14" s="24" t="inlineStr">
        <is>
          <t>平日</t>
        </is>
      </c>
      <c r="D14" s="26" t="n">
        <v>10000</v>
      </c>
      <c r="E14" s="26" t="n">
        <v>15000</v>
      </c>
      <c r="F14" s="27" t="n">
        <v>740103</v>
      </c>
      <c r="G14" s="27" t="n">
        <v>991321</v>
      </c>
      <c r="H14" s="27" t="n">
        <v>251218</v>
      </c>
    </row>
    <row r="15">
      <c r="A15" s="37" t="n">
        <v>46246</v>
      </c>
      <c r="B15" s="25" t="inlineStr">
        <is>
          <t>水</t>
        </is>
      </c>
      <c r="C15" s="24" t="inlineStr">
        <is>
          <t>平日</t>
        </is>
      </c>
      <c r="D15" s="26" t="n">
        <v>10000</v>
      </c>
      <c r="E15" s="26" t="n">
        <v>15000</v>
      </c>
      <c r="F15" s="27" t="n">
        <v>740103</v>
      </c>
      <c r="G15" s="27" t="n">
        <v>991321</v>
      </c>
      <c r="H15" s="27" t="n">
        <v>251218</v>
      </c>
    </row>
    <row r="16">
      <c r="A16" s="37" t="n">
        <v>46247</v>
      </c>
      <c r="B16" s="25" t="inlineStr">
        <is>
          <t>木</t>
        </is>
      </c>
      <c r="C16" s="24" t="inlineStr">
        <is>
          <t>平日</t>
        </is>
      </c>
      <c r="D16" s="26" t="n">
        <v>10000</v>
      </c>
      <c r="E16" s="26" t="n">
        <v>15000</v>
      </c>
      <c r="F16" s="27" t="n">
        <v>740103</v>
      </c>
      <c r="G16" s="27" t="n">
        <v>991321</v>
      </c>
      <c r="H16" s="27" t="n">
        <v>251218</v>
      </c>
    </row>
    <row r="17">
      <c r="A17" s="37" t="n">
        <v>46248</v>
      </c>
      <c r="B17" s="25" t="inlineStr">
        <is>
          <t>金</t>
        </is>
      </c>
      <c r="C17" s="24" t="inlineStr">
        <is>
          <t>平日</t>
        </is>
      </c>
      <c r="D17" s="26" t="n">
        <v>10000</v>
      </c>
      <c r="E17" s="26" t="n">
        <v>15000</v>
      </c>
      <c r="F17" s="27" t="n">
        <v>740103</v>
      </c>
      <c r="G17" s="27" t="n">
        <v>991321</v>
      </c>
      <c r="H17" s="27" t="n">
        <v>251218</v>
      </c>
    </row>
    <row r="18">
      <c r="A18" s="40" t="n">
        <v>46249</v>
      </c>
      <c r="B18" s="10" t="inlineStr">
        <is>
          <t>土</t>
        </is>
      </c>
      <c r="C18" s="9" t="inlineStr">
        <is>
          <t>5と0単独</t>
        </is>
      </c>
      <c r="D18" s="11" t="n">
        <v>30000</v>
      </c>
      <c r="E18" s="11" t="n">
        <v>40000</v>
      </c>
      <c r="F18" s="12" t="n">
        <v>1631874</v>
      </c>
      <c r="G18" s="12" t="n">
        <v>2557716</v>
      </c>
      <c r="H18" s="12" t="n">
        <v>925842</v>
      </c>
    </row>
    <row r="19">
      <c r="A19" s="37" t="n">
        <v>46250</v>
      </c>
      <c r="B19" s="25" t="inlineStr">
        <is>
          <t>日</t>
        </is>
      </c>
      <c r="C19" s="24" t="inlineStr">
        <is>
          <t>平日</t>
        </is>
      </c>
      <c r="D19" s="26" t="n">
        <v>10000</v>
      </c>
      <c r="E19" s="26" t="n">
        <v>15000</v>
      </c>
      <c r="F19" s="27" t="n">
        <v>740103</v>
      </c>
      <c r="G19" s="27" t="n">
        <v>991321</v>
      </c>
      <c r="H19" s="27" t="n">
        <v>251218</v>
      </c>
    </row>
    <row r="20">
      <c r="A20" s="37" t="n">
        <v>46251</v>
      </c>
      <c r="B20" s="25" t="inlineStr">
        <is>
          <t>月</t>
        </is>
      </c>
      <c r="C20" s="24" t="inlineStr">
        <is>
          <t>平日</t>
        </is>
      </c>
      <c r="D20" s="26" t="n">
        <v>10000</v>
      </c>
      <c r="E20" s="26" t="n">
        <v>15000</v>
      </c>
      <c r="F20" s="27" t="n">
        <v>740103</v>
      </c>
      <c r="G20" s="27" t="n">
        <v>991321</v>
      </c>
      <c r="H20" s="27" t="n">
        <v>251218</v>
      </c>
    </row>
    <row r="21">
      <c r="A21" s="37" t="n">
        <v>46252</v>
      </c>
      <c r="B21" s="25" t="inlineStr">
        <is>
          <t>火</t>
        </is>
      </c>
      <c r="C21" s="24" t="inlineStr">
        <is>
          <t>平日</t>
        </is>
      </c>
      <c r="D21" s="26" t="n">
        <v>10000</v>
      </c>
      <c r="E21" s="26" t="n">
        <v>15000</v>
      </c>
      <c r="F21" s="27" t="n">
        <v>740103</v>
      </c>
      <c r="G21" s="27" t="n">
        <v>991321</v>
      </c>
      <c r="H21" s="27" t="n">
        <v>251218</v>
      </c>
    </row>
    <row r="22">
      <c r="A22" s="37" t="n">
        <v>46253</v>
      </c>
      <c r="B22" s="25" t="inlineStr">
        <is>
          <t>水</t>
        </is>
      </c>
      <c r="C22" s="24" t="inlineStr">
        <is>
          <t>平日</t>
        </is>
      </c>
      <c r="D22" s="26" t="n">
        <v>10000</v>
      </c>
      <c r="E22" s="26" t="n">
        <v>15000</v>
      </c>
      <c r="F22" s="27" t="n">
        <v>740103</v>
      </c>
      <c r="G22" s="27" t="n">
        <v>991321</v>
      </c>
      <c r="H22" s="27" t="n">
        <v>251218</v>
      </c>
    </row>
    <row r="23">
      <c r="A23" s="40" t="n">
        <v>46254</v>
      </c>
      <c r="B23" s="10" t="inlineStr">
        <is>
          <t>木</t>
        </is>
      </c>
      <c r="C23" s="9" t="inlineStr">
        <is>
          <t>5と0単独</t>
        </is>
      </c>
      <c r="D23" s="11" t="n">
        <v>30000</v>
      </c>
      <c r="E23" s="11" t="n">
        <v>40000</v>
      </c>
      <c r="F23" s="12" t="n">
        <v>1631874</v>
      </c>
      <c r="G23" s="12" t="n">
        <v>2557716</v>
      </c>
      <c r="H23" s="12" t="n">
        <v>925842</v>
      </c>
    </row>
    <row r="24">
      <c r="A24" s="37" t="n">
        <v>46255</v>
      </c>
      <c r="B24" s="25" t="inlineStr">
        <is>
          <t>金</t>
        </is>
      </c>
      <c r="C24" s="24" t="inlineStr">
        <is>
          <t>平日</t>
        </is>
      </c>
      <c r="D24" s="26" t="n">
        <v>10000</v>
      </c>
      <c r="E24" s="26" t="n">
        <v>15000</v>
      </c>
      <c r="F24" s="27" t="n">
        <v>740103</v>
      </c>
      <c r="G24" s="27" t="n">
        <v>991321</v>
      </c>
      <c r="H24" s="27" t="n">
        <v>251218</v>
      </c>
    </row>
    <row r="25">
      <c r="A25" s="37" t="n">
        <v>46256</v>
      </c>
      <c r="B25" s="25" t="inlineStr">
        <is>
          <t>土</t>
        </is>
      </c>
      <c r="C25" s="24" t="inlineStr">
        <is>
          <t>平日</t>
        </is>
      </c>
      <c r="D25" s="26" t="n">
        <v>10000</v>
      </c>
      <c r="E25" s="26" t="n">
        <v>15000</v>
      </c>
      <c r="F25" s="27" t="n">
        <v>740103</v>
      </c>
      <c r="G25" s="27" t="n">
        <v>991321</v>
      </c>
      <c r="H25" s="27" t="n">
        <v>251218</v>
      </c>
    </row>
    <row r="26">
      <c r="A26" s="37" t="n">
        <v>46257</v>
      </c>
      <c r="B26" s="25" t="inlineStr">
        <is>
          <t>日</t>
        </is>
      </c>
      <c r="C26" s="24" t="inlineStr">
        <is>
          <t>平日</t>
        </is>
      </c>
      <c r="D26" s="26" t="n">
        <v>10000</v>
      </c>
      <c r="E26" s="26" t="n">
        <v>15000</v>
      </c>
      <c r="F26" s="27" t="n">
        <v>740103</v>
      </c>
      <c r="G26" s="27" t="n">
        <v>991321</v>
      </c>
      <c r="H26" s="27" t="n">
        <v>251218</v>
      </c>
    </row>
    <row r="27">
      <c r="A27" s="38" t="n">
        <v>46258</v>
      </c>
      <c r="B27" s="20" t="inlineStr">
        <is>
          <t>月</t>
        </is>
      </c>
      <c r="C27" s="19" t="inlineStr">
        <is>
          <t>マラソン通常</t>
        </is>
      </c>
      <c r="D27" s="21" t="n">
        <v>30000</v>
      </c>
      <c r="E27" s="21" t="n">
        <v>40000</v>
      </c>
      <c r="F27" s="22" t="n">
        <v>824846</v>
      </c>
      <c r="G27" s="22" t="n">
        <v>1454982</v>
      </c>
      <c r="H27" s="22" t="n">
        <v>630136</v>
      </c>
    </row>
    <row r="28">
      <c r="A28" s="39" t="n">
        <v>46259</v>
      </c>
      <c r="B28" s="5" t="inlineStr">
        <is>
          <t>火</t>
        </is>
      </c>
      <c r="C28" s="4" t="inlineStr">
        <is>
          <t>かぶり日</t>
        </is>
      </c>
      <c r="D28" s="6" t="n">
        <v>30000</v>
      </c>
      <c r="E28" s="6" t="n">
        <v>40000</v>
      </c>
      <c r="F28" s="7" t="n">
        <v>2234584</v>
      </c>
      <c r="G28" s="7" t="n">
        <v>3573838</v>
      </c>
      <c r="H28" s="7" t="n">
        <v>1339254</v>
      </c>
    </row>
    <row r="29">
      <c r="A29" s="38" t="n">
        <v>46260</v>
      </c>
      <c r="B29" s="20" t="inlineStr">
        <is>
          <t>水</t>
        </is>
      </c>
      <c r="C29" s="19" t="inlineStr">
        <is>
          <t>マラソン通常</t>
        </is>
      </c>
      <c r="D29" s="21" t="n">
        <v>30000</v>
      </c>
      <c r="E29" s="21" t="n">
        <v>40000</v>
      </c>
      <c r="F29" s="22" t="n">
        <v>824846</v>
      </c>
      <c r="G29" s="22" t="n">
        <v>1454982</v>
      </c>
      <c r="H29" s="22" t="n">
        <v>630136</v>
      </c>
    </row>
    <row r="30">
      <c r="A30" s="37" t="n">
        <v>46261</v>
      </c>
      <c r="B30" s="25" t="inlineStr">
        <is>
          <t>木</t>
        </is>
      </c>
      <c r="C30" s="24" t="inlineStr">
        <is>
          <t>平日</t>
        </is>
      </c>
      <c r="D30" s="26" t="n">
        <v>10000</v>
      </c>
      <c r="E30" s="26" t="n">
        <v>15000</v>
      </c>
      <c r="F30" s="27" t="n">
        <v>740103</v>
      </c>
      <c r="G30" s="27" t="n">
        <v>991321</v>
      </c>
      <c r="H30" s="27" t="n">
        <v>251218</v>
      </c>
    </row>
    <row r="31">
      <c r="A31" s="37" t="n">
        <v>46262</v>
      </c>
      <c r="B31" s="25" t="inlineStr">
        <is>
          <t>金</t>
        </is>
      </c>
      <c r="C31" s="24" t="inlineStr">
        <is>
          <t>平日</t>
        </is>
      </c>
      <c r="D31" s="26" t="n">
        <v>10000</v>
      </c>
      <c r="E31" s="26" t="n">
        <v>15000</v>
      </c>
      <c r="F31" s="27" t="n">
        <v>740103</v>
      </c>
      <c r="G31" s="27" t="n">
        <v>991321</v>
      </c>
      <c r="H31" s="27" t="n">
        <v>251218</v>
      </c>
    </row>
    <row r="32">
      <c r="A32" s="37" t="n">
        <v>46263</v>
      </c>
      <c r="B32" s="25" t="inlineStr">
        <is>
          <t>土</t>
        </is>
      </c>
      <c r="C32" s="24" t="inlineStr">
        <is>
          <t>平日</t>
        </is>
      </c>
      <c r="D32" s="26" t="n">
        <v>10000</v>
      </c>
      <c r="E32" s="26" t="n">
        <v>15000</v>
      </c>
      <c r="F32" s="27" t="n">
        <v>740103</v>
      </c>
      <c r="G32" s="27" t="n">
        <v>991321</v>
      </c>
      <c r="H32" s="27" t="n">
        <v>251218</v>
      </c>
    </row>
    <row r="33">
      <c r="A33" s="40" t="n">
        <v>46264</v>
      </c>
      <c r="B33" s="10" t="inlineStr">
        <is>
          <t>日</t>
        </is>
      </c>
      <c r="C33" s="9" t="inlineStr">
        <is>
          <t>5と0単独</t>
        </is>
      </c>
      <c r="D33" s="11" t="n">
        <v>30000</v>
      </c>
      <c r="E33" s="11" t="n">
        <v>40000</v>
      </c>
      <c r="F33" s="12" t="n">
        <v>1631874</v>
      </c>
      <c r="G33" s="12" t="n">
        <v>2557716</v>
      </c>
      <c r="H33" s="12" t="n">
        <v>925842</v>
      </c>
    </row>
    <row r="34">
      <c r="A34" s="37" t="n">
        <v>46265</v>
      </c>
      <c r="B34" s="25" t="inlineStr">
        <is>
          <t>月</t>
        </is>
      </c>
      <c r="C34" s="24" t="inlineStr">
        <is>
          <t>平日</t>
        </is>
      </c>
      <c r="D34" s="26" t="n">
        <v>10000</v>
      </c>
      <c r="E34" s="26" t="n">
        <v>15000</v>
      </c>
      <c r="F34" s="27" t="n">
        <v>740103</v>
      </c>
      <c r="G34" s="27" t="n">
        <v>991321</v>
      </c>
      <c r="H34" s="27" t="n">
        <v>251218</v>
      </c>
    </row>
    <row r="35">
      <c r="A35" s="29" t="inlineStr">
        <is>
          <t>合計</t>
        </is>
      </c>
      <c r="B35" s="29" t="n"/>
      <c r="C35" s="29" t="n"/>
      <c r="D35" s="29" t="n"/>
      <c r="E35" s="29" t="n"/>
      <c r="F35" s="30" t="n">
        <v>31036676</v>
      </c>
      <c r="G35" s="30" t="n">
        <v>47586477</v>
      </c>
      <c r="H35" s="30" t="n">
        <v>16549801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2026-07-27T15:00:56Z</dcterms:created>
  <dcterms:modified xsi:type="dcterms:W3CDTF">2026-07-27T15:00:56Z</dcterms:modified>
</cp:coreProperties>
</file>