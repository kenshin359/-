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月実績" sheetId="1" state="visible" r:id="rId1"/>
    <sheet name="8月勝負日_そのままvs攻め" sheetId="2" state="visible" r:id="rId2"/>
    <sheet name="グラフ" sheetId="3" state="visible" r:id="rId3"/>
    <sheet name="用語解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0.000%"/>
    <numFmt numFmtId="166" formatCode="0.0&quot;倍&quot;"/>
  </numFmts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</font>
    <font>
      <name val="Arial"/>
      <b val="1"/>
      <color rgb="00C0392B"/>
      <sz val="12"/>
    </font>
    <font>
      <name val="Arial"/>
      <b val="1"/>
      <sz val="14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DDEBD8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E2D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3" fillId="4" borderId="1" pivotButton="0" quotePrefix="0" xfId="0"/>
    <xf numFmtId="0" fontId="3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/>
    </xf>
    <xf numFmtId="3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3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4" fillId="12" borderId="1" pivotButton="0" quotePrefix="0" xfId="0"/>
    <xf numFmtId="164" fontId="4" fillId="12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13" borderId="0" pivotButton="0" quotePrefix="0" xfId="0"/>
    <xf numFmtId="164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9" borderId="1" pivotButton="0" quotePrefix="0" xfId="0"/>
    <xf numFmtId="164" fontId="0" fillId="9" borderId="1" pivotButton="0" quotePrefix="0" xfId="0"/>
    <xf numFmtId="166" fontId="0" fillId="9" borderId="1" pivotButton="0" quotePrefix="0" xfId="0"/>
    <xf numFmtId="0" fontId="3" fillId="9" borderId="1" pivotButton="0" quotePrefix="0" xfId="0"/>
    <xf numFmtId="0" fontId="0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3" fillId="7" borderId="1" pivotButton="0" quotePrefix="0" xfId="0"/>
    <xf numFmtId="0" fontId="0" fillId="10" borderId="1" pivotButton="0" quotePrefix="0" xfId="0"/>
    <xf numFmtId="164" fontId="0" fillId="10" borderId="1" pivotButton="0" quotePrefix="0" xfId="0"/>
    <xf numFmtId="166" fontId="0" fillId="10" borderId="1" pivotButton="0" quotePrefix="0" xfId="0"/>
    <xf numFmtId="0" fontId="3" fillId="10" borderId="1" pivotButton="0" quotePrefix="0" xfId="0"/>
    <xf numFmtId="0" fontId="0" fillId="8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3" fillId="8" borderId="1" pivotButton="0" quotePrefix="0" xfId="0"/>
    <xf numFmtId="0" fontId="0" fillId="11" borderId="1" pivotButton="0" quotePrefix="0" xfId="0"/>
    <xf numFmtId="164" fontId="0" fillId="11" borderId="1" pivotButton="0" quotePrefix="0" xfId="0"/>
    <xf numFmtId="166" fontId="0" fillId="11" borderId="1" pivotButton="0" quotePrefix="0" xfId="0"/>
    <xf numFmtId="0" fontId="3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勝負日別 売上/日：そのまま vs 攻め（SC+FAN）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'グラフ'!$H$2:$H$8</f>
            </numRef>
          </cat>
          <val>
            <numRef>
              <f>'グラフ'!$I$2:$I$8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'グラフ'!$H$2:$H$8</f>
            </numRef>
          </cat>
          <val>
            <numRef>
              <f>'グラフ'!$J$2:$J$8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円/日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月間：月商と広告費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'グラフ'!I12</f>
            </strRef>
          </tx>
          <spPr>
            <a:ln>
              <a:prstDash val="solid"/>
            </a:ln>
          </spPr>
          <cat>
            <numRef>
              <f>'グラフ'!$H$13:$H$14</f>
            </numRef>
          </cat>
          <val>
            <numRef>
              <f>'グラフ'!$I$13:$I$14</f>
            </numRef>
          </val>
        </ser>
        <ser>
          <idx val="1"/>
          <order val="1"/>
          <tx>
            <strRef>
              <f>'グラフ'!J12</f>
            </strRef>
          </tx>
          <spPr>
            <a:ln>
              <a:prstDash val="solid"/>
            </a:ln>
          </spPr>
          <cat>
            <numRef>
              <f>'グラフ'!$H$13:$H$14</f>
            </numRef>
          </cat>
          <val>
            <numRef>
              <f>'グラフ'!$J$13:$J$14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12" customWidth="1" min="4" max="4"/>
    <col width="34" customWidth="1" min="5" max="5"/>
  </cols>
  <sheetData>
    <row r="1">
      <c r="A1" s="1" t="inlineStr">
        <is>
          <t>7月実績：スーツケース／ハンディファン（SKUデータ・7/1〜7/28・税込）</t>
        </is>
      </c>
    </row>
    <row r="3">
      <c r="A3" s="2" t="inlineStr">
        <is>
          <t>商品</t>
        </is>
      </c>
      <c r="B3" s="2" t="inlineStr">
        <is>
          <t>販売個数</t>
        </is>
      </c>
      <c r="C3" s="2" t="inlineStr">
        <is>
          <t>売上(税込)</t>
        </is>
      </c>
      <c r="D3" s="2" t="inlineStr">
        <is>
          <t>実効単価</t>
        </is>
      </c>
      <c r="E3" s="2" t="inlineStr">
        <is>
          <t>備考</t>
        </is>
      </c>
    </row>
    <row r="4">
      <c r="A4" s="3" t="inlineStr">
        <is>
          <t>スーツケース 計</t>
        </is>
      </c>
      <c r="B4" s="4" t="n">
        <v>1126</v>
      </c>
      <c r="C4" s="5" t="n">
        <v>38059460</v>
      </c>
      <c r="D4" s="5" t="n">
        <v>33801</v>
      </c>
      <c r="E4" s="3" t="inlineStr">
        <is>
          <t>売上の73%。多機能PCが96%</t>
        </is>
      </c>
    </row>
    <row r="5">
      <c r="A5" s="6" t="inlineStr">
        <is>
          <t xml:space="preserve">  多機能PC</t>
        </is>
      </c>
      <c r="B5" s="7" t="n">
        <v>1079</v>
      </c>
      <c r="C5" s="8" t="n">
        <v>35830200</v>
      </c>
      <c r="D5" s="8" t="n">
        <v>33207</v>
      </c>
      <c r="E5" s="9" t="inlineStr">
        <is>
          <t>最重要SKU＝マットブラックS(203個)。S:M:L=57:31:11</t>
        </is>
      </c>
    </row>
    <row r="6">
      <c r="A6" s="6" t="inlineStr">
        <is>
          <t xml:space="preserve">  ノーマルアルミ(クラシック)</t>
        </is>
      </c>
      <c r="B6" s="7" t="n">
        <v>32</v>
      </c>
      <c r="C6" s="8" t="n">
        <v>1410260</v>
      </c>
      <c r="D6" s="8" t="n">
        <v>44071</v>
      </c>
      <c r="E6" s="9" t="inlineStr"/>
    </row>
    <row r="7">
      <c r="A7" s="6" t="inlineStr">
        <is>
          <t xml:space="preserve">  多機能アルミ(フルアルミ)</t>
        </is>
      </c>
      <c r="B7" s="7" t="n">
        <v>14</v>
      </c>
      <c r="C7" s="8" t="n">
        <v>779200</v>
      </c>
      <c r="D7" s="8" t="n">
        <v>55657</v>
      </c>
      <c r="E7" s="9" t="inlineStr"/>
    </row>
    <row r="8">
      <c r="A8" s="6" t="inlineStr">
        <is>
          <t xml:space="preserve">  アウトドアSC</t>
        </is>
      </c>
      <c r="B8" s="7" t="n">
        <v>1</v>
      </c>
      <c r="C8" s="8" t="n">
        <v>39800</v>
      </c>
      <c r="D8" s="8" t="n">
        <v>39800</v>
      </c>
      <c r="E8" s="9" t="inlineStr"/>
    </row>
    <row r="9">
      <c r="A9" s="10" t="inlineStr">
        <is>
          <t>ハンディファン 計</t>
        </is>
      </c>
      <c r="B9" s="11" t="n">
        <v>2933</v>
      </c>
      <c r="C9" s="12" t="n">
        <v>13289900</v>
      </c>
      <c r="D9" s="12" t="n">
        <v>4531</v>
      </c>
      <c r="E9" s="10" t="inlineStr">
        <is>
          <t>売上の26%。数量はSCの2.6倍</t>
        </is>
      </c>
    </row>
    <row r="10">
      <c r="A10" s="13" t="inlineStr">
        <is>
          <t xml:space="preserve">  首振り(3Way冷却)</t>
        </is>
      </c>
      <c r="B10" s="14" t="n">
        <v>1577</v>
      </c>
      <c r="C10" s="15" t="n">
        <v>7743440</v>
      </c>
      <c r="D10" s="15" t="n">
        <v>4910</v>
      </c>
      <c r="E10" s="16" t="inlineStr">
        <is>
          <t>ファンの54%</t>
        </is>
      </c>
    </row>
    <row r="11">
      <c r="A11" s="13" t="inlineStr">
        <is>
          <t xml:space="preserve">  スケルトン</t>
        </is>
      </c>
      <c r="B11" s="14" t="n">
        <v>717</v>
      </c>
      <c r="C11" s="15" t="n">
        <v>4124740</v>
      </c>
      <c r="D11" s="15" t="n">
        <v>5753</v>
      </c>
      <c r="E11" s="16" t="inlineStr"/>
    </row>
    <row r="12">
      <c r="A12" s="13" t="inlineStr">
        <is>
          <t xml:space="preserve">  クリップ</t>
        </is>
      </c>
      <c r="B12" s="14" t="n">
        <v>551</v>
      </c>
      <c r="C12" s="15" t="n">
        <v>1256280</v>
      </c>
      <c r="D12" s="15" t="n">
        <v>2280</v>
      </c>
      <c r="E12" s="16" t="inlineStr"/>
    </row>
    <row r="13">
      <c r="A13" s="13" t="inlineStr">
        <is>
          <t xml:space="preserve">  ミニファン</t>
        </is>
      </c>
      <c r="B13" s="14" t="n">
        <v>88</v>
      </c>
      <c r="C13" s="15" t="n">
        <v>165440</v>
      </c>
      <c r="D13" s="15" t="n">
        <v>1880</v>
      </c>
      <c r="E13" s="16" t="inlineStr">
        <is>
          <t>ほぼ動きなし</t>
        </is>
      </c>
    </row>
    <row r="15">
      <c r="A15" s="17" t="inlineStr">
        <is>
          <t>7月店舗全体(税抜・7/1-26)：¥43,920,694（過去最高ペース）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1" customWidth="1" min="10" max="10"/>
    <col width="12" customWidth="1" min="11" max="11"/>
    <col width="12" customWidth="1" min="12" max="12"/>
    <col width="13" customWidth="1" min="13" max="13"/>
  </cols>
  <sheetData>
    <row r="1">
      <c r="A1" s="1" t="inlineStr">
        <is>
          <t>8月イベント勝負日（日付順）：そのまま vs 攻めパターン</t>
        </is>
      </c>
    </row>
    <row r="2">
      <c r="A2" s="17" t="inlineStr">
        <is>
          <t>スーツケース広告の設定。そのまま＝平日2万/イベント3万・転換率7月実績。攻め＝平日3万/イベント5万・転換率×0.8。広告費＝SCアクセス×¥10（アクセス単価統一）。ハンディファンは¥8/アクセス・据え置きのため両パターン共通＝差額に影響なし。売上/日＝SC+FAN。</t>
        </is>
      </c>
    </row>
    <row r="4">
      <c r="D4" s="18" t="inlineStr">
        <is>
          <t>そのままパターン</t>
        </is>
      </c>
      <c r="E4" s="56" t="n"/>
      <c r="F4" s="56" t="n"/>
      <c r="G4" s="57" t="n"/>
      <c r="H4" s="19" t="inlineStr">
        <is>
          <t>攻めパターン（転換率×0.8）</t>
        </is>
      </c>
      <c r="I4" s="56" t="n"/>
      <c r="J4" s="56" t="n"/>
      <c r="K4" s="57" t="n"/>
    </row>
    <row r="5">
      <c r="A5" s="2" t="inlineStr">
        <is>
          <t>日付</t>
        </is>
      </c>
      <c r="B5" s="2" t="inlineStr">
        <is>
          <t>イベント</t>
        </is>
      </c>
      <c r="C5" s="2" t="inlineStr">
        <is>
          <t>日数</t>
        </is>
      </c>
      <c r="D5" s="18" t="inlineStr">
        <is>
          <t>アクセス</t>
        </is>
      </c>
      <c r="E5" s="18" t="inlineStr">
        <is>
          <t>SC転換率</t>
        </is>
      </c>
      <c r="F5" s="18" t="inlineStr">
        <is>
          <t>広告費/日</t>
        </is>
      </c>
      <c r="G5" s="18" t="inlineStr">
        <is>
          <t>売上/日</t>
        </is>
      </c>
      <c r="H5" s="19" t="inlineStr">
        <is>
          <t>アクセス</t>
        </is>
      </c>
      <c r="I5" s="19" t="inlineStr">
        <is>
          <t>SC転換率</t>
        </is>
      </c>
      <c r="J5" s="19" t="inlineStr">
        <is>
          <t>広告費/日</t>
        </is>
      </c>
      <c r="K5" s="19" t="inlineStr">
        <is>
          <t>売上/日</t>
        </is>
      </c>
      <c r="L5" s="2" t="inlineStr">
        <is>
          <t>差額/日</t>
        </is>
      </c>
      <c r="M5" s="2" t="inlineStr">
        <is>
          <t>期間差額</t>
        </is>
      </c>
    </row>
    <row r="6">
      <c r="A6" s="20" t="inlineStr">
        <is>
          <t>8/1(土)</t>
        </is>
      </c>
      <c r="B6" s="21" t="inlineStr">
        <is>
          <t>ワンダフルデー</t>
        </is>
      </c>
      <c r="C6" s="20" t="n">
        <v>1</v>
      </c>
      <c r="D6" s="22" t="n">
        <v>30000</v>
      </c>
      <c r="E6" s="23" t="n">
        <v>0.001345398239907378</v>
      </c>
      <c r="F6" s="24" t="n">
        <v>300000</v>
      </c>
      <c r="G6" s="24" t="n">
        <v>1199910</v>
      </c>
      <c r="H6" s="22" t="n">
        <v>50000</v>
      </c>
      <c r="I6" s="23" t="n">
        <v>0.001076318591925903</v>
      </c>
      <c r="J6" s="24" t="n">
        <v>500000</v>
      </c>
      <c r="K6" s="24" t="n">
        <v>1596803</v>
      </c>
      <c r="L6" s="25" t="n">
        <v>396893</v>
      </c>
      <c r="M6" s="25" t="n">
        <v>396893</v>
      </c>
    </row>
    <row r="7">
      <c r="A7" s="26" t="inlineStr">
        <is>
          <t>8/4(火)</t>
        </is>
      </c>
      <c r="B7" s="27" t="inlineStr">
        <is>
          <t>マラソン① 本番開始 20:00〜</t>
        </is>
      </c>
      <c r="C7" s="26" t="n">
        <v>1</v>
      </c>
      <c r="D7" s="28" t="n">
        <v>30000</v>
      </c>
      <c r="E7" s="29" t="n">
        <v>0.001342722645169273</v>
      </c>
      <c r="F7" s="30" t="n">
        <v>300000</v>
      </c>
      <c r="G7" s="30" t="n">
        <v>1357078</v>
      </c>
      <c r="H7" s="28" t="n">
        <v>50000</v>
      </c>
      <c r="I7" s="29" t="n">
        <v>0.001074178116135419</v>
      </c>
      <c r="J7" s="30" t="n">
        <v>500000</v>
      </c>
      <c r="K7" s="30" t="n">
        <v>1753181</v>
      </c>
      <c r="L7" s="31" t="n">
        <v>396103</v>
      </c>
      <c r="M7" s="31" t="n">
        <v>396103</v>
      </c>
    </row>
    <row r="8">
      <c r="A8" s="32" t="inlineStr">
        <is>
          <t>8/5(水)</t>
        </is>
      </c>
      <c r="B8" s="33" t="inlineStr">
        <is>
          <t>★かぶり：マラソン①×5と0</t>
        </is>
      </c>
      <c r="C8" s="32" t="n">
        <v>1</v>
      </c>
      <c r="D8" s="34" t="n">
        <v>30000</v>
      </c>
      <c r="E8" s="35" t="n">
        <v>0.003733655419830527</v>
      </c>
      <c r="F8" s="36" t="n">
        <v>300000</v>
      </c>
      <c r="G8" s="36" t="n">
        <v>3979792</v>
      </c>
      <c r="H8" s="34" t="n">
        <v>50000</v>
      </c>
      <c r="I8" s="35" t="n">
        <v>0.002986924335864422</v>
      </c>
      <c r="J8" s="36" t="n">
        <v>500000</v>
      </c>
      <c r="K8" s="36" t="n">
        <v>5081220</v>
      </c>
      <c r="L8" s="37" t="n">
        <v>1101428</v>
      </c>
      <c r="M8" s="37" t="n">
        <v>1101428</v>
      </c>
    </row>
    <row r="9">
      <c r="A9" s="26" t="inlineStr">
        <is>
          <t>8/6〜9</t>
        </is>
      </c>
      <c r="B9" s="27" t="inlineStr">
        <is>
          <t>マラソン① 中盤</t>
        </is>
      </c>
      <c r="C9" s="26" t="n">
        <v>4</v>
      </c>
      <c r="D9" s="28" t="n">
        <v>30000</v>
      </c>
      <c r="E9" s="29" t="n">
        <v>0.001342722645169273</v>
      </c>
      <c r="F9" s="30" t="n">
        <v>300000</v>
      </c>
      <c r="G9" s="30" t="n">
        <v>1357078</v>
      </c>
      <c r="H9" s="28" t="n">
        <v>50000</v>
      </c>
      <c r="I9" s="29" t="n">
        <v>0.001074178116135419</v>
      </c>
      <c r="J9" s="30" t="n">
        <v>500000</v>
      </c>
      <c r="K9" s="30" t="n">
        <v>1753181</v>
      </c>
      <c r="L9" s="31" t="n">
        <v>396103</v>
      </c>
      <c r="M9" s="31" t="n">
        <v>1584412</v>
      </c>
    </row>
    <row r="10">
      <c r="A10" s="32" t="inlineStr">
        <is>
          <t>8/10(月)</t>
        </is>
      </c>
      <c r="B10" s="33" t="inlineStr">
        <is>
          <t>★かぶり：マラソン①×5と0</t>
        </is>
      </c>
      <c r="C10" s="32" t="n">
        <v>1</v>
      </c>
      <c r="D10" s="34" t="n">
        <v>30000</v>
      </c>
      <c r="E10" s="35" t="n">
        <v>0.003733655419830527</v>
      </c>
      <c r="F10" s="36" t="n">
        <v>300000</v>
      </c>
      <c r="G10" s="36" t="n">
        <v>3979792</v>
      </c>
      <c r="H10" s="34" t="n">
        <v>50000</v>
      </c>
      <c r="I10" s="35" t="n">
        <v>0.002986924335864422</v>
      </c>
      <c r="J10" s="36" t="n">
        <v>500000</v>
      </c>
      <c r="K10" s="36" t="n">
        <v>5081220</v>
      </c>
      <c r="L10" s="37" t="n">
        <v>1101428</v>
      </c>
      <c r="M10" s="37" t="n">
        <v>1101428</v>
      </c>
    </row>
    <row r="11">
      <c r="A11" s="38" t="inlineStr">
        <is>
          <t>8/15(土)</t>
        </is>
      </c>
      <c r="B11" s="39" t="inlineStr">
        <is>
          <t>5と0のつく日</t>
        </is>
      </c>
      <c r="C11" s="38" t="n">
        <v>1</v>
      </c>
      <c r="D11" s="40" t="n">
        <v>30000</v>
      </c>
      <c r="E11" s="41" t="n">
        <v>0.00126895071306332</v>
      </c>
      <c r="F11" s="42" t="n">
        <v>300000</v>
      </c>
      <c r="G11" s="42" t="n">
        <v>1647756</v>
      </c>
      <c r="H11" s="40" t="n">
        <v>50000</v>
      </c>
      <c r="I11" s="41" t="n">
        <v>0.001015160570450656</v>
      </c>
      <c r="J11" s="42" t="n">
        <v>500000</v>
      </c>
      <c r="K11" s="42" t="n">
        <v>2022097</v>
      </c>
      <c r="L11" s="43" t="n">
        <v>374341</v>
      </c>
      <c r="M11" s="43" t="n">
        <v>374341</v>
      </c>
    </row>
    <row r="12">
      <c r="A12" s="38" t="inlineStr">
        <is>
          <t>8/20(木)</t>
        </is>
      </c>
      <c r="B12" s="39" t="inlineStr">
        <is>
          <t>5と0のつく日</t>
        </is>
      </c>
      <c r="C12" s="38" t="n">
        <v>1</v>
      </c>
      <c r="D12" s="40" t="n">
        <v>30000</v>
      </c>
      <c r="E12" s="41" t="n">
        <v>0.00126895071306332</v>
      </c>
      <c r="F12" s="42" t="n">
        <v>300000</v>
      </c>
      <c r="G12" s="42" t="n">
        <v>1647756</v>
      </c>
      <c r="H12" s="40" t="n">
        <v>50000</v>
      </c>
      <c r="I12" s="41" t="n">
        <v>0.001015160570450656</v>
      </c>
      <c r="J12" s="42" t="n">
        <v>500000</v>
      </c>
      <c r="K12" s="42" t="n">
        <v>2022097</v>
      </c>
      <c r="L12" s="43" t="n">
        <v>374341</v>
      </c>
      <c r="M12" s="43" t="n">
        <v>374341</v>
      </c>
    </row>
    <row r="13">
      <c r="A13" s="26" t="inlineStr">
        <is>
          <t>8/24(月)</t>
        </is>
      </c>
      <c r="B13" s="27" t="inlineStr">
        <is>
          <t>マラソン② 本番開始 20:00〜</t>
        </is>
      </c>
      <c r="C13" s="26" t="n">
        <v>1</v>
      </c>
      <c r="D13" s="28" t="n">
        <v>30000</v>
      </c>
      <c r="E13" s="29" t="n">
        <v>0.001342722645169273</v>
      </c>
      <c r="F13" s="30" t="n">
        <v>300000</v>
      </c>
      <c r="G13" s="30" t="n">
        <v>1357078</v>
      </c>
      <c r="H13" s="28" t="n">
        <v>50000</v>
      </c>
      <c r="I13" s="29" t="n">
        <v>0.001074178116135419</v>
      </c>
      <c r="J13" s="30" t="n">
        <v>500000</v>
      </c>
      <c r="K13" s="30" t="n">
        <v>1753181</v>
      </c>
      <c r="L13" s="31" t="n">
        <v>396103</v>
      </c>
      <c r="M13" s="31" t="n">
        <v>396103</v>
      </c>
    </row>
    <row r="14">
      <c r="A14" s="32" t="inlineStr">
        <is>
          <t>8/25(火)</t>
        </is>
      </c>
      <c r="B14" s="33" t="inlineStr">
        <is>
          <t>★かぶり：マラソン②×5と0</t>
        </is>
      </c>
      <c r="C14" s="32" t="n">
        <v>1</v>
      </c>
      <c r="D14" s="34" t="n">
        <v>30000</v>
      </c>
      <c r="E14" s="35" t="n">
        <v>0.003733655419830527</v>
      </c>
      <c r="F14" s="36" t="n">
        <v>300000</v>
      </c>
      <c r="G14" s="36" t="n">
        <v>3979792</v>
      </c>
      <c r="H14" s="34" t="n">
        <v>50000</v>
      </c>
      <c r="I14" s="35" t="n">
        <v>0.002986924335864422</v>
      </c>
      <c r="J14" s="36" t="n">
        <v>500000</v>
      </c>
      <c r="K14" s="36" t="n">
        <v>5081220</v>
      </c>
      <c r="L14" s="37" t="n">
        <v>1101428</v>
      </c>
      <c r="M14" s="37" t="n">
        <v>1101428</v>
      </c>
    </row>
    <row r="15">
      <c r="A15" s="26" t="inlineStr">
        <is>
          <t>8/26(水)</t>
        </is>
      </c>
      <c r="B15" s="27" t="inlineStr">
        <is>
          <t>マラソン② 中盤</t>
        </is>
      </c>
      <c r="C15" s="26" t="n">
        <v>1</v>
      </c>
      <c r="D15" s="28" t="n">
        <v>30000</v>
      </c>
      <c r="E15" s="29" t="n">
        <v>0.001342722645169273</v>
      </c>
      <c r="F15" s="30" t="n">
        <v>300000</v>
      </c>
      <c r="G15" s="30" t="n">
        <v>1357078</v>
      </c>
      <c r="H15" s="28" t="n">
        <v>50000</v>
      </c>
      <c r="I15" s="29" t="n">
        <v>0.001074178116135419</v>
      </c>
      <c r="J15" s="30" t="n">
        <v>500000</v>
      </c>
      <c r="K15" s="30" t="n">
        <v>1753181</v>
      </c>
      <c r="L15" s="31" t="n">
        <v>396103</v>
      </c>
      <c r="M15" s="31" t="n">
        <v>396103</v>
      </c>
    </row>
    <row r="16">
      <c r="A16" s="38" t="inlineStr">
        <is>
          <t>8/30(日)</t>
        </is>
      </c>
      <c r="B16" s="39" t="inlineStr">
        <is>
          <t>5と0のつく日</t>
        </is>
      </c>
      <c r="C16" s="38" t="n">
        <v>1</v>
      </c>
      <c r="D16" s="40" t="n">
        <v>30000</v>
      </c>
      <c r="E16" s="41" t="n">
        <v>0.00126895071306332</v>
      </c>
      <c r="F16" s="42" t="n">
        <v>300000</v>
      </c>
      <c r="G16" s="42" t="n">
        <v>1647756</v>
      </c>
      <c r="H16" s="40" t="n">
        <v>50000</v>
      </c>
      <c r="I16" s="41" t="n">
        <v>0.001015160570450656</v>
      </c>
      <c r="J16" s="42" t="n">
        <v>500000</v>
      </c>
      <c r="K16" s="42" t="n">
        <v>2022097</v>
      </c>
      <c r="L16" s="43" t="n">
        <v>374341</v>
      </c>
      <c r="M16" s="43" t="n">
        <v>374341</v>
      </c>
    </row>
    <row r="17">
      <c r="A17" s="44" t="inlineStr">
        <is>
          <t>平日17日</t>
        </is>
      </c>
      <c r="B17" s="45" t="inlineStr">
        <is>
          <t>(2,3,11〜14,16〜19,21〜23,27〜29,31)</t>
        </is>
      </c>
      <c r="C17" s="44" t="n">
        <v>17</v>
      </c>
      <c r="D17" s="46" t="n">
        <v>20000</v>
      </c>
      <c r="E17" s="47" t="n">
        <v>0.001516042653417946</v>
      </c>
      <c r="F17" s="48" t="n">
        <v>200000</v>
      </c>
      <c r="G17" s="48" t="n">
        <v>1158307</v>
      </c>
      <c r="H17" s="46" t="n">
        <v>30000</v>
      </c>
      <c r="I17" s="47" t="n">
        <v>0.001212834122734357</v>
      </c>
      <c r="J17" s="48" t="n">
        <v>300000</v>
      </c>
      <c r="K17" s="48" t="n">
        <v>1337200</v>
      </c>
      <c r="L17" s="49" t="n">
        <v>178893</v>
      </c>
      <c r="M17" s="49" t="n">
        <v>3041181</v>
      </c>
    </row>
    <row r="18">
      <c r="A18" s="50" t="inlineStr">
        <is>
          <t>月間合計</t>
        </is>
      </c>
      <c r="B18" s="50" t="n"/>
      <c r="C18" s="50" t="n"/>
      <c r="D18" s="50" t="n"/>
      <c r="E18" s="50" t="n"/>
      <c r="F18" s="51" t="n">
        <v>7600000</v>
      </c>
      <c r="G18" s="51" t="n">
        <v>47273319</v>
      </c>
      <c r="H18" s="50" t="n"/>
      <c r="I18" s="50" t="n"/>
      <c r="J18" s="51" t="n">
        <v>12100000</v>
      </c>
      <c r="K18" s="51" t="n">
        <v>57911421</v>
      </c>
      <c r="L18" s="51" t="inlineStr"/>
      <c r="M18" s="51" t="n">
        <v>10638102</v>
      </c>
    </row>
    <row r="20">
      <c r="A20" s="52" t="inlineStr">
        <is>
          <t>差額まとめ</t>
        </is>
      </c>
    </row>
    <row r="21">
      <c r="A21" s="53" t="inlineStr">
        <is>
          <t>売上差額（攻め−そのまま）</t>
        </is>
      </c>
      <c r="D21" s="54" t="n">
        <v>10638102</v>
      </c>
    </row>
    <row r="22">
      <c r="A22" s="53" t="inlineStr">
        <is>
          <t>広告費差額（攻め−そのまま）</t>
        </is>
      </c>
      <c r="D22" s="55" t="n">
        <v>4500000</v>
      </c>
    </row>
    <row r="23">
      <c r="A23" s="53" t="inlineStr">
        <is>
          <t>純増（売上差額−広告費差額）</t>
        </is>
      </c>
      <c r="D23" s="54" t="n">
        <v>6138102</v>
      </c>
    </row>
    <row r="24">
      <c r="A24" s="17" t="inlineStr">
        <is>
          <t>増分ROAS＝売上差額÷広告費差額＝2.4倍（転換率×0.8の保守前提。×0.9なら3.7倍）</t>
        </is>
      </c>
    </row>
    <row r="25">
      <c r="A25" s="17" t="inlineStr">
        <is>
          <t>【補足】アクセス単価の前提：スーツケース＝¥10/アクセス、ハンディファン＝¥8/アクセスで統一。FANはアクセス据え置きのため広告費も両パターン同額（差額計算に影響しない）。</t>
        </is>
      </c>
    </row>
    <row r="26">
      <c r="A26" s="17" t="inlineStr">
        <is>
          <t>★勝負日の頂点は8/5・8/10・8/25のかぶり3日：攻めで1日¥508万（+¥110万/日）。在庫最厚で臨むこと。</t>
        </is>
      </c>
    </row>
  </sheetData>
  <mergeCells count="4">
    <mergeCell ref="H4:K4"/>
    <mergeCell ref="A2:M2"/>
    <mergeCell ref="A1:M1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勝負日</t>
        </is>
      </c>
      <c r="I1" t="inlineStr">
        <is>
          <t>そのまま</t>
        </is>
      </c>
      <c r="J1" t="inlineStr">
        <is>
          <t>攻め</t>
        </is>
      </c>
    </row>
    <row r="2">
      <c r="H2" t="inlineStr">
        <is>
          <t>ワンダフル8/1</t>
        </is>
      </c>
      <c r="I2" t="n">
        <v>1199910</v>
      </c>
      <c r="J2" t="n">
        <v>1596803</v>
      </c>
    </row>
    <row r="3">
      <c r="H3" t="inlineStr">
        <is>
          <t>かぶり8/5</t>
        </is>
      </c>
      <c r="I3" t="n">
        <v>3979792</v>
      </c>
      <c r="J3" t="n">
        <v>5081220</v>
      </c>
    </row>
    <row r="4">
      <c r="H4" t="inlineStr">
        <is>
          <t>マラソン中盤</t>
        </is>
      </c>
      <c r="I4" t="n">
        <v>1357078</v>
      </c>
      <c r="J4" t="n">
        <v>1753181</v>
      </c>
    </row>
    <row r="5">
      <c r="H5" t="inlineStr">
        <is>
          <t>かぶり8/10</t>
        </is>
      </c>
      <c r="I5" t="n">
        <v>3979792</v>
      </c>
      <c r="J5" t="n">
        <v>5081220</v>
      </c>
    </row>
    <row r="6">
      <c r="H6" t="inlineStr">
        <is>
          <t>5と0 8/15</t>
        </is>
      </c>
      <c r="I6" t="n">
        <v>1647756</v>
      </c>
      <c r="J6" t="n">
        <v>2022097</v>
      </c>
    </row>
    <row r="7">
      <c r="H7" t="inlineStr">
        <is>
          <t>かぶり8/25</t>
        </is>
      </c>
      <c r="I7" t="n">
        <v>3979792</v>
      </c>
      <c r="J7" t="n">
        <v>5081220</v>
      </c>
    </row>
    <row r="8">
      <c r="H8" t="inlineStr">
        <is>
          <t>平日</t>
        </is>
      </c>
      <c r="I8" t="n">
        <v>1158307</v>
      </c>
      <c r="J8" t="n">
        <v>1337200</v>
      </c>
    </row>
    <row r="12">
      <c r="H12" t="inlineStr">
        <is>
          <t>項目</t>
        </is>
      </c>
      <c r="I12" t="inlineStr">
        <is>
          <t>そのまま</t>
        </is>
      </c>
      <c r="J12" t="inlineStr">
        <is>
          <t>攻め</t>
        </is>
      </c>
    </row>
    <row r="13">
      <c r="H13" t="inlineStr">
        <is>
          <t>月商</t>
        </is>
      </c>
      <c r="I13" t="n">
        <v>47273319</v>
      </c>
      <c r="J13" t="n">
        <v>57911421</v>
      </c>
    </row>
    <row r="14">
      <c r="H14" t="inlineStr">
        <is>
          <t>広告費</t>
        </is>
      </c>
      <c r="I14" t="n">
        <v>7600000</v>
      </c>
      <c r="J14" t="n">
        <v>12100000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42" customWidth="1" min="5" max="5"/>
  </cols>
  <sheetData>
    <row r="1">
      <c r="A1" s="58" t="inlineStr">
        <is>
          <t>用語解説：1アクセス価値 ／ アクセス単価の前提</t>
        </is>
      </c>
    </row>
    <row r="3" ht="30" customHeight="1">
      <c r="A3" s="59" t="inlineStr">
        <is>
          <t>定義</t>
        </is>
      </c>
      <c r="B3" s="60" t="inlineStr">
        <is>
          <t>お客さん1人がページに来たとき、平均していくら売上になるか</t>
        </is>
      </c>
      <c r="C3" s="61" t="n"/>
      <c r="D3" s="61" t="n"/>
      <c r="E3" s="61" t="n"/>
    </row>
    <row r="4" ht="30" customHeight="1">
      <c r="A4" s="59" t="inlineStr">
        <is>
          <t>計算式</t>
        </is>
      </c>
      <c r="B4" s="60" t="inlineStr">
        <is>
          <t>1アクセス価値 ＝ 転換率 × 客単価</t>
        </is>
      </c>
      <c r="C4" s="61" t="n"/>
      <c r="D4" s="61" t="n"/>
      <c r="E4" s="61" t="n"/>
    </row>
    <row r="5" ht="30" customHeight="1">
      <c r="A5" s="59" t="inlineStr">
        <is>
          <t>例（かぶり日・7月実績）</t>
        </is>
      </c>
      <c r="B5" s="60" t="inlineStr">
        <is>
          <t>転換率0.73% × 客単価¥13,048 ≒ ¥95。1,000人来たら約7人が買い、売上約¥95,000 → 1人あたり¥95</t>
        </is>
      </c>
      <c r="C5" s="61" t="n"/>
      <c r="D5" s="61" t="n"/>
      <c r="E5" s="61" t="n"/>
    </row>
    <row r="6" ht="30" customHeight="1">
      <c r="A6" s="59" t="inlineStr">
        <is>
          <t>使い方①（広告判断）</t>
        </is>
      </c>
      <c r="B6" s="60" t="inlineStr">
        <is>
          <t>アクセス単価と比べる。¥10で1人連れてきて、その日の価値が¥95なら9.5倍で返る計算</t>
        </is>
      </c>
      <c r="C6" s="61" t="n"/>
      <c r="D6" s="61" t="n"/>
      <c r="E6" s="61" t="n"/>
    </row>
    <row r="7" ht="30" customHeight="1">
      <c r="A7" s="59" t="inlineStr">
        <is>
          <t>使い方②（増額試算）</t>
        </is>
      </c>
      <c r="B7" s="60" t="inlineStr">
        <is>
          <t>追加売上 ＝ 増やすアクセス数 × 1アクセス価値。転換率×0.8のシナリオは価値を2割引きで見積もったもの</t>
        </is>
      </c>
      <c r="C7" s="61" t="n"/>
      <c r="D7" s="61" t="n"/>
      <c r="E7" s="61" t="n"/>
    </row>
    <row r="8" ht="30" customHeight="1">
      <c r="A8" s="59" t="inlineStr">
        <is>
          <t>★アクセス単価の統一前提</t>
        </is>
      </c>
      <c r="B8" s="60" t="inlineStr">
        <is>
          <t>スーツケース ¥10/アクセス ／ ハンディファン ¥8/アクセス（社長指定・全シート共通）</t>
        </is>
      </c>
      <c r="C8" s="61" t="n"/>
      <c r="D8" s="61" t="n"/>
      <c r="E8" s="61" t="n"/>
    </row>
    <row r="10">
      <c r="A10" s="53" t="inlineStr">
        <is>
          <t>セグメント別 1アクセス価値（7月公式実績・店舗全体）</t>
        </is>
      </c>
    </row>
    <row r="11">
      <c r="A11" s="62" t="inlineStr">
        <is>
          <t>区分</t>
        </is>
      </c>
      <c r="B11" s="62" t="inlineStr">
        <is>
          <t>1アクセス価値</t>
        </is>
      </c>
      <c r="C11" s="62" t="inlineStr">
        <is>
          <t>SC単価</t>
        </is>
      </c>
      <c r="D11" s="62" t="inlineStr">
        <is>
          <t>倍率</t>
        </is>
      </c>
      <c r="E11" s="62" t="inlineStr">
        <is>
          <t>読み方</t>
        </is>
      </c>
    </row>
    <row r="12">
      <c r="A12" s="63" t="inlineStr">
        <is>
          <t>かぶり日（イベント×5と0）</t>
        </is>
      </c>
      <c r="B12" s="64" t="n">
        <v>95</v>
      </c>
      <c r="C12" s="64" t="n">
        <v>10</v>
      </c>
      <c r="D12" s="65" t="n">
        <v>9.5</v>
      </c>
      <c r="E12" s="66" t="inlineStr">
        <is>
          <t>¥10仕入→¥95売上。最優先で広告を張る日</t>
        </is>
      </c>
    </row>
    <row r="13">
      <c r="A13" s="67" t="inlineStr">
        <is>
          <t>ワンダフルデー</t>
        </is>
      </c>
      <c r="B13" s="68" t="n">
        <v>94</v>
      </c>
      <c r="C13" s="68" t="n">
        <v>10</v>
      </c>
      <c r="D13" s="69" t="n">
        <v>9.4</v>
      </c>
      <c r="E13" s="70" t="inlineStr"/>
    </row>
    <row r="14">
      <c r="A14" s="71" t="inlineStr">
        <is>
          <t>5と0のつく日（単独）</t>
        </is>
      </c>
      <c r="B14" s="72" t="n">
        <v>61</v>
      </c>
      <c r="C14" s="72" t="n">
        <v>10</v>
      </c>
      <c r="D14" s="73" t="n">
        <v>6.1</v>
      </c>
      <c r="E14" s="74" t="inlineStr"/>
    </row>
    <row r="15">
      <c r="A15" s="75" t="inlineStr">
        <is>
          <t>マラソン通常</t>
        </is>
      </c>
      <c r="B15" s="76" t="n">
        <v>46</v>
      </c>
      <c r="C15" s="76" t="n">
        <v>10</v>
      </c>
      <c r="D15" s="77" t="n">
        <v>4.6</v>
      </c>
      <c r="E15" s="78" t="inlineStr"/>
    </row>
    <row r="16">
      <c r="A16" s="79" t="inlineStr">
        <is>
          <t>平日</t>
        </is>
      </c>
      <c r="B16" s="80" t="n">
        <v>41</v>
      </c>
      <c r="C16" s="80" t="n">
        <v>10</v>
      </c>
      <c r="D16" s="81" t="n">
        <v>4.1</v>
      </c>
      <c r="E16" s="82" t="inlineStr">
        <is>
          <t>それでも4.1倍。広告を切らない理由</t>
        </is>
      </c>
    </row>
    <row r="18">
      <c r="A18" s="17" t="inlineStr">
        <is>
          <t>※スーツケースのみの価値：平日¥45／かぶり日¥110。ハンディファンの広告費は¥8/アクセス（据え置き）。</t>
        </is>
      </c>
    </row>
  </sheetData>
  <mergeCells count="6">
    <mergeCell ref="B8:E8"/>
    <mergeCell ref="B4:E4"/>
    <mergeCell ref="B6:E6"/>
    <mergeCell ref="B7:E7"/>
    <mergeCell ref="B3:E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2026-07-27T16:11:25Z</dcterms:created>
  <dcterms:modified xsi:type="dcterms:W3CDTF">2026-07-27T16:11:53Z</dcterms:modified>
</cp:coreProperties>
</file>