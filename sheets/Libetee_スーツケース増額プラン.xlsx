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まとめ_スーツケース増額" sheetId="1" state="visible" r:id="rId1"/>
    <sheet name="客単価UP施策" sheetId="2" state="visible" r:id="rId2"/>
    <sheet name="グラフ" sheetId="3" state="visible" r:id="rId3"/>
    <sheet name="前提と検算" sheetId="4" state="visible" r:id="rId4"/>
    <sheet name="用語解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&quot;%&quot;"/>
    <numFmt numFmtId="165" formatCode="¥#,##0"/>
    <numFmt numFmtId="166" formatCode="0.000%"/>
    <numFmt numFmtId="167" formatCode="0.0&quot;倍&quot;"/>
  </numFmts>
  <fonts count="11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  <font>
      <name val="Arial"/>
      <b val="1"/>
      <sz val="12"/>
    </font>
    <font>
      <name val="Arial"/>
      <b val="1"/>
      <sz val="11"/>
    </font>
    <font>
      <name val="Arial"/>
      <b val="1"/>
      <color rgb="00C0392B"/>
      <sz val="13"/>
    </font>
    <font>
      <name val="Arial"/>
      <b val="1"/>
      <color rgb="00FFFFFF"/>
    </font>
    <font>
      <name val="Arial"/>
    </font>
    <font>
      <name val="Arial"/>
      <b val="1"/>
      <sz val="14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4B183"/>
      </patternFill>
    </fill>
    <fill>
      <patternFill patternType="solid">
        <fgColor rgb="00D9E1F2"/>
      </patternFill>
    </fill>
    <fill>
      <patternFill patternType="solid">
        <fgColor rgb="00DDEBD8"/>
      </patternFill>
    </fill>
    <fill>
      <patternFill patternType="solid">
        <fgColor rgb="00FFE2DD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0" fontId="4" fillId="8" borderId="1" pivotButton="0" quotePrefix="0" xfId="0"/>
    <xf numFmtId="165" fontId="4" fillId="8" borderId="1" pivotButton="0" quotePrefix="0" xfId="0"/>
    <xf numFmtId="0" fontId="0" fillId="9" borderId="1" pivotButton="0" quotePrefix="0" xfId="0"/>
    <xf numFmtId="165" fontId="0" fillId="9" borderId="1" pivotButton="0" quotePrefix="0" xfId="0"/>
    <xf numFmtId="0" fontId="6" fillId="8" borderId="1" pivotButton="0" quotePrefix="0" xfId="0"/>
    <xf numFmtId="165" fontId="6" fillId="8" borderId="1" pivotButton="0" quotePrefix="0" xfId="0"/>
    <xf numFmtId="0" fontId="7" fillId="0" borderId="0" pivotButton="0" quotePrefix="0" xfId="0"/>
    <xf numFmtId="165" fontId="7" fillId="10" borderId="0" pivotButton="0" quotePrefix="0" xfId="0"/>
    <xf numFmtId="0" fontId="8" fillId="2" borderId="1" pivotButton="0" quotePrefix="0" xfId="0"/>
    <xf numFmtId="0" fontId="0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9" fillId="0" borderId="0" pivotButton="0" quotePrefix="0" xfId="0"/>
    <xf numFmtId="166" fontId="0" fillId="3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0" fillId="7" borderId="1" pivotButton="0" quotePrefix="0" xfId="0"/>
    <xf numFmtId="165" fontId="0" fillId="7" borderId="1" pivotButton="0" quotePrefix="0" xfId="0"/>
    <xf numFmtId="167" fontId="0" fillId="7" borderId="1" pivotButton="0" quotePrefix="0" xfId="0"/>
    <xf numFmtId="0" fontId="2" fillId="7" borderId="1" pivotButton="0" quotePrefix="0" xfId="0"/>
    <xf numFmtId="0" fontId="0" fillId="5" borderId="1" pivotButton="0" quotePrefix="0" xfId="0"/>
    <xf numFmtId="165" fontId="0" fillId="5" borderId="1" pivotButton="0" quotePrefix="0" xfId="0"/>
    <xf numFmtId="167" fontId="0" fillId="5" borderId="1" pivotButton="0" quotePrefix="0" xfId="0"/>
    <xf numFmtId="0" fontId="2" fillId="5" borderId="1" pivotButton="0" quotePrefix="0" xfId="0"/>
    <xf numFmtId="0" fontId="0" fillId="6" borderId="1" pivotButton="0" quotePrefix="0" xfId="0"/>
    <xf numFmtId="165" fontId="0" fillId="6" borderId="1" pivotButton="0" quotePrefix="0" xfId="0"/>
    <xf numFmtId="167" fontId="0" fillId="6" borderId="1" pivotButton="0" quotePrefix="0" xfId="0"/>
    <xf numFmtId="0" fontId="2" fillId="6" borderId="1" pivotButton="0" quotePrefix="0" xfId="0"/>
    <xf numFmtId="0" fontId="0" fillId="4" borderId="1" pivotButton="0" quotePrefix="0" xfId="0"/>
    <xf numFmtId="165" fontId="0" fillId="4" borderId="1" pivotButton="0" quotePrefix="0" xfId="0"/>
    <xf numFmtId="167" fontId="0" fillId="4" borderId="1" pivotButton="0" quotePrefix="0" xfId="0"/>
    <xf numFmtId="0" fontId="2" fillId="4" borderId="1" pivotButton="0" quotePrefix="0" xfId="0"/>
    <xf numFmtId="0" fontId="0" fillId="3" borderId="1" pivotButton="0" quotePrefix="0" xfId="0"/>
    <xf numFmtId="165" fontId="0" fillId="3" borderId="1" pivotButton="0" quotePrefix="0" xfId="0"/>
    <xf numFmtId="167" fontId="0" fillId="3" borderId="1" pivotButton="0" quotePrefix="0" xfId="0"/>
    <xf numFmtId="0" fontId="2" fillId="3" borderId="1" pivotButton="0" quotePrefix="0" xfId="0"/>
    <xf numFmtId="0" fontId="4" fillId="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スーツケース 1日あたり売上：現在 vs 増額後（転換率−10%）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'グラフ'!I1</f>
            </strRef>
          </tx>
          <spPr>
            <a:ln>
              <a:prstDash val="solid"/>
            </a:ln>
          </spPr>
          <cat>
            <numRef>
              <f>'グラフ'!$H$2:$H$6</f>
            </numRef>
          </cat>
          <val>
            <numRef>
              <f>'グラフ'!$I$2:$I$6</f>
            </numRef>
          </val>
        </ser>
        <ser>
          <idx val="1"/>
          <order val="1"/>
          <tx>
            <strRef>
              <f>'グラフ'!J1</f>
            </strRef>
          </tx>
          <spPr>
            <a:ln>
              <a:prstDash val="solid"/>
            </a:ln>
          </spPr>
          <cat>
            <numRef>
              <f>'グラフ'!$H$2:$H$6</f>
            </numRef>
          </cat>
          <val>
            <numRef>
              <f>'グラフ'!$J$2:$J$6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月間：SC/FAN/合算（現在 vs 増額後）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'グラフ'!I8</f>
            </strRef>
          </tx>
          <spPr>
            <a:ln>
              <a:prstDash val="solid"/>
            </a:ln>
          </spPr>
          <cat>
            <numRef>
              <f>'グラフ'!$H$9:$H$11</f>
            </numRef>
          </cat>
          <val>
            <numRef>
              <f>'グラフ'!$I$9:$I$11</f>
            </numRef>
          </val>
        </ser>
        <ser>
          <idx val="1"/>
          <order val="1"/>
          <tx>
            <strRef>
              <f>'グラフ'!J8</f>
            </strRef>
          </tx>
          <spPr>
            <a:ln>
              <a:prstDash val="solid"/>
            </a:ln>
          </spPr>
          <cat>
            <numRef>
              <f>'グラフ'!$H$9:$H$11</f>
            </numRef>
          </cat>
          <val>
            <numRef>
              <f>'グラフ'!$J$9:$J$11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23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3" customWidth="1" min="8" max="8"/>
    <col width="12" customWidth="1" min="9" max="9"/>
    <col width="14" customWidth="1" min="10" max="10"/>
    <col width="14" customWidth="1" min="11" max="11"/>
    <col width="13" customWidth="1" min="12" max="12"/>
  </cols>
  <sheetData>
    <row r="1">
      <c r="A1" s="1" t="inlineStr">
        <is>
          <t>スーツケース増額プラン（7月公式ベース・8月公式カレンダー）</t>
        </is>
      </c>
    </row>
    <row r="2">
      <c r="A2" s="2" t="inlineStr">
        <is>
          <t>増額前：平日2万/イベント3万アクセス・転換率据え置き(7月実績)。増額後：平日3万/イベント5万・転換率は少し下げて−10%で仮定。ハンディファンはアクセスそのまま。</t>
        </is>
      </c>
    </row>
    <row r="4">
      <c r="A4" s="3" t="inlineStr">
        <is>
          <t>区分</t>
        </is>
      </c>
      <c r="B4" s="3" t="inlineStr">
        <is>
          <t>日数</t>
        </is>
      </c>
      <c r="C4" s="3" t="inlineStr">
        <is>
          <t>増額前
アクセス</t>
        </is>
      </c>
      <c r="D4" s="3" t="inlineStr">
        <is>
          <t>転換率
(現在)</t>
        </is>
      </c>
      <c r="E4" s="3" t="inlineStr">
        <is>
          <t>売上/日
(現在)</t>
        </is>
      </c>
      <c r="F4" s="3" t="inlineStr">
        <is>
          <t>増額後
アクセス</t>
        </is>
      </c>
      <c r="G4" s="3" t="inlineStr">
        <is>
          <t>転換率
(増額後)</t>
        </is>
      </c>
      <c r="H4" s="3" t="inlineStr">
        <is>
          <t>売上/日
(増額後)</t>
        </is>
      </c>
      <c r="I4" s="3" t="inlineStr">
        <is>
          <t>差額/日</t>
        </is>
      </c>
      <c r="J4" s="3" t="inlineStr">
        <is>
          <t>月間 現在</t>
        </is>
      </c>
      <c r="K4" s="3" t="inlineStr">
        <is>
          <t>月間 増額後</t>
        </is>
      </c>
      <c r="L4" s="3" t="inlineStr">
        <is>
          <t>月間差額</t>
        </is>
      </c>
    </row>
    <row r="5">
      <c r="A5" s="4" t="inlineStr">
        <is>
          <t>平日</t>
        </is>
      </c>
      <c r="B5" s="5" t="n">
        <v>17</v>
      </c>
      <c r="C5" s="6" t="n">
        <v>20000</v>
      </c>
      <c r="D5" s="49" t="n">
        <v>0.001516042653417946</v>
      </c>
      <c r="E5" s="8" t="n">
        <v>894465</v>
      </c>
      <c r="F5" s="6" t="n">
        <v>30000</v>
      </c>
      <c r="G5" s="49" t="n">
        <v>0.001364438388076151</v>
      </c>
      <c r="H5" s="8" t="n">
        <v>1207528</v>
      </c>
      <c r="I5" s="9" t="n">
        <v>313063</v>
      </c>
      <c r="J5" s="8" t="n">
        <v>15205905</v>
      </c>
      <c r="K5" s="8" t="n">
        <v>20527976</v>
      </c>
      <c r="L5" s="9" t="n">
        <v>5322071</v>
      </c>
    </row>
    <row r="6">
      <c r="A6" s="10" t="inlineStr">
        <is>
          <t>イベント(5,0抜き)：マラソン通常</t>
        </is>
      </c>
      <c r="B6" s="11" t="n">
        <v>7</v>
      </c>
      <c r="C6" s="12" t="n">
        <v>30000</v>
      </c>
      <c r="D6" s="50" t="n">
        <v>0.001342722645169273</v>
      </c>
      <c r="E6" s="14" t="n">
        <v>1188310</v>
      </c>
      <c r="F6" s="12" t="n">
        <v>50000</v>
      </c>
      <c r="G6" s="50" t="n">
        <v>0.001208450380652346</v>
      </c>
      <c r="H6" s="14" t="n">
        <v>1782464</v>
      </c>
      <c r="I6" s="15" t="n">
        <v>594154</v>
      </c>
      <c r="J6" s="14" t="n">
        <v>8318170</v>
      </c>
      <c r="K6" s="14" t="n">
        <v>12477248</v>
      </c>
      <c r="L6" s="15" t="n">
        <v>4159078</v>
      </c>
    </row>
    <row r="7">
      <c r="A7" s="16" t="inlineStr">
        <is>
          <t>イベント(5,0抜き)：ワンダフルデー</t>
        </is>
      </c>
      <c r="B7" s="17" t="n">
        <v>1</v>
      </c>
      <c r="C7" s="18" t="n">
        <v>30000</v>
      </c>
      <c r="D7" s="51" t="n">
        <v>0.001345398239907378</v>
      </c>
      <c r="E7" s="20" t="n">
        <v>1190677</v>
      </c>
      <c r="F7" s="18" t="n">
        <v>50000</v>
      </c>
      <c r="G7" s="51" t="n">
        <v>0.00121085841591664</v>
      </c>
      <c r="H7" s="20" t="n">
        <v>1786016</v>
      </c>
      <c r="I7" s="21" t="n">
        <v>595339</v>
      </c>
      <c r="J7" s="20" t="n">
        <v>1190677</v>
      </c>
      <c r="K7" s="20" t="n">
        <v>1786016</v>
      </c>
      <c r="L7" s="21" t="n">
        <v>595339</v>
      </c>
    </row>
    <row r="8">
      <c r="A8" s="22" t="inlineStr">
        <is>
          <t>5と0のつく日(単独 8/15・20・30)</t>
        </is>
      </c>
      <c r="B8" s="23" t="n">
        <v>3</v>
      </c>
      <c r="C8" s="24" t="n">
        <v>30000</v>
      </c>
      <c r="D8" s="52" t="n">
        <v>0.00126895071306332</v>
      </c>
      <c r="E8" s="26" t="n">
        <v>1123021</v>
      </c>
      <c r="F8" s="24" t="n">
        <v>50000</v>
      </c>
      <c r="G8" s="52" t="n">
        <v>0.001142055641756988</v>
      </c>
      <c r="H8" s="26" t="n">
        <v>1684532</v>
      </c>
      <c r="I8" s="27" t="n">
        <v>561511</v>
      </c>
      <c r="J8" s="26" t="n">
        <v>3369063</v>
      </c>
      <c r="K8" s="26" t="n">
        <v>5053596</v>
      </c>
      <c r="L8" s="27" t="n">
        <v>1684533</v>
      </c>
    </row>
    <row r="9">
      <c r="A9" s="28" t="inlineStr">
        <is>
          <t>イベント＋5,0(かぶり 8/5・10・25)</t>
        </is>
      </c>
      <c r="B9" s="29" t="n">
        <v>3</v>
      </c>
      <c r="C9" s="30" t="n">
        <v>30000</v>
      </c>
      <c r="D9" s="53" t="n">
        <v>0.003733655419830527</v>
      </c>
      <c r="E9" s="32" t="n">
        <v>3304285</v>
      </c>
      <c r="F9" s="30" t="n">
        <v>50000</v>
      </c>
      <c r="G9" s="53" t="n">
        <v>0.003360289877847474</v>
      </c>
      <c r="H9" s="32" t="n">
        <v>4956428</v>
      </c>
      <c r="I9" s="33" t="n">
        <v>1652143</v>
      </c>
      <c r="J9" s="32" t="n">
        <v>9912855</v>
      </c>
      <c r="K9" s="32" t="n">
        <v>14869284</v>
      </c>
      <c r="L9" s="33" t="n">
        <v>4956429</v>
      </c>
    </row>
    <row r="10">
      <c r="A10" s="34" t="inlineStr">
        <is>
          <t>スーツケース 計</t>
        </is>
      </c>
      <c r="B10" s="34" t="n"/>
      <c r="C10" s="34" t="n"/>
      <c r="D10" s="34" t="n"/>
      <c r="E10" s="34" t="n"/>
      <c r="F10" s="34" t="n"/>
      <c r="G10" s="34" t="n"/>
      <c r="H10" s="34" t="n"/>
      <c r="I10" s="34" t="n"/>
      <c r="J10" s="35" t="n">
        <v>37996670</v>
      </c>
      <c r="K10" s="35" t="n">
        <v>54714120</v>
      </c>
      <c r="L10" s="35" t="n">
        <v>16717450</v>
      </c>
    </row>
    <row r="11">
      <c r="A11" s="36" t="inlineStr">
        <is>
          <t>ハンディファン 4型（アクセスそのまま＝据え置き）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7" t="n">
        <v>9276649</v>
      </c>
      <c r="K11" s="37" t="n">
        <v>9276649</v>
      </c>
      <c r="L11" s="37" t="n">
        <v>0</v>
      </c>
    </row>
    <row r="12">
      <c r="A12" s="38" t="inlineStr">
        <is>
          <t>合算</t>
        </is>
      </c>
      <c r="B12" s="38" t="n"/>
      <c r="C12" s="38" t="n"/>
      <c r="D12" s="38" t="n"/>
      <c r="E12" s="38" t="n"/>
      <c r="F12" s="38" t="n"/>
      <c r="G12" s="38" t="n"/>
      <c r="H12" s="38" t="n"/>
      <c r="I12" s="38" t="n"/>
      <c r="J12" s="39" t="n">
        <v>47273319</v>
      </c>
      <c r="K12" s="39" t="n">
        <v>63990769</v>
      </c>
      <c r="L12" s="39" t="n">
        <v>16717450</v>
      </c>
    </row>
    <row r="14">
      <c r="A14" s="40" t="inlineStr">
        <is>
          <t>差額（増額−現在）</t>
        </is>
      </c>
      <c r="C14" s="41" t="n">
        <v>16717450</v>
      </c>
    </row>
    <row r="16">
      <c r="A16" s="2" t="inlineStr">
        <is>
          <t>転換率を−20%まで下げた保守ケース：スーツケース差額 +¥10,638,104 → 合算 ¥57,911,423。</t>
        </is>
      </c>
    </row>
    <row r="17">
      <c r="A17" s="2" t="inlineStr">
        <is>
          <t>増額前のスーツケース合計はSC/FAN分解(公式確定版)と1円一致。転換率は「SC注文数÷指定アクセス」で7月実績から逆算。</t>
        </is>
      </c>
    </row>
    <row r="18">
      <c r="A18" s="2" t="inlineStr">
        <is>
          <t>5と0単独は7月実績が1日(7/15)のみでサンプル極少 → 8月実績で要更新。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52" customWidth="1" min="3" max="3"/>
  </cols>
  <sheetData>
    <row r="1">
      <c r="A1" s="1" t="inlineStr">
        <is>
          <t>客単価を上げる施策（アクセスを増やさず売上を増やす第3の道）</t>
        </is>
      </c>
    </row>
    <row r="3">
      <c r="A3" s="42" t="inlineStr">
        <is>
          <t>施策</t>
        </is>
      </c>
      <c r="B3" s="43" t="n"/>
      <c r="C3" s="43" t="n"/>
    </row>
    <row r="4">
      <c r="A4" s="44" t="inlineStr">
        <is>
          <t>① 2個セット割：セットで¥5,000オフ</t>
        </is>
      </c>
      <c r="B4" s="45" t="inlineStr">
        <is>
          <t>対象：多機能アルミ・PC多機能・ノーマルアルミ限定</t>
        </is>
      </c>
      <c r="C4" s="46" t="inlineStr">
        <is>
          <t>客単価 ¥29,500 → 約¥54,000（2個で−¥5,000）。※訴求は「1個あたり¥2,500お得」等、見せ方は要検討</t>
        </is>
      </c>
    </row>
    <row r="5">
      <c r="A5" s="44" t="inlineStr">
        <is>
          <t>② 圧縮バッグのセット買い</t>
        </is>
      </c>
      <c r="B5" s="45" t="inlineStr">
        <is>
          <t>スーツケース＋圧縮バッグ</t>
        </is>
      </c>
      <c r="C5" s="46" t="inlineStr">
        <is>
          <t>旅行動線で自然なクロスセル。客単価+¥2,000〜3,000</t>
        </is>
      </c>
    </row>
    <row r="6">
      <c r="A6" s="44" t="inlineStr">
        <is>
          <t>③ ハンディファンセット</t>
        </is>
      </c>
      <c r="B6" s="45" t="inlineStr">
        <is>
          <t>スーツケース＋ハンディファン</t>
        </is>
      </c>
      <c r="C6" s="46" t="inlineStr">
        <is>
          <t>夏旅セット。FAN在庫の消化にも効く。客単価+¥3,000前後</t>
        </is>
      </c>
    </row>
    <row r="7">
      <c r="A7" s="42" t="inlineStr">
        <is>
          <t>なぜ割引が広告より安いのか（数字の根拠）</t>
        </is>
      </c>
      <c r="B7" s="43" t="n"/>
      <c r="C7" s="43" t="n"/>
    </row>
    <row r="8">
      <c r="A8" s="44" t="inlineStr">
        <is>
          <t>広告で新規1件を獲るコスト(CPA)</t>
        </is>
      </c>
      <c r="B8" s="45" t="inlineStr">
        <is>
          <t>平日：約¥7,900/件</t>
        </is>
      </c>
      <c r="C8" s="46" t="inlineStr">
        <is>
          <t>必要アクセス=1÷転換率0.152%≒660 × アクセス単価¥12</t>
        </is>
      </c>
    </row>
    <row r="9">
      <c r="A9" s="44" t="inlineStr"/>
      <c r="B9" s="45" t="inlineStr">
        <is>
          <t>かぶり日：約¥3,200/件</t>
        </is>
      </c>
      <c r="C9" s="46" t="inlineStr">
        <is>
          <t>1÷0.373%≒268アクセス × ¥12</t>
        </is>
      </c>
    </row>
    <row r="10">
      <c r="A10" s="44" t="inlineStr">
        <is>
          <t>セット割で「2個目」を売るコスト</t>
        </is>
      </c>
      <c r="B10" s="45" t="inlineStr">
        <is>
          <t>¥5,000/個（割引原資のみ）</t>
        </is>
      </c>
      <c r="C10" s="46" t="inlineStr">
        <is>
          <t>既に来ている客に売るため広告費ゼロ。平日CPA(¥7,900)より確実に安い</t>
        </is>
      </c>
    </row>
    <row r="11">
      <c r="A11" s="42" t="inlineStr">
        <is>
          <t>結論</t>
        </is>
      </c>
      <c r="B11" s="43" t="n"/>
      <c r="C11" s="43" t="n"/>
    </row>
    <row r="12">
      <c r="A12" s="44" t="inlineStr">
        <is>
          <t>セット割は「平日の新規獲得」より安く売上を積める</t>
        </is>
      </c>
      <c r="B12" s="45" t="inlineStr">
        <is>
          <t>特に平日・マラソン通常日に有効</t>
        </is>
      </c>
      <c r="C12" s="46" t="inlineStr">
        <is>
          <t>山(かぶり日)はアクセス増で、谷(平日)は客単価UPで稼ぐ二刀流が最強</t>
        </is>
      </c>
    </row>
    <row r="14">
      <c r="A14" s="47" t="inlineStr">
        <is>
          <t>試算：平日にセット率10%が付いた場合</t>
        </is>
      </c>
    </row>
    <row r="15">
      <c r="A15" s="48" t="inlineStr">
        <is>
          <t>増額後の平日SC注文 約41件/日 × 10% × (2個目¥29,500−割引¥5,000) ≒ +¥100,286/日 → 月間(平日17日) +¥1,704,862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グラフ</t>
        </is>
      </c>
      <c r="H1" t="inlineStr">
        <is>
          <t>区分</t>
        </is>
      </c>
      <c r="I1" t="inlineStr">
        <is>
          <t>現在</t>
        </is>
      </c>
      <c r="J1" t="inlineStr">
        <is>
          <t>増額後</t>
        </is>
      </c>
    </row>
    <row r="2">
      <c r="H2" t="inlineStr">
        <is>
          <t>平日</t>
        </is>
      </c>
      <c r="I2" t="n">
        <v>894465</v>
      </c>
      <c r="J2" t="n">
        <v>1207528</v>
      </c>
    </row>
    <row r="3">
      <c r="H3" t="inlineStr">
        <is>
          <t>マラソン通常</t>
        </is>
      </c>
      <c r="I3" t="n">
        <v>1188310</v>
      </c>
      <c r="J3" t="n">
        <v>1782464</v>
      </c>
    </row>
    <row r="4">
      <c r="H4" t="inlineStr">
        <is>
          <t>ワンダフル</t>
        </is>
      </c>
      <c r="I4" t="n">
        <v>1190677</v>
      </c>
      <c r="J4" t="n">
        <v>1786016</v>
      </c>
    </row>
    <row r="5">
      <c r="H5" t="inlineStr">
        <is>
          <t>5と0単独</t>
        </is>
      </c>
      <c r="I5" t="n">
        <v>1123021</v>
      </c>
      <c r="J5" t="n">
        <v>1684532</v>
      </c>
    </row>
    <row r="6">
      <c r="H6" t="inlineStr">
        <is>
          <t>かぶり日</t>
        </is>
      </c>
      <c r="I6" t="n">
        <v>3304285</v>
      </c>
      <c r="J6" t="n">
        <v>4956428</v>
      </c>
    </row>
    <row r="8">
      <c r="H8" t="inlineStr">
        <is>
          <t>区分</t>
        </is>
      </c>
      <c r="I8" t="inlineStr">
        <is>
          <t>現在</t>
        </is>
      </c>
      <c r="J8" t="inlineStr">
        <is>
          <t>増額後</t>
        </is>
      </c>
    </row>
    <row r="9">
      <c r="H9" t="inlineStr">
        <is>
          <t>スーツケース</t>
        </is>
      </c>
      <c r="I9" t="n">
        <v>37996670</v>
      </c>
      <c r="J9" t="n">
        <v>54714120</v>
      </c>
    </row>
    <row r="10">
      <c r="H10" t="inlineStr">
        <is>
          <t>ハンディファン</t>
        </is>
      </c>
      <c r="I10" t="n">
        <v>9276649</v>
      </c>
      <c r="J10" t="n">
        <v>9276649</v>
      </c>
    </row>
    <row r="11">
      <c r="H11" t="inlineStr">
        <is>
          <t>合算</t>
        </is>
      </c>
      <c r="I11" t="n">
        <v>47273319</v>
      </c>
      <c r="J11" t="n">
        <v>63990769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47" t="inlineStr">
        <is>
          <t>前提</t>
        </is>
      </c>
    </row>
    <row r="2">
      <c r="A2" s="48" t="inlineStr">
        <is>
          <t xml:space="preserve">  ・基礎数値＝2026年7月実績（公式カレンダー分類）。スーツケース客単価¥29,500（冬1-2月実績）。</t>
        </is>
      </c>
    </row>
    <row r="3">
      <c r="A3" s="48" t="inlineStr">
        <is>
          <t xml:space="preserve">  ・スーツケース転換率＝7月のSC注文数 ÷ 指定アクセス（平日2万/イベント3万）で逆算。</t>
        </is>
      </c>
    </row>
    <row r="4">
      <c r="A4" s="48" t="inlineStr">
        <is>
          <t xml:space="preserve">  ・増額後の転換率＝現在×0.90（「少し下げ」の仮定）。保守ケース×0.80も併記。</t>
        </is>
      </c>
    </row>
    <row r="5">
      <c r="A5" s="48" t="inlineStr">
        <is>
          <t xml:space="preserve">  ・ハンディファン＝アクセス・売上とも据え置き（月間¥9,276,649）。</t>
        </is>
      </c>
    </row>
    <row r="6">
      <c r="A6" s="48" t="inlineStr"/>
    </row>
    <row r="7">
      <c r="A7" s="47" t="inlineStr">
        <is>
          <t>検算</t>
        </is>
      </c>
    </row>
    <row r="8">
      <c r="A8" s="48" t="inlineStr">
        <is>
          <t xml:space="preserve">  ・SC増額前 月間¥37,996,670 ＝ 公式確定版のSC分解と一致。</t>
        </is>
      </c>
    </row>
    <row r="9">
      <c r="A9" s="48" t="inlineStr">
        <is>
          <t xml:space="preserve">  ・合算：現在¥47,273,319 → 増額後¥63,990,769（差額+¥16,717,450）。</t>
        </is>
      </c>
    </row>
    <row r="10">
      <c r="A10" s="48" t="inlineStr">
        <is>
          <t xml:space="preserve">  ・各行：売上/日×日数＝月間、を全行で確認。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6" customWidth="1" min="3" max="3"/>
    <col width="30" customWidth="1" min="4" max="4"/>
  </cols>
  <sheetData>
    <row r="1">
      <c r="A1" s="54" t="inlineStr">
        <is>
          <t>用語解説（お店にたとえた、やさしい版）</t>
        </is>
      </c>
    </row>
    <row r="3">
      <c r="A3" s="56" t="inlineStr">
        <is>
          <t>用語</t>
        </is>
      </c>
      <c r="B3" s="56" t="inlineStr">
        <is>
          <t>お店で言うと</t>
        </is>
      </c>
      <c r="C3" s="56" t="inlineStr">
        <is>
          <t>意味</t>
        </is>
      </c>
      <c r="D3" s="56" t="inlineStr">
        <is>
          <t>この店の数字(7月実績)</t>
        </is>
      </c>
    </row>
    <row r="4" ht="30" customHeight="1">
      <c r="A4" s="77" t="inlineStr">
        <is>
          <t>アクセス数</t>
        </is>
      </c>
      <c r="B4" s="55" t="inlineStr">
        <is>
          <t>お店に入ってきた人数</t>
        </is>
      </c>
      <c r="C4" s="55" t="inlineStr">
        <is>
          <t>ページを見に来た人の数（買わない人も含む）</t>
        </is>
      </c>
      <c r="D4" s="55" t="inlineStr">
        <is>
          <t>かぶり日 約4.2万人/日</t>
        </is>
      </c>
    </row>
    <row r="5" ht="30" customHeight="1">
      <c r="A5" s="77" t="inlineStr">
        <is>
          <t>転換率</t>
        </is>
      </c>
      <c r="B5" s="55" t="inlineStr">
        <is>
          <t>入った人のうち買った人の割合</t>
        </is>
      </c>
      <c r="C5" s="55" t="inlineStr">
        <is>
          <t>100人入店して1人買えば1%</t>
        </is>
      </c>
      <c r="D5" s="55" t="inlineStr">
        <is>
          <t>かぶり日0.73%＝1,000人中7人</t>
        </is>
      </c>
    </row>
    <row r="6" ht="30" customHeight="1">
      <c r="A6" s="77" t="inlineStr">
        <is>
          <t>客単価</t>
        </is>
      </c>
      <c r="B6" s="55" t="inlineStr">
        <is>
          <t>買った人1人の平均支払額</t>
        </is>
      </c>
      <c r="C6" s="55" t="inlineStr">
        <is>
          <t>レジ1回の平均金額</t>
        </is>
      </c>
      <c r="D6" s="55" t="inlineStr">
        <is>
          <t>かぶり日¥13,048</t>
        </is>
      </c>
    </row>
    <row r="7" ht="30" customHeight="1">
      <c r="A7" s="78" t="inlineStr">
        <is>
          <t>1アクセス価値</t>
        </is>
      </c>
      <c r="B7" s="79" t="inlineStr">
        <is>
          <t>入店客1人あたりの平均売上</t>
        </is>
      </c>
      <c r="C7" s="79" t="inlineStr">
        <is>
          <t>転換率×客単価。1人来店するたび平均いくら売れるか</t>
        </is>
      </c>
      <c r="D7" s="79" t="inlineStr">
        <is>
          <t>かぶり日¥95／平日¥41</t>
        </is>
      </c>
    </row>
    <row r="8" ht="30" customHeight="1">
      <c r="A8" s="78" t="inlineStr">
        <is>
          <t>アクセス単価</t>
        </is>
      </c>
      <c r="B8" s="79" t="inlineStr">
        <is>
          <t>1人を連れてくるチラシ代</t>
        </is>
      </c>
      <c r="C8" s="79" t="inlineStr">
        <is>
          <t>広告費÷アクセス数</t>
        </is>
      </c>
      <c r="D8" s="79" t="inlineStr">
        <is>
          <t>スーツケース¥10／ファン¥8（統一）</t>
        </is>
      </c>
    </row>
    <row r="9" ht="30" customHeight="1">
      <c r="A9" s="77" t="inlineStr">
        <is>
          <t>倍率</t>
        </is>
      </c>
      <c r="B9" s="55" t="inlineStr">
        <is>
          <t>チラシ代の何倍売れるか</t>
        </is>
      </c>
      <c r="C9" s="55" t="inlineStr">
        <is>
          <t>1アクセス価値÷アクセス単価</t>
        </is>
      </c>
      <c r="D9" s="55" t="inlineStr">
        <is>
          <t>かぶり日9.5倍／平日4.1倍</t>
        </is>
      </c>
    </row>
    <row r="10" ht="30" customHeight="1">
      <c r="A10" s="77" t="inlineStr">
        <is>
          <t>かぶり日</t>
        </is>
      </c>
      <c r="B10" s="55" t="inlineStr">
        <is>
          <t>特売日が2つ重なった日</t>
        </is>
      </c>
      <c r="C10" s="55" t="inlineStr">
        <is>
          <t>お買い物マラソン×5と0のつく日</t>
        </is>
      </c>
      <c r="D10" s="55" t="inlineStr">
        <is>
          <t>8/5・8/10・8/25</t>
        </is>
      </c>
    </row>
    <row r="12">
      <c r="A12" s="44" t="inlineStr">
        <is>
          <t>商売の流れ</t>
        </is>
      </c>
      <c r="B12" s="55" t="inlineStr">
        <is>
          <t>広告費を払う(¥10で1人) → お客さんが来る(アクセス) → 一部が買う(転換率) → 売上(客単価)</t>
        </is>
      </c>
      <c r="C12" s="45" t="n"/>
      <c r="D12" s="45" t="n"/>
    </row>
    <row r="13" ht="30" customHeight="1">
      <c r="A13" s="44" t="inlineStr">
        <is>
          <t>かぶり日の例</t>
        </is>
      </c>
      <c r="B13" s="55" t="inlineStr">
        <is>
          <t>¥10×1,000人=広告費¥1万 → 1,000人来店 → 7人購入 → 売上¥95,000（＝9.5倍）。平日は同じ¥1万で¥41,000（4.1倍）</t>
        </is>
      </c>
      <c r="C13" s="45" t="n"/>
      <c r="D13" s="45" t="n"/>
    </row>
  </sheetData>
  <mergeCells count="2">
    <mergeCell ref="B12:D12"/>
    <mergeCell ref="B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2026-07-27T15:22:26Z</dcterms:created>
  <dcterms:modified xsi:type="dcterms:W3CDTF">2026-07-27T16:16:22Z</dcterms:modified>
</cp:coreProperties>
</file>