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販売個数まとめ" sheetId="1" state="visible" r:id="rId1"/>
    <sheet name="SKU別個数と在庫目安" sheetId="2" state="visible" r:id="rId2"/>
    <sheet name="グラ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4B183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DE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0" fontId="4" fillId="8" borderId="1" pivotButton="0" quotePrefix="0" xfId="0"/>
    <xf numFmtId="3" fontId="4" fillId="8" borderId="1" pivotButton="0" quotePrefix="0" xfId="0"/>
    <xf numFmtId="0" fontId="4" fillId="9" borderId="1" pivotButton="0" quotePrefix="0" xfId="0"/>
    <xf numFmtId="3" fontId="4" fillId="9" borderId="1" pivotButton="0" quotePrefix="0" xfId="0"/>
    <xf numFmtId="0" fontId="0" fillId="9" borderId="1" pivotButton="0" quotePrefix="0" xfId="0"/>
    <xf numFmtId="9" fontId="0" fillId="10" borderId="1" pivotButton="0" quotePrefix="0" xfId="0"/>
    <xf numFmtId="3" fontId="0" fillId="9" borderId="1" pivotButton="0" quotePrefix="0" xfId="0"/>
    <xf numFmtId="0" fontId="2" fillId="9" borderId="1" pivotButton="0" quotePrefix="0" xfId="0"/>
    <xf numFmtId="0" fontId="4" fillId="11" borderId="1" pivotButton="0" quotePrefix="0" xfId="0"/>
    <xf numFmtId="3" fontId="4" fillId="11" borderId="1" pivotButton="0" quotePrefix="0" xfId="0"/>
    <xf numFmtId="0" fontId="0" fillId="11" borderId="1" pivotButton="0" quotePrefix="0" xfId="0"/>
    <xf numFmtId="3" fontId="0" fillId="11" borderId="1" pivotButton="0" quotePrefix="0" xfId="0"/>
    <xf numFmtId="0" fontId="2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スーツケース月間販売個数：増額前 vs 増額後（セグメント別）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'グラフ'!$I$2:$I$6</f>
            </numRef>
          </val>
        </ser>
        <ser>
          <idx val="1"/>
          <order val="1"/>
          <tx>
            <strRef>
              <f>'グラフ'!J1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'グラフ'!$J$2:$J$6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商品別 販売個数（8月予測・7月公式ベース）</t>
        </is>
      </c>
    </row>
    <row r="2">
      <c r="A2" s="2" t="inlineStr">
        <is>
          <t>個数＝売上÷客単価（スーツケース¥29,500／ファン¥3,500）。増額後＝平日3万/イベント5万アクセス・転換率−10%。ファンは据え置き。</t>
        </is>
      </c>
    </row>
    <row r="4">
      <c r="A4" s="3" t="inlineStr">
        <is>
          <t>区分</t>
        </is>
      </c>
      <c r="B4" s="3" t="inlineStr">
        <is>
          <t>日数</t>
        </is>
      </c>
      <c r="C4" s="3" t="inlineStr">
        <is>
          <t>SC個/日
(増額前)</t>
        </is>
      </c>
      <c r="D4" s="3" t="inlineStr">
        <is>
          <t>SC個/日
(増額後)</t>
        </is>
      </c>
      <c r="E4" s="3" t="inlineStr">
        <is>
          <t>SC月間
(増額前)</t>
        </is>
      </c>
      <c r="F4" s="3" t="inlineStr">
        <is>
          <t>SC月間
(増額後)</t>
        </is>
      </c>
      <c r="G4" s="3" t="inlineStr">
        <is>
          <t>増加個数</t>
        </is>
      </c>
      <c r="H4" s="3" t="inlineStr">
        <is>
          <t>FAN個/日</t>
        </is>
      </c>
      <c r="I4" s="3" t="inlineStr">
        <is>
          <t>FAN月間</t>
        </is>
      </c>
    </row>
    <row r="5">
      <c r="A5" s="4" t="inlineStr">
        <is>
          <t>平日</t>
        </is>
      </c>
      <c r="B5" s="5" t="n">
        <v>17</v>
      </c>
      <c r="C5" s="6" t="n">
        <v>30.3</v>
      </c>
      <c r="D5" s="6" t="n">
        <v>40.9</v>
      </c>
      <c r="E5" s="7" t="n">
        <v>515</v>
      </c>
      <c r="F5" s="7" t="n">
        <v>696</v>
      </c>
      <c r="G5" s="8" t="n">
        <v>180</v>
      </c>
      <c r="H5" s="6" t="n">
        <v>75.40000000000001</v>
      </c>
      <c r="I5" s="7" t="n">
        <v>1282</v>
      </c>
    </row>
    <row r="6">
      <c r="A6" s="9" t="inlineStr">
        <is>
          <t>イベント(5,0抜き)：マラソン通常</t>
        </is>
      </c>
      <c r="B6" s="10" t="n">
        <v>7</v>
      </c>
      <c r="C6" s="11" t="n">
        <v>40.3</v>
      </c>
      <c r="D6" s="11" t="n">
        <v>60.4</v>
      </c>
      <c r="E6" s="12" t="n">
        <v>282</v>
      </c>
      <c r="F6" s="12" t="n">
        <v>423</v>
      </c>
      <c r="G6" s="13" t="n">
        <v>141</v>
      </c>
      <c r="H6" s="11" t="n">
        <v>48.2</v>
      </c>
      <c r="I6" s="12" t="n">
        <v>338</v>
      </c>
    </row>
    <row r="7">
      <c r="A7" s="14" t="inlineStr">
        <is>
          <t>イベント(5,0抜き)：ワンダフルデー</t>
        </is>
      </c>
      <c r="B7" s="15" t="n">
        <v>1</v>
      </c>
      <c r="C7" s="16" t="n">
        <v>40.4</v>
      </c>
      <c r="D7" s="16" t="n">
        <v>60.5</v>
      </c>
      <c r="E7" s="17" t="n">
        <v>40</v>
      </c>
      <c r="F7" s="17" t="n">
        <v>61</v>
      </c>
      <c r="G7" s="18" t="n">
        <v>20</v>
      </c>
      <c r="H7" s="16" t="n">
        <v>2.6</v>
      </c>
      <c r="I7" s="17" t="n">
        <v>3</v>
      </c>
    </row>
    <row r="8">
      <c r="A8" s="19" t="inlineStr">
        <is>
          <t>5と0のつく日(単独)</t>
        </is>
      </c>
      <c r="B8" s="20" t="n">
        <v>3</v>
      </c>
      <c r="C8" s="21" t="n">
        <v>38.1</v>
      </c>
      <c r="D8" s="21" t="n">
        <v>57.1</v>
      </c>
      <c r="E8" s="22" t="n">
        <v>114</v>
      </c>
      <c r="F8" s="22" t="n">
        <v>171</v>
      </c>
      <c r="G8" s="23" t="n">
        <v>57</v>
      </c>
      <c r="H8" s="21" t="n">
        <v>149.9</v>
      </c>
      <c r="I8" s="22" t="n">
        <v>450</v>
      </c>
    </row>
    <row r="9">
      <c r="A9" s="24" t="inlineStr">
        <is>
          <t>イベント＋5,0(かぶり)</t>
        </is>
      </c>
      <c r="B9" s="25" t="n">
        <v>3</v>
      </c>
      <c r="C9" s="26" t="n">
        <v>112</v>
      </c>
      <c r="D9" s="26" t="n">
        <v>168</v>
      </c>
      <c r="E9" s="27" t="n">
        <v>336</v>
      </c>
      <c r="F9" s="27" t="n">
        <v>504</v>
      </c>
      <c r="G9" s="28" t="n">
        <v>168</v>
      </c>
      <c r="H9" s="26" t="n">
        <v>193</v>
      </c>
      <c r="I9" s="27" t="n">
        <v>579</v>
      </c>
    </row>
    <row r="10">
      <c r="A10" s="29" t="inlineStr">
        <is>
          <t>合計</t>
        </is>
      </c>
      <c r="B10" s="29" t="n"/>
      <c r="C10" s="29" t="n"/>
      <c r="D10" s="29" t="n"/>
      <c r="E10" s="30" t="n">
        <v>1288</v>
      </c>
      <c r="F10" s="30" t="n">
        <v>1855</v>
      </c>
      <c r="G10" s="30" t="n">
        <v>567</v>
      </c>
      <c r="H10" s="29" t="n"/>
      <c r="I10" s="30" t="n">
        <v>2650</v>
      </c>
    </row>
    <row r="12">
      <c r="A12" s="2" t="inlineStr">
        <is>
          <t>スーツケース：増額前 約1,288個/月 → 増額後 約1,855個/月（+567個）</t>
        </is>
      </c>
    </row>
    <row r="13">
      <c r="A13" s="2" t="inlineStr">
        <is>
          <t>ハンディファン：約2,650個/月（据え置き）</t>
        </is>
      </c>
    </row>
    <row r="14">
      <c r="A14" s="2" t="inlineStr">
        <is>
          <t>検算：SC個数×¥29,500＝¥37,996,671 ＝ SC売上と整合。</t>
        </is>
      </c>
    </row>
    <row r="15">
      <c r="A15" s="2" t="inlineStr">
        <is>
          <t>※個数は注文件数ベース。ファンはまとめ買い（1注文複数個）でやや過小の可能性。セット割導入時はSC個数が上振れ。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6" customWidth="1" min="6" max="6"/>
    <col width="26" customWidth="1" min="7" max="7"/>
  </cols>
  <sheetData>
    <row r="1">
      <c r="A1" s="1" t="inlineStr">
        <is>
          <t>SKU別 販売個数と8月の在庫目安</t>
        </is>
      </c>
    </row>
    <row r="2">
      <c r="A2" s="2" t="inlineStr">
        <is>
          <t>SKU構成比＝7/25広告費配分(自社+Amazon+メタ)からの仮定（黄色セル＝要調整）。在庫目安＝増額後×安全率(SC1.2/FAN1.1)。</t>
        </is>
      </c>
    </row>
    <row r="4">
      <c r="A4" s="3" t="inlineStr">
        <is>
          <t>商品</t>
        </is>
      </c>
      <c r="B4" s="3" t="inlineStr">
        <is>
          <t>構成比
(仮定)</t>
        </is>
      </c>
      <c r="C4" s="3" t="inlineStr">
        <is>
          <t>月間個数
(増額前)</t>
        </is>
      </c>
      <c r="D4" s="3" t="inlineStr">
        <is>
          <t>月間個数
(増額後)</t>
        </is>
      </c>
      <c r="E4" s="3" t="inlineStr">
        <is>
          <t>在庫目安
(8月)</t>
        </is>
      </c>
      <c r="F4" s="3" t="inlineStr">
        <is>
          <t>うち かぶり日3日
(8/5・10・25)</t>
        </is>
      </c>
      <c r="G4" s="3" t="inlineStr">
        <is>
          <t>メモ</t>
        </is>
      </c>
    </row>
    <row r="5">
      <c r="A5" s="31" t="inlineStr">
        <is>
          <t>スーツケース</t>
        </is>
      </c>
      <c r="B5" s="31" t="n"/>
      <c r="C5" s="32" t="n">
        <v>1288</v>
      </c>
      <c r="D5" s="32" t="n">
        <v>1855</v>
      </c>
      <c r="E5" s="32" t="n">
        <v>2226</v>
      </c>
      <c r="F5" s="32" t="n">
        <v>504</v>
      </c>
      <c r="G5" s="31" t="n"/>
    </row>
    <row r="6">
      <c r="A6" s="33" t="inlineStr">
        <is>
          <t xml:space="preserve">  多機能PC</t>
        </is>
      </c>
      <c r="B6" s="34" t="n">
        <v>0.74</v>
      </c>
      <c r="C6" s="35" t="n">
        <v>953</v>
      </c>
      <c r="D6" s="35" t="n">
        <v>1372</v>
      </c>
      <c r="E6" s="35" t="n">
        <v>1647</v>
      </c>
      <c r="F6" s="35" t="n">
        <v>373</v>
      </c>
      <c r="G6" s="36" t="inlineStr">
        <is>
          <t>主力。セット割対象</t>
        </is>
      </c>
    </row>
    <row r="7">
      <c r="A7" s="33" t="inlineStr">
        <is>
          <t xml:space="preserve">  ノーマルアルミ</t>
        </is>
      </c>
      <c r="B7" s="34" t="n">
        <v>0.15</v>
      </c>
      <c r="C7" s="35" t="n">
        <v>193</v>
      </c>
      <c r="D7" s="35" t="n">
        <v>278</v>
      </c>
      <c r="E7" s="35" t="n">
        <v>334</v>
      </c>
      <c r="F7" s="35" t="n">
        <v>76</v>
      </c>
      <c r="G7" s="36" t="inlineStr">
        <is>
          <t>セット割対象</t>
        </is>
      </c>
    </row>
    <row r="8">
      <c r="A8" s="33" t="inlineStr">
        <is>
          <t xml:space="preserve">  多機能アルミ</t>
        </is>
      </c>
      <c r="B8" s="34" t="n">
        <v>0.11</v>
      </c>
      <c r="C8" s="35" t="n">
        <v>142</v>
      </c>
      <c r="D8" s="35" t="n">
        <v>204</v>
      </c>
      <c r="E8" s="35" t="n">
        <v>245</v>
      </c>
      <c r="F8" s="35" t="n">
        <v>55</v>
      </c>
      <c r="G8" s="36" t="inlineStr">
        <is>
          <t>セット割対象</t>
        </is>
      </c>
    </row>
    <row r="9">
      <c r="A9" s="37" t="inlineStr">
        <is>
          <t>ハンディファン</t>
        </is>
      </c>
      <c r="B9" s="37" t="n"/>
      <c r="C9" s="38" t="n">
        <v>2650</v>
      </c>
      <c r="D9" s="38" t="n">
        <v>2650</v>
      </c>
      <c r="E9" s="38" t="n">
        <v>2916</v>
      </c>
      <c r="F9" s="38" t="n">
        <v>579</v>
      </c>
      <c r="G9" s="37" t="n"/>
    </row>
    <row r="10">
      <c r="A10" s="39" t="inlineStr">
        <is>
          <t xml:space="preserve">  首振り</t>
        </is>
      </c>
      <c r="B10" s="34" t="n">
        <v>0.39</v>
      </c>
      <c r="C10" s="40" t="n">
        <v>1034</v>
      </c>
      <c r="D10" s="40" t="n">
        <v>1034</v>
      </c>
      <c r="E10" s="40" t="n">
        <v>1137</v>
      </c>
      <c r="F10" s="40" t="n">
        <v>226</v>
      </c>
      <c r="G10" s="41" t="inlineStr"/>
    </row>
    <row r="11">
      <c r="A11" s="39" t="inlineStr">
        <is>
          <t xml:space="preserve">  スケルトン</t>
        </is>
      </c>
      <c r="B11" s="34" t="n">
        <v>0.39</v>
      </c>
      <c r="C11" s="40" t="n">
        <v>1034</v>
      </c>
      <c r="D11" s="40" t="n">
        <v>1034</v>
      </c>
      <c r="E11" s="40" t="n">
        <v>1137</v>
      </c>
      <c r="F11" s="40" t="n">
        <v>226</v>
      </c>
      <c r="G11" s="41" t="inlineStr"/>
    </row>
    <row r="12">
      <c r="A12" s="39" t="inlineStr">
        <is>
          <t xml:space="preserve">  ミニファン</t>
        </is>
      </c>
      <c r="B12" s="34" t="n">
        <v>0.11</v>
      </c>
      <c r="C12" s="40" t="n">
        <v>292</v>
      </c>
      <c r="D12" s="40" t="n">
        <v>292</v>
      </c>
      <c r="E12" s="40" t="n">
        <v>321</v>
      </c>
      <c r="F12" s="40" t="n">
        <v>64</v>
      </c>
      <c r="G12" s="41" t="inlineStr"/>
    </row>
    <row r="13">
      <c r="A13" s="39" t="inlineStr">
        <is>
          <t xml:space="preserve">  クリップ</t>
        </is>
      </c>
      <c r="B13" s="34" t="n">
        <v>0.11</v>
      </c>
      <c r="C13" s="40" t="n">
        <v>292</v>
      </c>
      <c r="D13" s="40" t="n">
        <v>292</v>
      </c>
      <c r="E13" s="40" t="n">
        <v>321</v>
      </c>
      <c r="F13" s="40" t="n">
        <v>64</v>
      </c>
      <c r="G13" s="41" t="inlineStr"/>
    </row>
    <row r="15">
      <c r="A15" s="2" t="inlineStr">
        <is>
          <t>★かぶり日3日だけでスーツケース約504個(增額後)。ここで欠品すると+¥1,652万の山が消える——10月の教訓。</t>
        </is>
      </c>
    </row>
    <row r="16">
      <c r="A16" s="2" t="inlineStr">
        <is>
          <t>Amazon在庫55個(多機能アルミ・7/25時点)のような水準ではかぶり日1日も持たない。8月中旬までにマラソン②分の入庫を。</t>
        </is>
      </c>
    </row>
    <row r="17">
      <c r="A17" s="2" t="inlineStr">
        <is>
          <t>構成比(黄色)は広告費配分による仮定。RMS「商品別売上CSV」を頂ければ実数に置き換えて確定します。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</t>
        </is>
      </c>
      <c r="H1" t="inlineStr">
        <is>
          <t>区分</t>
        </is>
      </c>
      <c r="I1" t="inlineStr">
        <is>
          <t>増額前</t>
        </is>
      </c>
      <c r="J1" t="inlineStr">
        <is>
          <t>増額後</t>
        </is>
      </c>
    </row>
    <row r="2">
      <c r="H2" t="inlineStr">
        <is>
          <t>平日</t>
        </is>
      </c>
      <c r="I2" t="n">
        <v>515</v>
      </c>
      <c r="J2" t="n">
        <v>696</v>
      </c>
    </row>
    <row r="3">
      <c r="H3" t="inlineStr">
        <is>
          <t>マラソン通常</t>
        </is>
      </c>
      <c r="I3" t="n">
        <v>282</v>
      </c>
      <c r="J3" t="n">
        <v>423</v>
      </c>
    </row>
    <row r="4">
      <c r="H4" t="inlineStr">
        <is>
          <t>ワンダフル</t>
        </is>
      </c>
      <c r="I4" t="n">
        <v>40</v>
      </c>
      <c r="J4" t="n">
        <v>61</v>
      </c>
    </row>
    <row r="5">
      <c r="H5" t="inlineStr">
        <is>
          <t>5と0単独</t>
        </is>
      </c>
      <c r="I5" t="n">
        <v>114</v>
      </c>
      <c r="J5" t="n">
        <v>171</v>
      </c>
    </row>
    <row r="6">
      <c r="H6" t="inlineStr">
        <is>
          <t>かぶり日</t>
        </is>
      </c>
      <c r="I6" t="n">
        <v>336</v>
      </c>
      <c r="J6" t="n">
        <v>504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2026-07-27T15:27:20Z</dcterms:created>
  <dcterms:modified xsi:type="dcterms:W3CDTF">2026-07-27T15:27:20Z</dcterms:modified>
</cp:coreProperties>
</file>