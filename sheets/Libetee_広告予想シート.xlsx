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＆予想" sheetId="1" state="visible" r:id="rId1"/>
    <sheet name="商品別サマリー" sheetId="2" state="visible" r:id="rId2"/>
    <sheet name="媒体別サマリー" sheetId="3" state="visible" r:id="rId3"/>
    <sheet name="ダッシュボード" sheetId="4" state="visible" r:id="rId4"/>
    <sheet name="使い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¥#,##0"/>
    <numFmt numFmtId="165" formatCode="#,##0.0"/>
    <numFmt numFmtId="166" formatCode="#,##0.0;[RED]-#,##0.0"/>
    <numFmt numFmtId="167" formatCode="0.00&quot;x&quot;"/>
    <numFmt numFmtId="168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color rgb="00008000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7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64" fontId="6" fillId="4" borderId="1" pivotButton="0" quotePrefix="0" xfId="0"/>
    <xf numFmtId="10" fontId="6" fillId="4" borderId="1" pivotButton="0" quotePrefix="0" xfId="0"/>
    <xf numFmtId="3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5" fillId="0" borderId="1" pivotButton="0" quotePrefix="0" xfId="0"/>
    <xf numFmtId="167" fontId="5" fillId="0" borderId="1" pivotButton="0" quotePrefix="0" xfId="0"/>
    <xf numFmtId="0" fontId="4" fillId="5" borderId="1" pivotButton="0" quotePrefix="0" xfId="0"/>
    <xf numFmtId="164" fontId="4" fillId="5" borderId="1" pivotButton="0" quotePrefix="0" xfId="0"/>
    <xf numFmtId="3" fontId="4" fillId="5" borderId="1" pivotButton="0" quotePrefix="0" xfId="0"/>
    <xf numFmtId="165" fontId="4" fillId="5" borderId="1" pivotButton="0" quotePrefix="0" xfId="0"/>
    <xf numFmtId="167" fontId="4" fillId="5" borderId="1" pivotButton="0" quotePrefix="0" xfId="0"/>
    <xf numFmtId="0" fontId="7" fillId="0" borderId="1" pivotButton="0" quotePrefix="0" xfId="0"/>
    <xf numFmtId="168" fontId="5" fillId="0" borderId="1" pivotButton="0" quotePrefix="0" xfId="0"/>
    <xf numFmtId="168" fontId="4" fillId="5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8" fillId="6" borderId="1" pivotButton="0" quotePrefix="0" xfId="0"/>
    <xf numFmtId="0" fontId="0" fillId="6" borderId="1" pivotButton="0" quotePrefix="0" xfId="0"/>
    <xf numFmtId="0" fontId="0" fillId="6" borderId="0" pivotButton="0" quotePrefix="0" xfId="0"/>
    <xf numFmtId="0" fontId="6" fillId="0" borderId="1" pivotButton="0" quotePrefix="0" xfId="0"/>
    <xf numFmtId="3" fontId="6" fillId="4" borderId="1" pivotButton="0" quotePrefix="0" xfId="0"/>
    <xf numFmtId="0" fontId="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3" customWidth="1" min="4" max="4"/>
    <col width="12" customWidth="1" min="5" max="5"/>
    <col width="12" customWidth="1" min="6" max="6"/>
    <col width="10" customWidth="1" min="7" max="7"/>
    <col width="12" customWidth="1" min="8" max="8"/>
    <col width="13" customWidth="1" min="9" max="9"/>
    <col width="13" customWidth="1" min="10" max="10"/>
    <col width="14" customWidth="1" min="11" max="11"/>
    <col width="11" customWidth="1" min="12" max="12"/>
    <col width="15" customWidth="1" min="13" max="13"/>
    <col width="9" customWidth="1" min="14" max="14"/>
  </cols>
  <sheetData>
    <row r="1">
      <c r="A1" s="1" t="inlineStr">
        <is>
          <t>Libetee 広告費 → 売上予想シート（メタ広告アカウント × 媒体）</t>
        </is>
      </c>
    </row>
    <row r="2">
      <c r="A2" s="2" t="inlineStr">
        <is>
          <t>青字＝入力セル（黄色網掛け）。数値はサンプルです。実績・目標値に置き換えると、右側と各サマリーが自動計算されます。</t>
        </is>
      </c>
    </row>
    <row r="3" ht="32" customHeight="1">
      <c r="A3" s="3" t="inlineStr">
        <is>
          <t>アカウント</t>
        </is>
      </c>
      <c r="B3" s="3" t="inlineStr">
        <is>
          <t>商品/ブランド</t>
        </is>
      </c>
      <c r="C3" s="3" t="inlineStr">
        <is>
          <t>媒体</t>
        </is>
      </c>
      <c r="D3" s="3" t="inlineStr">
        <is>
          <t>広告費</t>
        </is>
      </c>
      <c r="E3" s="3" t="inlineStr">
        <is>
          <t>CPA
(獲得単価)</t>
        </is>
      </c>
      <c r="F3" s="3" t="inlineStr">
        <is>
          <t>アクセス単価</t>
        </is>
      </c>
      <c r="G3" s="3" t="inlineStr">
        <is>
          <t>予想
転換率</t>
        </is>
      </c>
      <c r="H3" s="3" t="inlineStr">
        <is>
          <t>客単価</t>
        </is>
      </c>
      <c r="I3" s="3" t="inlineStr">
        <is>
          <t>予想
アクセス数</t>
        </is>
      </c>
      <c r="J3" s="3" t="inlineStr">
        <is>
          <t>予想獲得数
(CPA基準)</t>
        </is>
      </c>
      <c r="K3" s="3" t="inlineStr">
        <is>
          <t>予想獲得数
(ｱｸｾｽ×CVR)</t>
        </is>
      </c>
      <c r="L3" s="3" t="inlineStr">
        <is>
          <t>整合差異</t>
        </is>
      </c>
      <c r="M3" s="3" t="inlineStr">
        <is>
          <t>予想売上</t>
        </is>
      </c>
      <c r="N3" s="3" t="inlineStr">
        <is>
          <t>ROAS</t>
        </is>
      </c>
    </row>
    <row r="4">
      <c r="A4" s="4" t="inlineStr">
        <is>
          <t>メタアカウント</t>
        </is>
      </c>
      <c r="B4" s="5" t="inlineStr">
        <is>
          <t>スーツケース（トラベル）</t>
        </is>
      </c>
      <c r="C4" s="6" t="inlineStr">
        <is>
          <t>Amazon</t>
        </is>
      </c>
      <c r="D4" s="7" t="n">
        <v>300000</v>
      </c>
      <c r="E4" s="7" t="n">
        <v>6000</v>
      </c>
      <c r="F4" s="7" t="n">
        <v>60</v>
      </c>
      <c r="G4" s="8" t="n">
        <v>0.01</v>
      </c>
      <c r="H4" s="7" t="n">
        <v>15000</v>
      </c>
      <c r="I4" s="9">
        <f>IFERROR(D4/F4,0)</f>
        <v/>
      </c>
      <c r="J4" s="10">
        <f>IFERROR(D4/E4,0)</f>
        <v/>
      </c>
      <c r="K4" s="10">
        <f>I4*G4</f>
        <v/>
      </c>
      <c r="L4" s="11">
        <f>J4-K4</f>
        <v/>
      </c>
      <c r="M4" s="12">
        <f>J4*H4</f>
        <v/>
      </c>
      <c r="N4" s="13">
        <f>IFERROR(M4/D4,0)</f>
        <v/>
      </c>
    </row>
    <row r="5">
      <c r="A5" s="4" t="inlineStr">
        <is>
          <t>メタアカウント</t>
        </is>
      </c>
      <c r="B5" s="5" t="inlineStr">
        <is>
          <t>スーツケース（トラベル）</t>
        </is>
      </c>
      <c r="C5" s="6" t="inlineStr">
        <is>
          <t>楽天</t>
        </is>
      </c>
      <c r="D5" s="7" t="n">
        <v>250000</v>
      </c>
      <c r="E5" s="7" t="n">
        <v>8000</v>
      </c>
      <c r="F5" s="7" t="n">
        <v>70</v>
      </c>
      <c r="G5" s="8" t="n">
        <v>0.006</v>
      </c>
      <c r="H5" s="7" t="n">
        <v>15000</v>
      </c>
      <c r="I5" s="9">
        <f>IFERROR(D5/F5,0)</f>
        <v/>
      </c>
      <c r="J5" s="10">
        <f>IFERROR(D5/E5,0)</f>
        <v/>
      </c>
      <c r="K5" s="10">
        <f>I5*G5</f>
        <v/>
      </c>
      <c r="L5" s="11">
        <f>J5-K5</f>
        <v/>
      </c>
      <c r="M5" s="12">
        <f>J5*H5</f>
        <v/>
      </c>
      <c r="N5" s="13">
        <f>IFERROR(M5/D5,0)</f>
        <v/>
      </c>
    </row>
    <row r="6">
      <c r="A6" s="4" t="inlineStr">
        <is>
          <t>メタアカウント</t>
        </is>
      </c>
      <c r="B6" s="5" t="inlineStr">
        <is>
          <t>スーツケース（トラベル）</t>
        </is>
      </c>
      <c r="C6" s="6" t="inlineStr">
        <is>
          <t>自社サイト</t>
        </is>
      </c>
      <c r="D6" s="7" t="n">
        <v>150000</v>
      </c>
      <c r="E6" s="7" t="n">
        <v>7000</v>
      </c>
      <c r="F6" s="7" t="n">
        <v>55</v>
      </c>
      <c r="G6" s="8" t="n">
        <v>0.012</v>
      </c>
      <c r="H6" s="7" t="n">
        <v>16000</v>
      </c>
      <c r="I6" s="9">
        <f>IFERROR(D6/F6,0)</f>
        <v/>
      </c>
      <c r="J6" s="10">
        <f>IFERROR(D6/E6,0)</f>
        <v/>
      </c>
      <c r="K6" s="10">
        <f>I6*G6</f>
        <v/>
      </c>
      <c r="L6" s="11">
        <f>J6-K6</f>
        <v/>
      </c>
      <c r="M6" s="12">
        <f>J6*H6</f>
        <v/>
      </c>
      <c r="N6" s="13">
        <f>IFERROR(M6/D6,0)</f>
        <v/>
      </c>
    </row>
    <row r="7">
      <c r="A7" s="4" t="inlineStr">
        <is>
          <t>メタアカウント</t>
        </is>
      </c>
      <c r="B7" s="5" t="inlineStr">
        <is>
          <t>スーツケース（カタログ）</t>
        </is>
      </c>
      <c r="C7" s="6" t="inlineStr">
        <is>
          <t>Amazon</t>
        </is>
      </c>
      <c r="D7" s="7" t="n">
        <v>200000</v>
      </c>
      <c r="E7" s="7" t="n">
        <v>6500</v>
      </c>
      <c r="F7" s="7" t="n">
        <v>65</v>
      </c>
      <c r="G7" s="8" t="n">
        <v>0.008999999999999999</v>
      </c>
      <c r="H7" s="7" t="n">
        <v>14000</v>
      </c>
      <c r="I7" s="9">
        <f>IFERROR(D7/F7,0)</f>
        <v/>
      </c>
      <c r="J7" s="10">
        <f>IFERROR(D7/E7,0)</f>
        <v/>
      </c>
      <c r="K7" s="10">
        <f>I7*G7</f>
        <v/>
      </c>
      <c r="L7" s="11">
        <f>J7-K7</f>
        <v/>
      </c>
      <c r="M7" s="12">
        <f>J7*H7</f>
        <v/>
      </c>
      <c r="N7" s="13">
        <f>IFERROR(M7/D7,0)</f>
        <v/>
      </c>
    </row>
    <row r="8">
      <c r="A8" s="4" t="inlineStr">
        <is>
          <t>メタアカウント</t>
        </is>
      </c>
      <c r="B8" s="5" t="inlineStr">
        <is>
          <t>スーツケース（カタログ）</t>
        </is>
      </c>
      <c r="C8" s="6" t="inlineStr">
        <is>
          <t>楽天</t>
        </is>
      </c>
      <c r="D8" s="7" t="n">
        <v>180000</v>
      </c>
      <c r="E8" s="7" t="n">
        <v>8500</v>
      </c>
      <c r="F8" s="7" t="n">
        <v>75</v>
      </c>
      <c r="G8" s="8" t="n">
        <v>0.005</v>
      </c>
      <c r="H8" s="7" t="n">
        <v>14000</v>
      </c>
      <c r="I8" s="9">
        <f>IFERROR(D8/F8,0)</f>
        <v/>
      </c>
      <c r="J8" s="10">
        <f>IFERROR(D8/E8,0)</f>
        <v/>
      </c>
      <c r="K8" s="10">
        <f>I8*G8</f>
        <v/>
      </c>
      <c r="L8" s="11">
        <f>J8-K8</f>
        <v/>
      </c>
      <c r="M8" s="12">
        <f>J8*H8</f>
        <v/>
      </c>
      <c r="N8" s="13">
        <f>IFERROR(M8/D8,0)</f>
        <v/>
      </c>
    </row>
    <row r="9">
      <c r="A9" s="4" t="inlineStr">
        <is>
          <t>メタアカウント</t>
        </is>
      </c>
      <c r="B9" s="5" t="inlineStr">
        <is>
          <t>スーツケース（カタログ）</t>
        </is>
      </c>
      <c r="C9" s="6" t="inlineStr">
        <is>
          <t>自社サイト</t>
        </is>
      </c>
      <c r="D9" s="7" t="n">
        <v>120000</v>
      </c>
      <c r="E9" s="7" t="n">
        <v>7200</v>
      </c>
      <c r="F9" s="7" t="n">
        <v>58</v>
      </c>
      <c r="G9" s="8" t="n">
        <v>0.011</v>
      </c>
      <c r="H9" s="7" t="n">
        <v>15000</v>
      </c>
      <c r="I9" s="9">
        <f>IFERROR(D9/F9,0)</f>
        <v/>
      </c>
      <c r="J9" s="10">
        <f>IFERROR(D9/E9,0)</f>
        <v/>
      </c>
      <c r="K9" s="10">
        <f>I9*G9</f>
        <v/>
      </c>
      <c r="L9" s="11">
        <f>J9-K9</f>
        <v/>
      </c>
      <c r="M9" s="12">
        <f>J9*H9</f>
        <v/>
      </c>
      <c r="N9" s="13">
        <f>IFERROR(M9/D9,0)</f>
        <v/>
      </c>
    </row>
    <row r="10">
      <c r="A10" s="4" t="inlineStr">
        <is>
          <t>ハンディファンアカウント</t>
        </is>
      </c>
      <c r="B10" s="5" t="inlineStr">
        <is>
          <t>ガジェティ</t>
        </is>
      </c>
      <c r="C10" s="6" t="inlineStr">
        <is>
          <t>Amazon</t>
        </is>
      </c>
      <c r="D10" s="7" t="n">
        <v>180000</v>
      </c>
      <c r="E10" s="7" t="n">
        <v>1500</v>
      </c>
      <c r="F10" s="7" t="n">
        <v>40</v>
      </c>
      <c r="G10" s="8" t="n">
        <v>0.02</v>
      </c>
      <c r="H10" s="7" t="n">
        <v>3200</v>
      </c>
      <c r="I10" s="9">
        <f>IFERROR(D10/F10,0)</f>
        <v/>
      </c>
      <c r="J10" s="10">
        <f>IFERROR(D10/E10,0)</f>
        <v/>
      </c>
      <c r="K10" s="10">
        <f>I10*G10</f>
        <v/>
      </c>
      <c r="L10" s="11">
        <f>J10-K10</f>
        <v/>
      </c>
      <c r="M10" s="12">
        <f>J10*H10</f>
        <v/>
      </c>
      <c r="N10" s="13">
        <f>IFERROR(M10/D10,0)</f>
        <v/>
      </c>
    </row>
    <row r="11">
      <c r="A11" s="4" t="inlineStr">
        <is>
          <t>ハンディファンアカウント</t>
        </is>
      </c>
      <c r="B11" s="5" t="inlineStr">
        <is>
          <t>ガジェティ</t>
        </is>
      </c>
      <c r="C11" s="6" t="inlineStr">
        <is>
          <t>楽天</t>
        </is>
      </c>
      <c r="D11" s="7" t="n">
        <v>150000</v>
      </c>
      <c r="E11" s="7" t="n">
        <v>1800</v>
      </c>
      <c r="F11" s="7" t="n">
        <v>45</v>
      </c>
      <c r="G11" s="8" t="n">
        <v>0.015</v>
      </c>
      <c r="H11" s="7" t="n">
        <v>3200</v>
      </c>
      <c r="I11" s="9">
        <f>IFERROR(D11/F11,0)</f>
        <v/>
      </c>
      <c r="J11" s="10">
        <f>IFERROR(D11/E11,0)</f>
        <v/>
      </c>
      <c r="K11" s="10">
        <f>I11*G11</f>
        <v/>
      </c>
      <c r="L11" s="11">
        <f>J11-K11</f>
        <v/>
      </c>
      <c r="M11" s="12">
        <f>J11*H11</f>
        <v/>
      </c>
      <c r="N11" s="13">
        <f>IFERROR(M11/D11,0)</f>
        <v/>
      </c>
    </row>
    <row r="12">
      <c r="A12" s="4" t="inlineStr">
        <is>
          <t>ハンディファンアカウント</t>
        </is>
      </c>
      <c r="B12" s="5" t="inlineStr">
        <is>
          <t>ガジェティ</t>
        </is>
      </c>
      <c r="C12" s="6" t="inlineStr">
        <is>
          <t>自社サイト</t>
        </is>
      </c>
      <c r="D12" s="7" t="n">
        <v>90000</v>
      </c>
      <c r="E12" s="7" t="n">
        <v>1600</v>
      </c>
      <c r="F12" s="7" t="n">
        <v>38</v>
      </c>
      <c r="G12" s="8" t="n">
        <v>0.022</v>
      </c>
      <c r="H12" s="7" t="n">
        <v>3500</v>
      </c>
      <c r="I12" s="9">
        <f>IFERROR(D12/F12,0)</f>
        <v/>
      </c>
      <c r="J12" s="10">
        <f>IFERROR(D12/E12,0)</f>
        <v/>
      </c>
      <c r="K12" s="10">
        <f>I12*G12</f>
        <v/>
      </c>
      <c r="L12" s="11">
        <f>J12-K12</f>
        <v/>
      </c>
      <c r="M12" s="12">
        <f>J12*H12</f>
        <v/>
      </c>
      <c r="N12" s="13">
        <f>IFERROR(M12/D12,0)</f>
        <v/>
      </c>
    </row>
    <row r="13">
      <c r="A13" s="4" t="inlineStr">
        <is>
          <t>ツヤリスアカウント</t>
        </is>
      </c>
      <c r="B13" s="5" t="inlineStr">
        <is>
          <t>ツヤリス</t>
        </is>
      </c>
      <c r="C13" s="6" t="inlineStr">
        <is>
          <t>Amazon</t>
        </is>
      </c>
      <c r="D13" s="7" t="n">
        <v>160000</v>
      </c>
      <c r="E13" s="7" t="n">
        <v>2200</v>
      </c>
      <c r="F13" s="7" t="n">
        <v>45</v>
      </c>
      <c r="G13" s="8" t="n">
        <v>0.018</v>
      </c>
      <c r="H13" s="7" t="n">
        <v>4200</v>
      </c>
      <c r="I13" s="9">
        <f>IFERROR(D13/F13,0)</f>
        <v/>
      </c>
      <c r="J13" s="10">
        <f>IFERROR(D13/E13,0)</f>
        <v/>
      </c>
      <c r="K13" s="10">
        <f>I13*G13</f>
        <v/>
      </c>
      <c r="L13" s="11">
        <f>J13-K13</f>
        <v/>
      </c>
      <c r="M13" s="12">
        <f>J13*H13</f>
        <v/>
      </c>
      <c r="N13" s="13">
        <f>IFERROR(M13/D13,0)</f>
        <v/>
      </c>
    </row>
    <row r="14">
      <c r="A14" s="4" t="inlineStr">
        <is>
          <t>ツヤリスアカウント</t>
        </is>
      </c>
      <c r="B14" s="5" t="inlineStr">
        <is>
          <t>ツヤリス</t>
        </is>
      </c>
      <c r="C14" s="6" t="inlineStr">
        <is>
          <t>楽天</t>
        </is>
      </c>
      <c r="D14" s="7" t="n">
        <v>140000</v>
      </c>
      <c r="E14" s="7" t="n">
        <v>2600</v>
      </c>
      <c r="F14" s="7" t="n">
        <v>50</v>
      </c>
      <c r="G14" s="8" t="n">
        <v>0.012</v>
      </c>
      <c r="H14" s="7" t="n">
        <v>4200</v>
      </c>
      <c r="I14" s="9">
        <f>IFERROR(D14/F14,0)</f>
        <v/>
      </c>
      <c r="J14" s="10">
        <f>IFERROR(D14/E14,0)</f>
        <v/>
      </c>
      <c r="K14" s="10">
        <f>I14*G14</f>
        <v/>
      </c>
      <c r="L14" s="11">
        <f>J14-K14</f>
        <v/>
      </c>
      <c r="M14" s="12">
        <f>J14*H14</f>
        <v/>
      </c>
      <c r="N14" s="13">
        <f>IFERROR(M14/D14,0)</f>
        <v/>
      </c>
    </row>
    <row r="15">
      <c r="A15" s="4" t="inlineStr">
        <is>
          <t>ツヤリスアカウント</t>
        </is>
      </c>
      <c r="B15" s="5" t="inlineStr">
        <is>
          <t>ツヤリス</t>
        </is>
      </c>
      <c r="C15" s="6" t="inlineStr">
        <is>
          <t>自社サイト</t>
        </is>
      </c>
      <c r="D15" s="7" t="n">
        <v>100000</v>
      </c>
      <c r="E15" s="7" t="n">
        <v>2400</v>
      </c>
      <c r="F15" s="7" t="n">
        <v>42</v>
      </c>
      <c r="G15" s="8" t="n">
        <v>0.02</v>
      </c>
      <c r="H15" s="7" t="n">
        <v>4500</v>
      </c>
      <c r="I15" s="9">
        <f>IFERROR(D15/F15,0)</f>
        <v/>
      </c>
      <c r="J15" s="10">
        <f>IFERROR(D15/E15,0)</f>
        <v/>
      </c>
      <c r="K15" s="10">
        <f>I15*G15</f>
        <v/>
      </c>
      <c r="L15" s="11">
        <f>J15-K15</f>
        <v/>
      </c>
      <c r="M15" s="12">
        <f>J15*H15</f>
        <v/>
      </c>
      <c r="N15" s="13">
        <f>IFERROR(M15/D15,0)</f>
        <v/>
      </c>
    </row>
    <row r="16">
      <c r="A16" s="14" t="inlineStr">
        <is>
          <t>合計</t>
        </is>
      </c>
      <c r="B16" s="14" t="n"/>
      <c r="C16" s="14" t="n"/>
      <c r="D16" s="15">
        <f>SUM(D4:D15)</f>
        <v/>
      </c>
      <c r="E16" s="14" t="n"/>
      <c r="F16" s="14" t="n"/>
      <c r="G16" s="14" t="n"/>
      <c r="H16" s="14" t="n"/>
      <c r="I16" s="16">
        <f>SUM(I4:I15)</f>
        <v/>
      </c>
      <c r="J16" s="17">
        <f>SUM(J4:J15)</f>
        <v/>
      </c>
      <c r="K16" s="17">
        <f>SUM(K4:K15)</f>
        <v/>
      </c>
      <c r="L16" s="14" t="n"/>
      <c r="M16" s="15">
        <f>SUM(M4:M15)</f>
        <v/>
      </c>
      <c r="N16" s="18">
        <f>IFERROR(M16/D16,0)</f>
        <v/>
      </c>
    </row>
  </sheetData>
  <mergeCells count="3">
    <mergeCell ref="A16:C16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6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商品別サマリー（メイン入力から自動集計）</t>
        </is>
      </c>
    </row>
    <row r="2" ht="24" customHeight="1">
      <c r="A2" s="3" t="inlineStr">
        <is>
          <t>商品/ブランド</t>
        </is>
      </c>
      <c r="B2" s="3" t="inlineStr">
        <is>
          <t>広告費</t>
        </is>
      </c>
      <c r="C2" s="3" t="inlineStr">
        <is>
          <t>予想アクセス数</t>
        </is>
      </c>
      <c r="D2" s="3" t="inlineStr">
        <is>
          <t>予想獲得数</t>
        </is>
      </c>
      <c r="E2" s="3" t="inlineStr">
        <is>
          <t>予想売上</t>
        </is>
      </c>
      <c r="F2" s="3" t="inlineStr">
        <is>
          <t>ブレンドCPA</t>
        </is>
      </c>
      <c r="G2" s="3" t="inlineStr">
        <is>
          <t>ROAS</t>
        </is>
      </c>
      <c r="H2" s="3" t="inlineStr">
        <is>
          <t>売上構成比</t>
        </is>
      </c>
    </row>
    <row r="3">
      <c r="A3" s="19" t="inlineStr">
        <is>
          <t>スーツケース（トラベル）</t>
        </is>
      </c>
      <c r="B3" s="12">
        <f>SUMIFS('入力＆予想'!D4:D15,'入力＆予想'!$B$4:$B$15,$A3)</f>
        <v/>
      </c>
      <c r="C3" s="9">
        <f>SUMIFS('入力＆予想'!I4:I15,'入力＆予想'!$B$4:$B$15,$A3)</f>
        <v/>
      </c>
      <c r="D3" s="10">
        <f>SUMIFS('入力＆予想'!J4:J15,'入力＆予想'!$B$4:$B$15,$A3)</f>
        <v/>
      </c>
      <c r="E3" s="12">
        <f>SUMIFS('入力＆予想'!M4:M15,'入力＆予想'!$B$4:$B$15,$A3)</f>
        <v/>
      </c>
      <c r="F3" s="12">
        <f>IFERROR(B3/D3,0)</f>
        <v/>
      </c>
      <c r="G3" s="13">
        <f>IFERROR(E3/B3,0)</f>
        <v/>
      </c>
      <c r="H3" s="20">
        <f>IFERROR(E3/E$7,0)</f>
        <v/>
      </c>
    </row>
    <row r="4">
      <c r="A4" s="19" t="inlineStr">
        <is>
          <t>スーツケース（カタログ）</t>
        </is>
      </c>
      <c r="B4" s="12">
        <f>SUMIFS('入力＆予想'!D4:D15,'入力＆予想'!$B$4:$B$15,$A4)</f>
        <v/>
      </c>
      <c r="C4" s="9">
        <f>SUMIFS('入力＆予想'!I4:I15,'入力＆予想'!$B$4:$B$15,$A4)</f>
        <v/>
      </c>
      <c r="D4" s="10">
        <f>SUMIFS('入力＆予想'!J4:J15,'入力＆予想'!$B$4:$B$15,$A4)</f>
        <v/>
      </c>
      <c r="E4" s="12">
        <f>SUMIFS('入力＆予想'!M4:M15,'入力＆予想'!$B$4:$B$15,$A4)</f>
        <v/>
      </c>
      <c r="F4" s="12">
        <f>IFERROR(B4/D4,0)</f>
        <v/>
      </c>
      <c r="G4" s="13">
        <f>IFERROR(E4/B4,0)</f>
        <v/>
      </c>
      <c r="H4" s="20">
        <f>IFERROR(E4/E$7,0)</f>
        <v/>
      </c>
    </row>
    <row r="5">
      <c r="A5" s="19" t="inlineStr">
        <is>
          <t>ガジェティ</t>
        </is>
      </c>
      <c r="B5" s="12">
        <f>SUMIFS('入力＆予想'!D4:D15,'入力＆予想'!$B$4:$B$15,$A5)</f>
        <v/>
      </c>
      <c r="C5" s="9">
        <f>SUMIFS('入力＆予想'!I4:I15,'入力＆予想'!$B$4:$B$15,$A5)</f>
        <v/>
      </c>
      <c r="D5" s="10">
        <f>SUMIFS('入力＆予想'!J4:J15,'入力＆予想'!$B$4:$B$15,$A5)</f>
        <v/>
      </c>
      <c r="E5" s="12">
        <f>SUMIFS('入力＆予想'!M4:M15,'入力＆予想'!$B$4:$B$15,$A5)</f>
        <v/>
      </c>
      <c r="F5" s="12">
        <f>IFERROR(B5/D5,0)</f>
        <v/>
      </c>
      <c r="G5" s="13">
        <f>IFERROR(E5/B5,0)</f>
        <v/>
      </c>
      <c r="H5" s="20">
        <f>IFERROR(E5/E$7,0)</f>
        <v/>
      </c>
    </row>
    <row r="6">
      <c r="A6" s="19" t="inlineStr">
        <is>
          <t>ツヤリス</t>
        </is>
      </c>
      <c r="B6" s="12">
        <f>SUMIFS('入力＆予想'!D4:D15,'入力＆予想'!$B$4:$B$15,$A6)</f>
        <v/>
      </c>
      <c r="C6" s="9">
        <f>SUMIFS('入力＆予想'!I4:I15,'入力＆予想'!$B$4:$B$15,$A6)</f>
        <v/>
      </c>
      <c r="D6" s="10">
        <f>SUMIFS('入力＆予想'!J4:J15,'入力＆予想'!$B$4:$B$15,$A6)</f>
        <v/>
      </c>
      <c r="E6" s="12">
        <f>SUMIFS('入力＆予想'!M4:M15,'入力＆予想'!$B$4:$B$15,$A6)</f>
        <v/>
      </c>
      <c r="F6" s="12">
        <f>IFERROR(B6/D6,0)</f>
        <v/>
      </c>
      <c r="G6" s="13">
        <f>IFERROR(E6/B6,0)</f>
        <v/>
      </c>
      <c r="H6" s="20">
        <f>IFERROR(E6/E$7,0)</f>
        <v/>
      </c>
    </row>
    <row r="7">
      <c r="A7" s="14" t="inlineStr">
        <is>
          <t>合計</t>
        </is>
      </c>
      <c r="B7" s="15">
        <f>SUM(B3:B6)</f>
        <v/>
      </c>
      <c r="C7" s="16">
        <f>SUM(C3:C6)</f>
        <v/>
      </c>
      <c r="D7" s="17">
        <f>SUM(D3:D6)</f>
        <v/>
      </c>
      <c r="E7" s="15">
        <f>SUM(E3:E6)</f>
        <v/>
      </c>
      <c r="F7" s="15">
        <f>IFERROR(B7/D7,0)</f>
        <v/>
      </c>
      <c r="G7" s="18">
        <f>IFERROR(E7/B7,0)</f>
        <v/>
      </c>
      <c r="H7" s="21" t="n">
        <v>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3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媒体別サマリー（振り分け媒体：Amazon / 楽天 / 自社サイト）</t>
        </is>
      </c>
    </row>
    <row r="2" ht="24" customHeight="1">
      <c r="A2" s="3" t="inlineStr">
        <is>
          <t>媒体</t>
        </is>
      </c>
      <c r="B2" s="3" t="inlineStr">
        <is>
          <t>広告費</t>
        </is>
      </c>
      <c r="C2" s="3" t="inlineStr">
        <is>
          <t>予想アクセス数</t>
        </is>
      </c>
      <c r="D2" s="3" t="inlineStr">
        <is>
          <t>予想獲得数</t>
        </is>
      </c>
      <c r="E2" s="3" t="inlineStr">
        <is>
          <t>予想売上</t>
        </is>
      </c>
      <c r="F2" s="3" t="inlineStr">
        <is>
          <t>ROAS</t>
        </is>
      </c>
      <c r="G2" s="3" t="inlineStr">
        <is>
          <t>売上構成比</t>
        </is>
      </c>
    </row>
    <row r="3">
      <c r="A3" s="19" t="inlineStr">
        <is>
          <t>Amazon</t>
        </is>
      </c>
      <c r="B3" s="12">
        <f>SUMIFS('入力＆予想'!D4:D15,'入力＆予想'!$C$4:$C$15,$A3)</f>
        <v/>
      </c>
      <c r="C3" s="9">
        <f>SUMIFS('入力＆予想'!I4:I15,'入力＆予想'!$C$4:$C$15,$A3)</f>
        <v/>
      </c>
      <c r="D3" s="10">
        <f>SUMIFS('入力＆予想'!J4:J15,'入力＆予想'!$C$4:$C$15,$A3)</f>
        <v/>
      </c>
      <c r="E3" s="12">
        <f>SUMIFS('入力＆予想'!M4:M15,'入力＆予想'!$C$4:$C$15,$A3)</f>
        <v/>
      </c>
      <c r="F3" s="13">
        <f>IFERROR(E3/B3,0)</f>
        <v/>
      </c>
      <c r="G3" s="20">
        <f>IFERROR(E3/E$6,0)</f>
        <v/>
      </c>
    </row>
    <row r="4">
      <c r="A4" s="19" t="inlineStr">
        <is>
          <t>楽天</t>
        </is>
      </c>
      <c r="B4" s="12">
        <f>SUMIFS('入力＆予想'!D4:D15,'入力＆予想'!$C$4:$C$15,$A4)</f>
        <v/>
      </c>
      <c r="C4" s="9">
        <f>SUMIFS('入力＆予想'!I4:I15,'入力＆予想'!$C$4:$C$15,$A4)</f>
        <v/>
      </c>
      <c r="D4" s="10">
        <f>SUMIFS('入力＆予想'!J4:J15,'入力＆予想'!$C$4:$C$15,$A4)</f>
        <v/>
      </c>
      <c r="E4" s="12">
        <f>SUMIFS('入力＆予想'!M4:M15,'入力＆予想'!$C$4:$C$15,$A4)</f>
        <v/>
      </c>
      <c r="F4" s="13">
        <f>IFERROR(E4/B4,0)</f>
        <v/>
      </c>
      <c r="G4" s="20">
        <f>IFERROR(E4/E$6,0)</f>
        <v/>
      </c>
    </row>
    <row r="5">
      <c r="A5" s="19" t="inlineStr">
        <is>
          <t>自社サイト</t>
        </is>
      </c>
      <c r="B5" s="12">
        <f>SUMIFS('入力＆予想'!D4:D15,'入力＆予想'!$C$4:$C$15,$A5)</f>
        <v/>
      </c>
      <c r="C5" s="9">
        <f>SUMIFS('入力＆予想'!I4:I15,'入力＆予想'!$C$4:$C$15,$A5)</f>
        <v/>
      </c>
      <c r="D5" s="10">
        <f>SUMIFS('入力＆予想'!J4:J15,'入力＆予想'!$C$4:$C$15,$A5)</f>
        <v/>
      </c>
      <c r="E5" s="12">
        <f>SUMIFS('入力＆予想'!M4:M15,'入力＆予想'!$C$4:$C$15,$A5)</f>
        <v/>
      </c>
      <c r="F5" s="13">
        <f>IFERROR(E5/B5,0)</f>
        <v/>
      </c>
      <c r="G5" s="20">
        <f>IFERROR(E5/E$6,0)</f>
        <v/>
      </c>
    </row>
    <row r="6">
      <c r="A6" s="14" t="inlineStr">
        <is>
          <t>合計</t>
        </is>
      </c>
      <c r="B6" s="15">
        <f>SUM(B3:B5)</f>
        <v/>
      </c>
      <c r="C6" s="16">
        <f>SUM(C3:C5)</f>
        <v/>
      </c>
      <c r="D6" s="17">
        <f>SUM(D3:D5)</f>
        <v/>
      </c>
      <c r="E6" s="15">
        <f>SUM(E3:E5)</f>
        <v/>
      </c>
      <c r="F6" s="18">
        <f>IFERROR(E6/B6,0)</f>
        <v/>
      </c>
      <c r="G6" s="21" t="n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ダッシュボード ── 月商1億 / 10億への距離</t>
        </is>
      </c>
    </row>
    <row r="3">
      <c r="A3" s="22" t="inlineStr">
        <is>
          <t>予想売上（この予想の合計）</t>
        </is>
      </c>
      <c r="B3" s="12">
        <f>'入力＆予想'!M16</f>
        <v/>
      </c>
      <c r="C3" s="23" t="n"/>
    </row>
    <row r="4">
      <c r="A4" s="22" t="inlineStr">
        <is>
          <t>広告費（合計）</t>
        </is>
      </c>
      <c r="B4" s="12">
        <f>'入力＆予想'!D16</f>
        <v/>
      </c>
      <c r="C4" s="23" t="n"/>
    </row>
    <row r="5">
      <c r="A5" s="22" t="inlineStr">
        <is>
          <t>予想獲得数（合計）</t>
        </is>
      </c>
      <c r="B5" s="10">
        <f>'入力＆予想'!J16</f>
        <v/>
      </c>
      <c r="C5" s="23" t="n"/>
    </row>
    <row r="6">
      <c r="A6" s="22" t="inlineStr">
        <is>
          <t>全体ROAS</t>
        </is>
      </c>
      <c r="B6" s="13">
        <f>IFERROR(B3/B4,0)</f>
        <v/>
      </c>
      <c r="C6" s="24" t="inlineStr">
        <is>
          <t>＝予想売上 ÷ 広告費</t>
        </is>
      </c>
    </row>
    <row r="7">
      <c r="A7" s="22" t="inlineStr">
        <is>
          <t>全体ブレンドCPA</t>
        </is>
      </c>
      <c r="B7" s="12">
        <f>IFERROR(B4/B5,0)</f>
        <v/>
      </c>
      <c r="C7" s="24" t="inlineStr">
        <is>
          <t>＝広告費 ÷ 獲得数</t>
        </is>
      </c>
    </row>
    <row r="8">
      <c r="A8" s="23" t="n"/>
      <c r="B8" s="23" t="n"/>
      <c r="C8" s="23" t="n"/>
    </row>
    <row r="9">
      <c r="A9" s="25" t="inlineStr">
        <is>
          <t>■ 月商換算と目標対比</t>
        </is>
      </c>
      <c r="B9" s="26" t="n"/>
      <c r="C9" s="26" t="n"/>
      <c r="D9" s="27" t="n"/>
    </row>
    <row r="10">
      <c r="A10" s="28" t="inlineStr">
        <is>
          <t>この予想の対象日数（入力）</t>
        </is>
      </c>
      <c r="B10" s="29" t="n">
        <v>1</v>
      </c>
      <c r="C10" s="24" t="inlineStr">
        <is>
          <t>日次予想なら1、週次なら7 など</t>
        </is>
      </c>
    </row>
    <row r="11">
      <c r="A11" s="22" t="inlineStr">
        <is>
          <t>月商換算（30日ベース）</t>
        </is>
      </c>
      <c r="B11" s="12">
        <f>IFERROR(B3/B10*30,0)</f>
        <v/>
      </c>
      <c r="C11" s="24" t="inlineStr">
        <is>
          <t>＝予想売上 ÷ 対象日数 × 30</t>
        </is>
      </c>
    </row>
    <row r="12">
      <c r="A12" s="22" t="inlineStr">
        <is>
          <t>月商1億まで（達成率）</t>
        </is>
      </c>
      <c r="B12" s="20">
        <f>IFERROR(B11/100000000,0)</f>
        <v/>
      </c>
      <c r="C12" s="23" t="n"/>
    </row>
    <row r="13">
      <c r="A13" s="22" t="inlineStr">
        <is>
          <t>月商10億まで（達成率）</t>
        </is>
      </c>
      <c r="B13" s="20">
        <f>IFERROR(B11/1000000000,0)</f>
        <v/>
      </c>
      <c r="C13" s="23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0" t="inlineStr">
        <is>
          <t>Libetee 広告費→予想シート 使い方</t>
        </is>
      </c>
    </row>
    <row r="2">
      <c r="A2" s="31" t="inlineStr"/>
    </row>
    <row r="3">
      <c r="A3" s="32" t="inlineStr">
        <is>
          <t>【毎回やること】メインシート「入力＆予想」の青字セル（黄色網掛け）だけを埋める。</t>
        </is>
      </c>
    </row>
    <row r="4">
      <c r="A4" s="31" t="inlineStr">
        <is>
          <t xml:space="preserve">  ・広告費 … その媒体・その商品に投下する広告費</t>
        </is>
      </c>
    </row>
    <row r="5">
      <c r="A5" s="31" t="inlineStr">
        <is>
          <t xml:space="preserve">  ・CPA（獲得単価）… 1件獲得あたりの広告費（実績 or 目標）</t>
        </is>
      </c>
    </row>
    <row r="6">
      <c r="A6" s="31" t="inlineStr">
        <is>
          <t xml:space="preserve">  ・アクセス単価 … 1アクセスあたりの広告費（クリック単価に相当）</t>
        </is>
      </c>
    </row>
    <row r="7">
      <c r="A7" s="31" t="inlineStr">
        <is>
          <t xml:space="preserve">  ・予想転換率 … アクセスのうち購入に至る割合（%）</t>
        </is>
      </c>
    </row>
    <row r="8">
      <c r="A8" s="31" t="inlineStr">
        <is>
          <t xml:space="preserve">  ・客単価 … 1件あたりの平均売上</t>
        </is>
      </c>
    </row>
    <row r="9">
      <c r="A9" s="31" t="inlineStr"/>
    </row>
    <row r="10">
      <c r="A10" s="32" t="inlineStr">
        <is>
          <t>【自動で出る数字（社長指定の計算式）】</t>
        </is>
      </c>
    </row>
    <row r="11">
      <c r="A11" s="31" t="inlineStr">
        <is>
          <t xml:space="preserve">  ・予想アクセス数 ＝ 広告費 ÷ アクセス単価</t>
        </is>
      </c>
    </row>
    <row r="12">
      <c r="A12" s="31" t="inlineStr">
        <is>
          <t xml:space="preserve">  ・予想獲得数(CPA基準) ＝ 広告費 ÷ CPA</t>
        </is>
      </c>
    </row>
    <row r="13">
      <c r="A13" s="31" t="inlineStr">
        <is>
          <t xml:space="preserve">  ・予想獲得数(アクセス基準) ＝ 予想アクセス数 × 予想転換率</t>
        </is>
      </c>
    </row>
    <row r="14">
      <c r="A14" s="31" t="inlineStr">
        <is>
          <t xml:space="preserve">  ・整合差異 ＝ 上の2つの獲得数の差（大きくズレたら CPA か 転換率の前提を見直す合図）</t>
        </is>
      </c>
    </row>
    <row r="15">
      <c r="A15" s="31" t="inlineStr">
        <is>
          <t xml:space="preserve">  ・予想売上 ＝ 予想獲得数(CPA基準) × 客単価</t>
        </is>
      </c>
    </row>
    <row r="16">
      <c r="A16" s="31" t="inlineStr">
        <is>
          <t xml:space="preserve">  ・ROAS ＝ 予想売上 ÷ 広告費（＝客単価 ÷ CPA）</t>
        </is>
      </c>
    </row>
    <row r="17">
      <c r="A17" s="31" t="inlineStr"/>
    </row>
    <row r="18">
      <c r="A18" s="32" t="inlineStr">
        <is>
          <t>【見るシート】</t>
        </is>
      </c>
    </row>
    <row r="19">
      <c r="A19" s="31" t="inlineStr">
        <is>
          <t xml:space="preserve">  ・商品別サマリー … スーツケース(トラベル/カタログ)・ガジェティ・ツヤリスの合計を自動集計</t>
        </is>
      </c>
    </row>
    <row r="20">
      <c r="A20" s="31" t="inlineStr">
        <is>
          <t xml:space="preserve">  ・媒体別サマリー … Amazon / 楽天 / 自社サイト の合計を自動集計</t>
        </is>
      </c>
    </row>
    <row r="21">
      <c r="A21" s="31" t="inlineStr">
        <is>
          <t xml:space="preserve">  ・ダッシュボード … 全体ROASと、月商1億/10億への達成率</t>
        </is>
      </c>
    </row>
    <row r="22">
      <c r="A22" s="31" t="inlineStr"/>
    </row>
    <row r="23">
      <c r="A23" s="33" t="inlineStr">
        <is>
          <t>【色の意味】 青字＝入力セル / 黒字＝自動計算 / 緑字＝他シート参照</t>
        </is>
      </c>
    </row>
    <row r="24">
      <c r="A24" s="33" t="inlineStr">
        <is>
          <t>※ 初期の数値はサンプルです。実績・目標に置き換えてお使いください。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2026-07-27T06:21:14Z</dcterms:created>
  <dcterms:modified xsi:type="dcterms:W3CDTF">2026-07-27T06:21:14Z</dcterms:modified>
</cp:coreProperties>
</file>