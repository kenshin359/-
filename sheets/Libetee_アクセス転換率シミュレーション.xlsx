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ミュレーション" sheetId="1" state="visible" r:id="rId1"/>
    <sheet name="グラフ" sheetId="2" state="visible" r:id="rId2"/>
    <sheet name="用語解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¥#,##0"/>
    <numFmt numFmtId="165" formatCode="0.000%"/>
    <numFmt numFmtId="166" formatCode="0.0&quot;倍&quot;"/>
  </numFmts>
  <fonts count="9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</font>
    <font>
      <name val="Arial"/>
      <b val="1"/>
      <sz val="12"/>
    </font>
    <font>
      <name val="Arial"/>
      <b val="1"/>
      <sz val="11"/>
    </font>
    <font>
      <name val="Arial"/>
      <b val="1"/>
      <color rgb="00C0392B"/>
      <sz val="13"/>
    </font>
    <font>
      <name val="Arial"/>
      <b val="1"/>
      <sz val="14"/>
    </font>
  </fonts>
  <fills count="14">
    <fill>
      <patternFill/>
    </fill>
    <fill>
      <patternFill patternType="gray125"/>
    </fill>
    <fill>
      <patternFill patternType="solid">
        <fgColor rgb="00808B96"/>
      </patternFill>
    </fill>
    <fill>
      <patternFill patternType="solid">
        <fgColor rgb="002E75B6"/>
      </patternFill>
    </fill>
    <fill>
      <patternFill patternType="solid">
        <fgColor rgb="00C55A11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4B183"/>
      </patternFill>
    </fill>
    <fill>
      <patternFill patternType="solid">
        <fgColor rgb="00D9E1F2"/>
      </patternFill>
    </fill>
    <fill>
      <patternFill patternType="solid">
        <fgColor rgb="00DDEBD8"/>
      </patternFill>
    </fill>
    <fill>
      <patternFill patternType="solid">
        <fgColor rgb="00FFE2DD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10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3" fontId="0" fillId="7" borderId="1" applyAlignment="1" pivotButton="0" quotePrefix="0" xfId="0">
      <alignment horizontal="center" vertical="center" wrapText="1"/>
    </xf>
    <xf numFmtId="10" fontId="0" fillId="7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3" fontId="0" fillId="8" borderId="1" applyAlignment="1" pivotButton="0" quotePrefix="0" xfId="0">
      <alignment horizontal="center" vertical="center" wrapText="1"/>
    </xf>
    <xf numFmtId="10" fontId="0" fillId="8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center" vertical="center" wrapText="1"/>
    </xf>
    <xf numFmtId="3" fontId="0" fillId="9" borderId="1" applyAlignment="1" pivotButton="0" quotePrefix="0" xfId="0">
      <alignment horizontal="center" vertical="center" wrapText="1"/>
    </xf>
    <xf numFmtId="10" fontId="0" fillId="9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 wrapText="1"/>
    </xf>
    <xf numFmtId="164" fontId="0" fillId="10" borderId="1" applyAlignment="1" pivotButton="0" quotePrefix="0" xfId="0">
      <alignment horizontal="center" vertical="center" wrapText="1"/>
    </xf>
    <xf numFmtId="3" fontId="0" fillId="10" borderId="1" applyAlignment="1" pivotButton="0" quotePrefix="0" xfId="0">
      <alignment horizontal="center" vertical="center" wrapText="1"/>
    </xf>
    <xf numFmtId="10" fontId="0" fillId="10" borderId="1" applyAlignment="1" pivotButton="0" quotePrefix="0" xfId="0">
      <alignment horizontal="center" vertical="center" wrapText="1"/>
    </xf>
    <xf numFmtId="165" fontId="0" fillId="10" borderId="1" applyAlignment="1" pivotButton="0" quotePrefix="0" xfId="0">
      <alignment horizontal="center" vertical="center" wrapText="1"/>
    </xf>
    <xf numFmtId="164" fontId="4" fillId="10" borderId="1" applyAlignment="1" pivotButton="0" quotePrefix="0" xfId="0">
      <alignment horizontal="center" vertical="center" wrapText="1"/>
    </xf>
    <xf numFmtId="0" fontId="4" fillId="11" borderId="1" pivotButton="0" quotePrefix="0" xfId="0"/>
    <xf numFmtId="164" fontId="4" fillId="11" borderId="1" pivotButton="0" quotePrefix="0" xfId="0"/>
    <xf numFmtId="0" fontId="0" fillId="12" borderId="1" pivotButton="0" quotePrefix="0" xfId="0"/>
    <xf numFmtId="164" fontId="0" fillId="12" borderId="1" pivotButton="0" quotePrefix="0" xfId="0"/>
    <xf numFmtId="0" fontId="6" fillId="11" borderId="1" pivotButton="0" quotePrefix="0" xfId="0"/>
    <xf numFmtId="164" fontId="6" fillId="11" borderId="1" pivotButton="0" quotePrefix="0" xfId="0"/>
    <xf numFmtId="0" fontId="7" fillId="0" borderId="0" pivotButton="0" quotePrefix="0" xfId="0"/>
    <xf numFmtId="164" fontId="7" fillId="13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0" pivotButton="0" quotePrefix="0" xfId="0"/>
    <xf numFmtId="0" fontId="4" fillId="0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4" fillId="0" borderId="0" pivotButton="0" quotePrefix="0" xfId="0"/>
    <xf numFmtId="0" fontId="3" fillId="5" borderId="1" applyAlignment="1" pivotButton="0" quotePrefix="0" xfId="0">
      <alignment horizontal="center" vertical="center"/>
    </xf>
    <xf numFmtId="0" fontId="0" fillId="10" borderId="1" pivotButton="0" quotePrefix="0" xfId="0"/>
    <xf numFmtId="164" fontId="0" fillId="10" borderId="1" pivotButton="0" quotePrefix="0" xfId="0"/>
    <xf numFmtId="166" fontId="0" fillId="10" borderId="1" pivotButton="0" quotePrefix="0" xfId="0"/>
    <xf numFmtId="0" fontId="2" fillId="10" borderId="1" pivotButton="0" quotePrefix="0" xfId="0"/>
    <xf numFmtId="0" fontId="0" fillId="8" borderId="1" pivotButton="0" quotePrefix="0" xfId="0"/>
    <xf numFmtId="164" fontId="0" fillId="8" borderId="1" pivotButton="0" quotePrefix="0" xfId="0"/>
    <xf numFmtId="166" fontId="0" fillId="8" borderId="1" pivotButton="0" quotePrefix="0" xfId="0"/>
    <xf numFmtId="0" fontId="2" fillId="8" borderId="1" pivotButton="0" quotePrefix="0" xfId="0"/>
    <xf numFmtId="0" fontId="0" fillId="9" borderId="1" pivotButton="0" quotePrefix="0" xfId="0"/>
    <xf numFmtId="164" fontId="0" fillId="9" borderId="1" pivotButton="0" quotePrefix="0" xfId="0"/>
    <xf numFmtId="166" fontId="0" fillId="9" borderId="1" pivotButton="0" quotePrefix="0" xfId="0"/>
    <xf numFmtId="0" fontId="2" fillId="9" borderId="1" pivotButton="0" quotePrefix="0" xfId="0"/>
    <xf numFmtId="0" fontId="0" fillId="7" borderId="1" pivotButton="0" quotePrefix="0" xfId="0"/>
    <xf numFmtId="164" fontId="0" fillId="7" borderId="1" pivotButton="0" quotePrefix="0" xfId="0"/>
    <xf numFmtId="166" fontId="0" fillId="7" borderId="1" pivotButton="0" quotePrefix="0" xfId="0"/>
    <xf numFmtId="0" fontId="2" fillId="7" borderId="1" pivotButton="0" quotePrefix="0" xfId="0"/>
    <xf numFmtId="0" fontId="0" fillId="6" borderId="1" pivotButton="0" quotePrefix="0" xfId="0"/>
    <xf numFmtId="164" fontId="0" fillId="6" borderId="1" pivotButton="0" quotePrefix="0" xfId="0"/>
    <xf numFmtId="166" fontId="0" fillId="6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スーツケース 売上/日：増額なし vs 増額後（転換率×0.8）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'グラフ'!I1</f>
            </strRef>
          </tx>
          <spPr>
            <a:ln>
              <a:prstDash val="solid"/>
            </a:ln>
          </spPr>
          <cat>
            <numRef>
              <f>'グラフ'!$H$2:$H$6</f>
            </numRef>
          </cat>
          <val>
            <numRef>
              <f>'グラフ'!$I$2:$I$6</f>
            </numRef>
          </val>
        </ser>
        <ser>
          <idx val="1"/>
          <order val="1"/>
          <tx>
            <strRef>
              <f>'グラフ'!J1</f>
            </strRef>
          </tx>
          <spPr>
            <a:ln>
              <a:prstDash val="solid"/>
            </a:ln>
          </spPr>
          <cat>
            <numRef>
              <f>'グラフ'!$H$2:$H$6</f>
            </numRef>
          </cat>
          <val>
            <numRef>
              <f>'グラフ'!$J$2:$J$6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円/日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月間：SC/FAN/合算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'グラフ'!I8</f>
            </strRef>
          </tx>
          <spPr>
            <a:ln>
              <a:prstDash val="solid"/>
            </a:ln>
          </spPr>
          <cat>
            <numRef>
              <f>'グラフ'!$H$9:$H$11</f>
            </numRef>
          </cat>
          <val>
            <numRef>
              <f>'グラフ'!$I$9:$I$11</f>
            </numRef>
          </val>
        </ser>
        <ser>
          <idx val="1"/>
          <order val="1"/>
          <tx>
            <strRef>
              <f>'グラフ'!J8</f>
            </strRef>
          </tx>
          <spPr>
            <a:ln>
              <a:prstDash val="solid"/>
            </a:ln>
          </spPr>
          <cat>
            <numRef>
              <f>'グラフ'!$H$9:$H$11</f>
            </numRef>
          </cat>
          <val>
            <numRef>
              <f>'グラフ'!$J$9:$J$11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2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12" customWidth="1" min="3" max="3"/>
    <col width="11" customWidth="1" min="4" max="4"/>
    <col width="9" customWidth="1" min="5" max="5"/>
    <col width="10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2" customWidth="1" min="12" max="12"/>
    <col width="13" customWidth="1" min="13" max="13"/>
    <col width="13" customWidth="1" min="14" max="14"/>
  </cols>
  <sheetData>
    <row r="1">
      <c r="A1" s="1" t="inlineStr">
        <is>
          <t>アクセス数 × 転換率 シミュレーション（スーツケース・転換率0.8掛け）</t>
        </is>
      </c>
    </row>
    <row r="2">
      <c r="A2" s="2" t="inlineStr">
        <is>
          <t>増額なし＝平日2万/イベント3万・転換率据え置き(7月実績)。増額後＝平日3万/イベント5万・転換率×0.8。ハンディファンは据え置き。8月公式カレンダー。</t>
        </is>
      </c>
    </row>
    <row r="4">
      <c r="C4" s="3" t="inlineStr">
        <is>
          <t>7月実績（参考・店舗全体）</t>
        </is>
      </c>
      <c r="D4" s="50" t="n"/>
      <c r="E4" s="51" t="n"/>
      <c r="F4" s="4" t="inlineStr">
        <is>
          <t>増額なし（スーツケース）</t>
        </is>
      </c>
      <c r="G4" s="50" t="n"/>
      <c r="H4" s="50" t="n"/>
      <c r="I4" s="51" t="n"/>
      <c r="J4" s="5" t="inlineStr">
        <is>
          <t>増額後（スーツケース・転換率×0.8）</t>
        </is>
      </c>
      <c r="K4" s="50" t="n"/>
      <c r="L4" s="50" t="n"/>
      <c r="M4" s="50" t="n"/>
      <c r="N4" s="51" t="n"/>
    </row>
    <row r="5">
      <c r="A5" s="6" t="inlineStr">
        <is>
          <t>区分</t>
        </is>
      </c>
      <c r="B5" s="6" t="inlineStr">
        <is>
          <t>日数</t>
        </is>
      </c>
      <c r="C5" s="3" t="inlineStr">
        <is>
          <t>売上/日</t>
        </is>
      </c>
      <c r="D5" s="3" t="inlineStr">
        <is>
          <t>アクセス/日</t>
        </is>
      </c>
      <c r="E5" s="3" t="inlineStr">
        <is>
          <t>転換率</t>
        </is>
      </c>
      <c r="F5" s="4" t="inlineStr">
        <is>
          <t>アクセス</t>
        </is>
      </c>
      <c r="G5" s="4" t="inlineStr">
        <is>
          <t>転換率</t>
        </is>
      </c>
      <c r="H5" s="4" t="inlineStr">
        <is>
          <t>売上/日</t>
        </is>
      </c>
      <c r="I5" s="4" t="inlineStr">
        <is>
          <t>月間</t>
        </is>
      </c>
      <c r="J5" s="5" t="inlineStr">
        <is>
          <t>アクセス</t>
        </is>
      </c>
      <c r="K5" s="5" t="inlineStr">
        <is>
          <t>転換率
(×0.8)</t>
        </is>
      </c>
      <c r="L5" s="5" t="inlineStr">
        <is>
          <t>売上/日</t>
        </is>
      </c>
      <c r="M5" s="5" t="inlineStr">
        <is>
          <t>月間</t>
        </is>
      </c>
      <c r="N5" s="5" t="inlineStr">
        <is>
          <t>月間差額</t>
        </is>
      </c>
    </row>
    <row r="6">
      <c r="A6" s="7" t="inlineStr">
        <is>
          <t>平日</t>
        </is>
      </c>
      <c r="B6" s="8" t="n">
        <v>17</v>
      </c>
      <c r="C6" s="9" t="n">
        <v>1158307</v>
      </c>
      <c r="D6" s="10" t="n">
        <v>28379</v>
      </c>
      <c r="E6" s="11" t="n">
        <v>0.00372457195612264</v>
      </c>
      <c r="F6" s="10" t="n">
        <v>20000</v>
      </c>
      <c r="G6" s="12" t="n">
        <v>0.001516042653417946</v>
      </c>
      <c r="H6" s="9" t="n">
        <v>894465</v>
      </c>
      <c r="I6" s="9" t="n">
        <v>15205905</v>
      </c>
      <c r="J6" s="10" t="n">
        <v>30000</v>
      </c>
      <c r="K6" s="12" t="n">
        <v>0.001212834122734357</v>
      </c>
      <c r="L6" s="9" t="n">
        <v>1073358</v>
      </c>
      <c r="M6" s="9" t="n">
        <v>18247086</v>
      </c>
      <c r="N6" s="13" t="n">
        <v>3041181</v>
      </c>
    </row>
    <row r="7">
      <c r="A7" s="14" t="inlineStr">
        <is>
          <t>イベント(5,0抜き)：マラソン通常</t>
        </is>
      </c>
      <c r="B7" s="15" t="n">
        <v>7</v>
      </c>
      <c r="C7" s="16" t="n">
        <v>1357078</v>
      </c>
      <c r="D7" s="17" t="n">
        <v>29286</v>
      </c>
      <c r="E7" s="18" t="n">
        <v>0.003021880463286713</v>
      </c>
      <c r="F7" s="17" t="n">
        <v>30000</v>
      </c>
      <c r="G7" s="19" t="n">
        <v>0.001342722645169273</v>
      </c>
      <c r="H7" s="16" t="n">
        <v>1188310</v>
      </c>
      <c r="I7" s="16" t="n">
        <v>8318170</v>
      </c>
      <c r="J7" s="17" t="n">
        <v>50000</v>
      </c>
      <c r="K7" s="19" t="n">
        <v>0.001074178116135419</v>
      </c>
      <c r="L7" s="16" t="n">
        <v>1584413</v>
      </c>
      <c r="M7" s="16" t="n">
        <v>11090891</v>
      </c>
      <c r="N7" s="20" t="n">
        <v>2772721</v>
      </c>
    </row>
    <row r="8">
      <c r="A8" s="21" t="inlineStr">
        <is>
          <t>イベント(5,0抜き)：ワンダフルデー</t>
        </is>
      </c>
      <c r="B8" s="22" t="n">
        <v>1</v>
      </c>
      <c r="C8" s="23" t="n">
        <v>1199910</v>
      </c>
      <c r="D8" s="24" t="n">
        <v>12728</v>
      </c>
      <c r="E8" s="25" t="n">
        <v>0.003378378378378379</v>
      </c>
      <c r="F8" s="24" t="n">
        <v>30000</v>
      </c>
      <c r="G8" s="26" t="n">
        <v>0.001345398239907378</v>
      </c>
      <c r="H8" s="23" t="n">
        <v>1190677</v>
      </c>
      <c r="I8" s="23" t="n">
        <v>1190677</v>
      </c>
      <c r="J8" s="24" t="n">
        <v>50000</v>
      </c>
      <c r="K8" s="26" t="n">
        <v>0.001076318591925903</v>
      </c>
      <c r="L8" s="23" t="n">
        <v>1587570</v>
      </c>
      <c r="M8" s="23" t="n">
        <v>1587570</v>
      </c>
      <c r="N8" s="27" t="n">
        <v>396893</v>
      </c>
    </row>
    <row r="9">
      <c r="A9" s="28" t="inlineStr">
        <is>
          <t>5と0のつく日(単独)</t>
        </is>
      </c>
      <c r="B9" s="29" t="n">
        <v>3</v>
      </c>
      <c r="C9" s="30" t="n">
        <v>1647756</v>
      </c>
      <c r="D9" s="31" t="n">
        <v>26858</v>
      </c>
      <c r="E9" s="32" t="n">
        <v>0.006999776602874376</v>
      </c>
      <c r="F9" s="31" t="n">
        <v>30000</v>
      </c>
      <c r="G9" s="33" t="n">
        <v>0.00126895071306332</v>
      </c>
      <c r="H9" s="30" t="n">
        <v>1123021</v>
      </c>
      <c r="I9" s="30" t="n">
        <v>3369063</v>
      </c>
      <c r="J9" s="31" t="n">
        <v>50000</v>
      </c>
      <c r="K9" s="33" t="n">
        <v>0.001015160570450656</v>
      </c>
      <c r="L9" s="30" t="n">
        <v>1497362</v>
      </c>
      <c r="M9" s="30" t="n">
        <v>4492086</v>
      </c>
      <c r="N9" s="34" t="n">
        <v>1123023</v>
      </c>
    </row>
    <row r="10">
      <c r="A10" s="35" t="inlineStr">
        <is>
          <t>イベント＋5,0(かぶり)</t>
        </is>
      </c>
      <c r="B10" s="36" t="n">
        <v>3</v>
      </c>
      <c r="C10" s="37" t="n">
        <v>3979792</v>
      </c>
      <c r="D10" s="38" t="n">
        <v>41739</v>
      </c>
      <c r="E10" s="39" t="n">
        <v>0.007307402038884962</v>
      </c>
      <c r="F10" s="38" t="n">
        <v>30000</v>
      </c>
      <c r="G10" s="40" t="n">
        <v>0.003733655419830527</v>
      </c>
      <c r="H10" s="37" t="n">
        <v>3304285</v>
      </c>
      <c r="I10" s="37" t="n">
        <v>9912855</v>
      </c>
      <c r="J10" s="38" t="n">
        <v>50000</v>
      </c>
      <c r="K10" s="40" t="n">
        <v>0.002986924335864422</v>
      </c>
      <c r="L10" s="37" t="n">
        <v>4405713</v>
      </c>
      <c r="M10" s="37" t="n">
        <v>13217139</v>
      </c>
      <c r="N10" s="41" t="n">
        <v>3304284</v>
      </c>
    </row>
    <row r="11">
      <c r="A11" s="42" t="inlineStr">
        <is>
          <t>スーツケース 計</t>
        </is>
      </c>
      <c r="B11" s="42" t="n"/>
      <c r="C11" s="42" t="n"/>
      <c r="D11" s="42" t="n"/>
      <c r="E11" s="42" t="n"/>
      <c r="F11" s="42" t="n"/>
      <c r="G11" s="42" t="n"/>
      <c r="H11" s="42" t="n"/>
      <c r="I11" s="43" t="n">
        <v>37996670</v>
      </c>
      <c r="J11" s="42" t="n"/>
      <c r="K11" s="42" t="n"/>
      <c r="L11" s="42" t="n"/>
      <c r="M11" s="43" t="n">
        <v>48634772</v>
      </c>
      <c r="N11" s="43" t="n">
        <v>10638102</v>
      </c>
    </row>
    <row r="12">
      <c r="A12" s="44" t="inlineStr">
        <is>
          <t>ハンディファン（アクセス据え置き）</t>
        </is>
      </c>
      <c r="B12" s="44" t="n"/>
      <c r="C12" s="44" t="n"/>
      <c r="D12" s="44" t="n"/>
      <c r="E12" s="44" t="n"/>
      <c r="F12" s="44" t="n"/>
      <c r="G12" s="44" t="n"/>
      <c r="H12" s="44" t="n"/>
      <c r="I12" s="45" t="n">
        <v>9276649</v>
      </c>
      <c r="J12" s="44" t="n"/>
      <c r="K12" s="44" t="n"/>
      <c r="L12" s="44" t="n"/>
      <c r="M12" s="45" t="n">
        <v>9276649</v>
      </c>
      <c r="N12" s="45" t="n">
        <v>0</v>
      </c>
    </row>
    <row r="13">
      <c r="A13" s="46" t="inlineStr">
        <is>
          <t>合算</t>
        </is>
      </c>
      <c r="B13" s="46" t="n"/>
      <c r="C13" s="46" t="n"/>
      <c r="D13" s="46" t="n"/>
      <c r="E13" s="46" t="n"/>
      <c r="F13" s="46" t="n"/>
      <c r="G13" s="46" t="n"/>
      <c r="H13" s="46" t="n"/>
      <c r="I13" s="47" t="n">
        <v>47273319</v>
      </c>
      <c r="J13" s="46" t="n"/>
      <c r="K13" s="46" t="n"/>
      <c r="L13" s="46" t="n"/>
      <c r="M13" s="47" t="n">
        <v>57911421</v>
      </c>
      <c r="N13" s="47" t="n">
        <v>10638102</v>
      </c>
    </row>
    <row r="15">
      <c r="A15" s="48" t="inlineStr">
        <is>
          <t>差額（増額後−増額なし）</t>
        </is>
      </c>
      <c r="C15" s="49" t="n">
        <v>10638102</v>
      </c>
    </row>
    <row r="17">
      <c r="A17" s="2" t="inlineStr">
        <is>
          <t>転換率×0.8でも増額はプラス：アクセス+67%(イベント)/+50%(平日) × 転換率−20% ＝ 売上は約+28%。</t>
        </is>
      </c>
    </row>
    <row r="18">
      <c r="A18" s="2" t="inlineStr">
        <is>
          <t>参考：転換率×0.9なら差額+¥16.7M(合算¥64.0M)。×0.8は保守ライン。実際はこの間に着地する公算。</t>
        </is>
      </c>
    </row>
    <row r="19">
      <c r="A19" s="2" t="inlineStr">
        <is>
          <t>7月実績列は店舗全体(SC+FAN)の実測。増額なし/後の列はスーツケースのみ（転換率はSC注文÷指定アクセスで逆算）。</t>
        </is>
      </c>
    </row>
    <row r="20">
      <c r="A20" s="2" t="inlineStr">
        <is>
          <t>個数の裏付け：SKU実績シート（多機能PC96%・マットブラックS最重要）参照。在庫が前提条件。</t>
        </is>
      </c>
    </row>
  </sheetData>
  <mergeCells count="5">
    <mergeCell ref="J4:N4"/>
    <mergeCell ref="F4:I4"/>
    <mergeCell ref="A2:N2"/>
    <mergeCell ref="C4:E4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グラフ</t>
        </is>
      </c>
      <c r="H1" t="inlineStr">
        <is>
          <t>区分</t>
        </is>
      </c>
      <c r="I1" t="inlineStr">
        <is>
          <t>増額なし</t>
        </is>
      </c>
      <c r="J1" t="inlineStr">
        <is>
          <t>増額後(×0.8)</t>
        </is>
      </c>
    </row>
    <row r="2">
      <c r="H2" t="inlineStr">
        <is>
          <t>平日</t>
        </is>
      </c>
      <c r="I2" t="n">
        <v>894465</v>
      </c>
      <c r="J2" t="n">
        <v>1073358</v>
      </c>
    </row>
    <row r="3">
      <c r="H3" t="inlineStr">
        <is>
          <t>マラソン通常</t>
        </is>
      </c>
      <c r="I3" t="n">
        <v>1188310</v>
      </c>
      <c r="J3" t="n">
        <v>1584413</v>
      </c>
    </row>
    <row r="4">
      <c r="H4" t="inlineStr">
        <is>
          <t>ワンダフル</t>
        </is>
      </c>
      <c r="I4" t="n">
        <v>1190677</v>
      </c>
      <c r="J4" t="n">
        <v>1587570</v>
      </c>
    </row>
    <row r="5">
      <c r="H5" t="inlineStr">
        <is>
          <t>5と0単独</t>
        </is>
      </c>
      <c r="I5" t="n">
        <v>1123021</v>
      </c>
      <c r="J5" t="n">
        <v>1497362</v>
      </c>
    </row>
    <row r="6">
      <c r="H6" t="inlineStr">
        <is>
          <t>かぶり日</t>
        </is>
      </c>
      <c r="I6" t="n">
        <v>3304285</v>
      </c>
      <c r="J6" t="n">
        <v>4405713</v>
      </c>
    </row>
    <row r="8">
      <c r="H8" t="inlineStr">
        <is>
          <t>区分</t>
        </is>
      </c>
      <c r="I8" t="inlineStr">
        <is>
          <t>増額なし</t>
        </is>
      </c>
      <c r="J8" t="inlineStr">
        <is>
          <t>増額後</t>
        </is>
      </c>
    </row>
    <row r="9">
      <c r="H9" t="inlineStr">
        <is>
          <t>スーツケース</t>
        </is>
      </c>
      <c r="I9" t="n">
        <v>37996670</v>
      </c>
      <c r="J9" t="n">
        <v>48634772</v>
      </c>
    </row>
    <row r="10">
      <c r="H10" t="inlineStr">
        <is>
          <t>ハンディファン</t>
        </is>
      </c>
      <c r="I10" t="n">
        <v>9276649</v>
      </c>
      <c r="J10" t="n">
        <v>9276649</v>
      </c>
    </row>
    <row r="11">
      <c r="H11" t="inlineStr">
        <is>
          <t>合算</t>
        </is>
      </c>
      <c r="I11" t="n">
        <v>47273319</v>
      </c>
      <c r="J11" t="n">
        <v>57911421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4" customWidth="1" min="4" max="4"/>
    <col width="42" customWidth="1" min="5" max="5"/>
  </cols>
  <sheetData>
    <row r="1">
      <c r="A1" s="52" t="inlineStr">
        <is>
          <t>用語解説：1アクセス価値 ／ アクセス単価の前提</t>
        </is>
      </c>
    </row>
    <row r="3" ht="30" customHeight="1">
      <c r="A3" s="53" t="inlineStr">
        <is>
          <t>定義</t>
        </is>
      </c>
      <c r="B3" s="54" t="inlineStr">
        <is>
          <t>お客さん1人がページに来たとき、平均していくら売上になるか</t>
        </is>
      </c>
      <c r="C3" s="55" t="n"/>
      <c r="D3" s="55" t="n"/>
      <c r="E3" s="55" t="n"/>
    </row>
    <row r="4" ht="30" customHeight="1">
      <c r="A4" s="53" t="inlineStr">
        <is>
          <t>計算式</t>
        </is>
      </c>
      <c r="B4" s="54" t="inlineStr">
        <is>
          <t>1アクセス価値 ＝ 転換率 × 客単価</t>
        </is>
      </c>
      <c r="C4" s="55" t="n"/>
      <c r="D4" s="55" t="n"/>
      <c r="E4" s="55" t="n"/>
    </row>
    <row r="5" ht="30" customHeight="1">
      <c r="A5" s="53" t="inlineStr">
        <is>
          <t>例（かぶり日・7月実績）</t>
        </is>
      </c>
      <c r="B5" s="54" t="inlineStr">
        <is>
          <t>転換率0.73% × 客単価¥13,048 ≒ ¥95。1,000人来たら約7人が買い、売上約¥95,000 → 1人あたり¥95</t>
        </is>
      </c>
      <c r="C5" s="55" t="n"/>
      <c r="D5" s="55" t="n"/>
      <c r="E5" s="55" t="n"/>
    </row>
    <row r="6" ht="30" customHeight="1">
      <c r="A6" s="53" t="inlineStr">
        <is>
          <t>使い方①（広告判断）</t>
        </is>
      </c>
      <c r="B6" s="54" t="inlineStr">
        <is>
          <t>アクセス単価と比べる。¥10で1人連れてきて、その日の価値が¥95なら9.5倍で返る計算</t>
        </is>
      </c>
      <c r="C6" s="55" t="n"/>
      <c r="D6" s="55" t="n"/>
      <c r="E6" s="55" t="n"/>
    </row>
    <row r="7" ht="30" customHeight="1">
      <c r="A7" s="53" t="inlineStr">
        <is>
          <t>使い方②（増額試算）</t>
        </is>
      </c>
      <c r="B7" s="54" t="inlineStr">
        <is>
          <t>追加売上 ＝ 増やすアクセス数 × 1アクセス価値。転換率×0.8のシナリオは価値を2割引きで見積もったもの</t>
        </is>
      </c>
      <c r="C7" s="55" t="n"/>
      <c r="D7" s="55" t="n"/>
      <c r="E7" s="55" t="n"/>
    </row>
    <row r="8" ht="30" customHeight="1">
      <c r="A8" s="53" t="inlineStr">
        <is>
          <t>★アクセス単価の統一前提</t>
        </is>
      </c>
      <c r="B8" s="54" t="inlineStr">
        <is>
          <t>スーツケース ¥10/アクセス ／ ハンディファン ¥8/アクセス（社長指定・全シート共通）</t>
        </is>
      </c>
      <c r="C8" s="55" t="n"/>
      <c r="D8" s="55" t="n"/>
      <c r="E8" s="55" t="n"/>
    </row>
    <row r="10">
      <c r="A10" s="56" t="inlineStr">
        <is>
          <t>セグメント別 1アクセス価値（7月公式実績・店舗全体）</t>
        </is>
      </c>
    </row>
    <row r="11">
      <c r="A11" s="57" t="inlineStr">
        <is>
          <t>区分</t>
        </is>
      </c>
      <c r="B11" s="57" t="inlineStr">
        <is>
          <t>1アクセス価値</t>
        </is>
      </c>
      <c r="C11" s="57" t="inlineStr">
        <is>
          <t>SC単価</t>
        </is>
      </c>
      <c r="D11" s="57" t="inlineStr">
        <is>
          <t>倍率</t>
        </is>
      </c>
      <c r="E11" s="57" t="inlineStr">
        <is>
          <t>読み方</t>
        </is>
      </c>
    </row>
    <row r="12">
      <c r="A12" s="58" t="inlineStr">
        <is>
          <t>かぶり日（イベント×5と0）</t>
        </is>
      </c>
      <c r="B12" s="59" t="n">
        <v>95</v>
      </c>
      <c r="C12" s="59" t="n">
        <v>10</v>
      </c>
      <c r="D12" s="60" t="n">
        <v>9.5</v>
      </c>
      <c r="E12" s="61" t="inlineStr">
        <is>
          <t>¥10仕入→¥95売上。最優先で広告を張る日</t>
        </is>
      </c>
    </row>
    <row r="13">
      <c r="A13" s="62" t="inlineStr">
        <is>
          <t>ワンダフルデー</t>
        </is>
      </c>
      <c r="B13" s="63" t="n">
        <v>94</v>
      </c>
      <c r="C13" s="63" t="n">
        <v>10</v>
      </c>
      <c r="D13" s="64" t="n">
        <v>9.4</v>
      </c>
      <c r="E13" s="65" t="inlineStr"/>
    </row>
    <row r="14">
      <c r="A14" s="66" t="inlineStr">
        <is>
          <t>5と0のつく日（単独）</t>
        </is>
      </c>
      <c r="B14" s="67" t="n">
        <v>61</v>
      </c>
      <c r="C14" s="67" t="n">
        <v>10</v>
      </c>
      <c r="D14" s="68" t="n">
        <v>6.1</v>
      </c>
      <c r="E14" s="69" t="inlineStr"/>
    </row>
    <row r="15">
      <c r="A15" s="70" t="inlineStr">
        <is>
          <t>マラソン通常</t>
        </is>
      </c>
      <c r="B15" s="71" t="n">
        <v>46</v>
      </c>
      <c r="C15" s="71" t="n">
        <v>10</v>
      </c>
      <c r="D15" s="72" t="n">
        <v>4.6</v>
      </c>
      <c r="E15" s="73" t="inlineStr"/>
    </row>
    <row r="16">
      <c r="A16" s="74" t="inlineStr">
        <is>
          <t>平日</t>
        </is>
      </c>
      <c r="B16" s="75" t="n">
        <v>41</v>
      </c>
      <c r="C16" s="75" t="n">
        <v>10</v>
      </c>
      <c r="D16" s="76" t="n">
        <v>4.1</v>
      </c>
      <c r="E16" s="77" t="inlineStr">
        <is>
          <t>それでも4.1倍。広告を切らない理由</t>
        </is>
      </c>
    </row>
    <row r="18">
      <c r="A18" s="2" t="inlineStr">
        <is>
          <t>※スーツケースのみの価値：平日¥45／かぶり日¥110。ハンディファンの広告費は¥8/アクセス（据え置き）。</t>
        </is>
      </c>
    </row>
  </sheetData>
  <mergeCells count="6">
    <mergeCell ref="B8:E8"/>
    <mergeCell ref="B4:E4"/>
    <mergeCell ref="B6:E6"/>
    <mergeCell ref="B7:E7"/>
    <mergeCell ref="B3:E3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2026-07-27T15:43:39Z</dcterms:created>
  <dcterms:modified xsi:type="dcterms:W3CDTF">2026-07-27T16:11:53Z</dcterms:modified>
</cp:coreProperties>
</file>