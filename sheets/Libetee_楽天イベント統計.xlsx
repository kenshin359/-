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データ" sheetId="1" state="visible" r:id="rId1"/>
    <sheet name="イベント別統計" sheetId="2" state="visible" r:id="rId2"/>
    <sheet name="月商推移" sheetId="3" state="visible" r:id="rId3"/>
    <sheet name="売上TOP20日" sheetId="4" state="visible" r:id="rId4"/>
    <sheet name="読み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/mm/dd"/>
    <numFmt numFmtId="165" formatCode="¥#,##0"/>
    <numFmt numFmtId="166" formatCode="0.00&quot;%&quot;"/>
    <numFmt numFmtId="167" formatCode="0.00&quot;x&quot;"/>
    <numFmt numFmtId="168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color rgb="00000000"/>
    </font>
    <font>
      <name val="Arial"/>
      <i val="1"/>
      <color rgb="00555555"/>
      <sz val="9"/>
    </font>
    <font>
      <name val="Arial"/>
      <color rgb="00008000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3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3" fontId="3" fillId="0" borderId="1" pivotButton="0" quotePrefix="0" xfId="0"/>
    <xf numFmtId="166" fontId="3" fillId="0" borderId="1" pivotButton="0" quotePrefix="0" xfId="0"/>
    <xf numFmtId="0" fontId="4" fillId="0" borderId="0" pivotButton="0" quotePrefix="0" xfId="0"/>
    <xf numFmtId="0" fontId="5" fillId="0" borderId="1" pivotButton="0" quotePrefix="0" xfId="0"/>
    <xf numFmtId="165" fontId="3" fillId="3" borderId="1" pivotButton="0" quotePrefix="0" xfId="0"/>
    <xf numFmtId="167" fontId="3" fillId="3" borderId="1" pivotButton="0" quotePrefix="0" xfId="0"/>
    <xf numFmtId="168" fontId="3" fillId="0" borderId="1" pivotButton="0" quotePrefix="0" xfId="0"/>
    <xf numFmtId="167" fontId="3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64" fontId="3" fillId="0" borderId="1" pivotButton="0" quotePrefix="0" xfId="0"/>
    <xf numFmtId="165" fontId="3" fillId="0" borderId="1" pivotButton="0" quotePrefix="0" xfId="0"/>
    <xf numFmtId="10" fontId="3" fillId="0" borderId="1" pivotButton="0" quotePrefix="0" xfId="0"/>
    <xf numFmtId="165" fontId="3" fillId="3" borderId="1" pivotButton="0" quotePrefix="0" xfId="0"/>
    <xf numFmtId="167" fontId="3" fillId="3" borderId="1" pivotButton="0" quotePrefix="0" xfId="0"/>
    <xf numFmtId="166" fontId="3" fillId="0" borderId="1" pivotButton="0" quotePrefix="0" xfId="0"/>
    <xf numFmtId="168" fontId="3" fillId="0" borderId="1" pivotButton="0" quotePrefix="0" xfId="0"/>
    <xf numFmtId="167" fontId="3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0" customWidth="1" min="3" max="3"/>
    <col width="13" customWidth="1" min="4" max="4"/>
    <col width="9" customWidth="1" min="5" max="5"/>
    <col width="11" customWidth="1" min="6" max="6"/>
    <col width="8" customWidth="1" min="7" max="7"/>
    <col width="11" customWidth="1" min="8" max="8"/>
  </cols>
  <sheetData>
    <row r="1">
      <c r="A1" s="1" t="inlineStr">
        <is>
          <t>楽天 日次データ（2025/07〜2026/07・391日・実績）</t>
        </is>
      </c>
    </row>
    <row r="2"/>
    <row r="3">
      <c r="A3" s="2" t="inlineStr">
        <is>
          <t>日付</t>
        </is>
      </c>
      <c r="B3" s="2" t="inlineStr">
        <is>
          <t>曜日</t>
        </is>
      </c>
      <c r="C3" s="2" t="inlineStr">
        <is>
          <t>イベント</t>
        </is>
      </c>
      <c r="D3" s="2" t="inlineStr">
        <is>
          <t>売上金額</t>
        </is>
      </c>
      <c r="E3" s="2" t="inlineStr">
        <is>
          <t>売上件数</t>
        </is>
      </c>
      <c r="F3" s="2" t="inlineStr">
        <is>
          <t>アクセス</t>
        </is>
      </c>
      <c r="G3" s="2" t="inlineStr">
        <is>
          <t>転換率</t>
        </is>
      </c>
      <c r="H3" s="2" t="inlineStr">
        <is>
          <t>客単価</t>
        </is>
      </c>
    </row>
    <row r="4">
      <c r="A4" s="20" t="n">
        <v>45839</v>
      </c>
      <c r="B4" s="4" t="inlineStr">
        <is>
          <t>火</t>
        </is>
      </c>
      <c r="C4" s="4" t="inlineStr">
        <is>
          <t>ワンダフルデー</t>
        </is>
      </c>
      <c r="D4" s="21" t="n">
        <v>1313728</v>
      </c>
      <c r="E4" s="6" t="n">
        <v>215</v>
      </c>
      <c r="F4" s="6" t="n">
        <v>14565</v>
      </c>
      <c r="G4" s="22" t="n">
        <v>0.0148</v>
      </c>
      <c r="H4" s="21" t="n">
        <v>6110</v>
      </c>
    </row>
    <row r="5">
      <c r="A5" s="20" t="n">
        <v>45840</v>
      </c>
      <c r="B5" s="4" t="inlineStr">
        <is>
          <t>水</t>
        </is>
      </c>
      <c r="C5" s="4" t="inlineStr">
        <is>
          <t>平常日</t>
        </is>
      </c>
      <c r="D5" s="21" t="n">
        <v>1070304</v>
      </c>
      <c r="E5" s="6" t="n">
        <v>171</v>
      </c>
      <c r="F5" s="6" t="n">
        <v>14362</v>
      </c>
      <c r="G5" s="22" t="n">
        <v>0.0119</v>
      </c>
      <c r="H5" s="21" t="n">
        <v>6259</v>
      </c>
    </row>
    <row r="6">
      <c r="A6" s="20" t="n">
        <v>45841</v>
      </c>
      <c r="B6" s="4" t="inlineStr">
        <is>
          <t>木</t>
        </is>
      </c>
      <c r="C6" s="4" t="inlineStr">
        <is>
          <t>平常日</t>
        </is>
      </c>
      <c r="D6" s="21" t="n">
        <v>731595</v>
      </c>
      <c r="E6" s="6" t="n">
        <v>112</v>
      </c>
      <c r="F6" s="6" t="n">
        <v>12014</v>
      </c>
      <c r="G6" s="22" t="n">
        <v>0.009300000000000001</v>
      </c>
      <c r="H6" s="21" t="n">
        <v>6532</v>
      </c>
    </row>
    <row r="7">
      <c r="A7" s="20" t="n">
        <v>45842</v>
      </c>
      <c r="B7" s="4" t="inlineStr">
        <is>
          <t>金</t>
        </is>
      </c>
      <c r="C7" s="4" t="inlineStr">
        <is>
          <t>お買い物マラソン(推定)</t>
        </is>
      </c>
      <c r="D7" s="21" t="n">
        <v>862029</v>
      </c>
      <c r="E7" s="6" t="n">
        <v>109</v>
      </c>
      <c r="F7" s="6" t="n">
        <v>9718</v>
      </c>
      <c r="G7" s="22" t="n">
        <v>0.0112</v>
      </c>
      <c r="H7" s="21" t="n">
        <v>7909</v>
      </c>
    </row>
    <row r="8">
      <c r="A8" s="20" t="n">
        <v>45843</v>
      </c>
      <c r="B8" s="4" t="inlineStr">
        <is>
          <t>土</t>
        </is>
      </c>
      <c r="C8" s="4" t="inlineStr">
        <is>
          <t>お買い物マラソン(推定)</t>
        </is>
      </c>
      <c r="D8" s="21" t="n">
        <v>2668411</v>
      </c>
      <c r="E8" s="6" t="n">
        <v>227</v>
      </c>
      <c r="F8" s="6" t="n">
        <v>8538</v>
      </c>
      <c r="G8" s="22" t="n">
        <v>0.0266</v>
      </c>
      <c r="H8" s="21" t="n">
        <v>11755</v>
      </c>
    </row>
    <row r="9">
      <c r="A9" s="20" t="n">
        <v>45844</v>
      </c>
      <c r="B9" s="4" t="inlineStr">
        <is>
          <t>日</t>
        </is>
      </c>
      <c r="C9" s="4" t="inlineStr">
        <is>
          <t>お買い物マラソン(推定)</t>
        </is>
      </c>
      <c r="D9" s="21" t="n">
        <v>1743205</v>
      </c>
      <c r="E9" s="6" t="n">
        <v>192</v>
      </c>
      <c r="F9" s="6" t="n">
        <v>10158</v>
      </c>
      <c r="G9" s="22" t="n">
        <v>0.0189</v>
      </c>
      <c r="H9" s="21" t="n">
        <v>9079</v>
      </c>
    </row>
    <row r="10">
      <c r="A10" s="20" t="n">
        <v>45845</v>
      </c>
      <c r="B10" s="4" t="inlineStr">
        <is>
          <t>月</t>
        </is>
      </c>
      <c r="C10" s="4" t="inlineStr">
        <is>
          <t>お買い物マラソン(推定)</t>
        </is>
      </c>
      <c r="D10" s="21" t="n">
        <v>1092182</v>
      </c>
      <c r="E10" s="6" t="n">
        <v>135</v>
      </c>
      <c r="F10" s="6" t="n">
        <v>9216</v>
      </c>
      <c r="G10" s="22" t="n">
        <v>0.0146</v>
      </c>
      <c r="H10" s="21" t="n">
        <v>8090</v>
      </c>
    </row>
    <row r="11">
      <c r="A11" s="20" t="n">
        <v>45846</v>
      </c>
      <c r="B11" s="4" t="inlineStr">
        <is>
          <t>火</t>
        </is>
      </c>
      <c r="C11" s="4" t="inlineStr">
        <is>
          <t>お買い物マラソン(推定)</t>
        </is>
      </c>
      <c r="D11" s="21" t="n">
        <v>879211</v>
      </c>
      <c r="E11" s="6" t="n">
        <v>105</v>
      </c>
      <c r="F11" s="6" t="n">
        <v>8496</v>
      </c>
      <c r="G11" s="22" t="n">
        <v>0.0124</v>
      </c>
      <c r="H11" s="21" t="n">
        <v>8373</v>
      </c>
    </row>
    <row r="12">
      <c r="A12" s="20" t="n">
        <v>45847</v>
      </c>
      <c r="B12" s="4" t="inlineStr">
        <is>
          <t>水</t>
        </is>
      </c>
      <c r="C12" s="4" t="inlineStr">
        <is>
          <t>お買い物マラソン(推定)</t>
        </is>
      </c>
      <c r="D12" s="21" t="n">
        <v>631398</v>
      </c>
      <c r="E12" s="6" t="n">
        <v>76</v>
      </c>
      <c r="F12" s="6" t="n">
        <v>7791</v>
      </c>
      <c r="G12" s="22" t="n">
        <v>0.0098</v>
      </c>
      <c r="H12" s="21" t="n">
        <v>8308</v>
      </c>
    </row>
    <row r="13">
      <c r="A13" s="20" t="n">
        <v>45848</v>
      </c>
      <c r="B13" s="4" t="inlineStr">
        <is>
          <t>木</t>
        </is>
      </c>
      <c r="C13" s="4" t="inlineStr">
        <is>
          <t>お買い物マラソン(推定)</t>
        </is>
      </c>
      <c r="D13" s="21" t="n">
        <v>1717517</v>
      </c>
      <c r="E13" s="6" t="n">
        <v>132</v>
      </c>
      <c r="F13" s="6" t="n">
        <v>7892</v>
      </c>
      <c r="G13" s="22" t="n">
        <v>0.0167</v>
      </c>
      <c r="H13" s="21" t="n">
        <v>13011</v>
      </c>
    </row>
    <row r="14">
      <c r="A14" s="20" t="n">
        <v>45849</v>
      </c>
      <c r="B14" s="4" t="inlineStr">
        <is>
          <t>金</t>
        </is>
      </c>
      <c r="C14" s="4" t="inlineStr">
        <is>
          <t>お買い物マラソン(推定)</t>
        </is>
      </c>
      <c r="D14" s="21" t="n">
        <v>476237</v>
      </c>
      <c r="E14" s="6" t="n">
        <v>68</v>
      </c>
      <c r="F14" s="6" t="n">
        <v>7788</v>
      </c>
      <c r="G14" s="22" t="n">
        <v>0.008699999999999999</v>
      </c>
      <c r="H14" s="21" t="n">
        <v>7003</v>
      </c>
    </row>
    <row r="15">
      <c r="A15" s="20" t="n">
        <v>45850</v>
      </c>
      <c r="B15" s="4" t="inlineStr">
        <is>
          <t>土</t>
        </is>
      </c>
      <c r="C15" s="4" t="inlineStr">
        <is>
          <t>平常日</t>
        </is>
      </c>
      <c r="D15" s="21" t="n">
        <v>581819</v>
      </c>
      <c r="E15" s="6" t="n">
        <v>49</v>
      </c>
      <c r="F15" s="6" t="n">
        <v>9043</v>
      </c>
      <c r="G15" s="22" t="n">
        <v>0.0054</v>
      </c>
      <c r="H15" s="21" t="n">
        <v>11874</v>
      </c>
    </row>
    <row r="16">
      <c r="A16" s="20" t="n">
        <v>45851</v>
      </c>
      <c r="B16" s="4" t="inlineStr">
        <is>
          <t>日</t>
        </is>
      </c>
      <c r="C16" s="4" t="inlineStr">
        <is>
          <t>平常日</t>
        </is>
      </c>
      <c r="D16" s="21" t="n">
        <v>1059989</v>
      </c>
      <c r="E16" s="6" t="n">
        <v>66</v>
      </c>
      <c r="F16" s="6" t="n">
        <v>6540</v>
      </c>
      <c r="G16" s="22" t="n">
        <v>0.0101</v>
      </c>
      <c r="H16" s="21" t="n">
        <v>16060</v>
      </c>
    </row>
    <row r="17">
      <c r="A17" s="20" t="n">
        <v>45852</v>
      </c>
      <c r="B17" s="4" t="inlineStr">
        <is>
          <t>月</t>
        </is>
      </c>
      <c r="C17" s="4" t="inlineStr">
        <is>
          <t>平常日</t>
        </is>
      </c>
      <c r="D17" s="21" t="n">
        <v>586704</v>
      </c>
      <c r="E17" s="6" t="n">
        <v>34</v>
      </c>
      <c r="F17" s="6" t="n">
        <v>5522</v>
      </c>
      <c r="G17" s="22" t="n">
        <v>0.0062</v>
      </c>
      <c r="H17" s="21" t="n">
        <v>17256</v>
      </c>
    </row>
    <row r="18">
      <c r="A18" s="20" t="n">
        <v>45853</v>
      </c>
      <c r="B18" s="4" t="inlineStr">
        <is>
          <t>火</t>
        </is>
      </c>
      <c r="C18" s="4" t="inlineStr">
        <is>
          <t>5と0のつく日</t>
        </is>
      </c>
      <c r="D18" s="21" t="n">
        <v>974687</v>
      </c>
      <c r="E18" s="6" t="n">
        <v>58</v>
      </c>
      <c r="F18" s="6" t="n">
        <v>5031</v>
      </c>
      <c r="G18" s="22" t="n">
        <v>0.0115</v>
      </c>
      <c r="H18" s="21" t="n">
        <v>16805</v>
      </c>
    </row>
    <row r="19">
      <c r="A19" s="20" t="n">
        <v>45854</v>
      </c>
      <c r="B19" s="4" t="inlineStr">
        <is>
          <t>水</t>
        </is>
      </c>
      <c r="C19" s="4" t="inlineStr">
        <is>
          <t>平常日</t>
        </is>
      </c>
      <c r="D19" s="21" t="n">
        <v>628771</v>
      </c>
      <c r="E19" s="6" t="n">
        <v>36</v>
      </c>
      <c r="F19" s="6" t="n">
        <v>5037</v>
      </c>
      <c r="G19" s="22" t="n">
        <v>0.0071</v>
      </c>
      <c r="H19" s="21" t="n">
        <v>17466</v>
      </c>
    </row>
    <row r="20">
      <c r="A20" s="20" t="n">
        <v>45855</v>
      </c>
      <c r="B20" s="4" t="inlineStr">
        <is>
          <t>木</t>
        </is>
      </c>
      <c r="C20" s="4" t="inlineStr">
        <is>
          <t>平常日</t>
        </is>
      </c>
      <c r="D20" s="21" t="n">
        <v>395945</v>
      </c>
      <c r="E20" s="6" t="n">
        <v>27</v>
      </c>
      <c r="F20" s="6" t="n">
        <v>8733</v>
      </c>
      <c r="G20" s="22" t="n">
        <v>0.0031</v>
      </c>
      <c r="H20" s="21" t="n">
        <v>14665</v>
      </c>
    </row>
    <row r="21">
      <c r="A21" s="20" t="n">
        <v>45856</v>
      </c>
      <c r="B21" s="4" t="inlineStr">
        <is>
          <t>金</t>
        </is>
      </c>
      <c r="C21" s="4" t="inlineStr">
        <is>
          <t>平常日</t>
        </is>
      </c>
      <c r="D21" s="21" t="n">
        <v>593346</v>
      </c>
      <c r="E21" s="6" t="n">
        <v>25</v>
      </c>
      <c r="F21" s="6" t="n">
        <v>10823</v>
      </c>
      <c r="G21" s="22" t="n">
        <v>0.0023</v>
      </c>
      <c r="H21" s="21" t="n">
        <v>23734</v>
      </c>
    </row>
    <row r="22">
      <c r="A22" s="20" t="n">
        <v>45857</v>
      </c>
      <c r="B22" s="4" t="inlineStr">
        <is>
          <t>土</t>
        </is>
      </c>
      <c r="C22" s="4" t="inlineStr">
        <is>
          <t>平常日</t>
        </is>
      </c>
      <c r="D22" s="21" t="n">
        <v>550216</v>
      </c>
      <c r="E22" s="6" t="n">
        <v>29</v>
      </c>
      <c r="F22" s="6" t="n">
        <v>9483</v>
      </c>
      <c r="G22" s="22" t="n">
        <v>0.0031</v>
      </c>
      <c r="H22" s="21" t="n">
        <v>18973</v>
      </c>
    </row>
    <row r="23">
      <c r="A23" s="20" t="n">
        <v>45858</v>
      </c>
      <c r="B23" s="4" t="inlineStr">
        <is>
          <t>日</t>
        </is>
      </c>
      <c r="C23" s="4" t="inlineStr">
        <is>
          <t>5と0のつく日</t>
        </is>
      </c>
      <c r="D23" s="21" t="n">
        <v>1673625</v>
      </c>
      <c r="E23" s="6" t="n">
        <v>88</v>
      </c>
      <c r="F23" s="6" t="n">
        <v>10182</v>
      </c>
      <c r="G23" s="22" t="n">
        <v>0.0086</v>
      </c>
      <c r="H23" s="21" t="n">
        <v>19018</v>
      </c>
    </row>
    <row r="24">
      <c r="A24" s="20" t="n">
        <v>45859</v>
      </c>
      <c r="B24" s="4" t="inlineStr">
        <is>
          <t>月</t>
        </is>
      </c>
      <c r="C24" s="4" t="inlineStr">
        <is>
          <t>平常日</t>
        </is>
      </c>
      <c r="D24" s="21" t="n">
        <v>751240</v>
      </c>
      <c r="E24" s="6" t="n">
        <v>43</v>
      </c>
      <c r="F24" s="6" t="n">
        <v>10540</v>
      </c>
      <c r="G24" s="22" t="n">
        <v>0.004099999999999999</v>
      </c>
      <c r="H24" s="21" t="n">
        <v>17471</v>
      </c>
    </row>
    <row r="25">
      <c r="A25" s="20" t="n">
        <v>45860</v>
      </c>
      <c r="B25" s="4" t="inlineStr">
        <is>
          <t>火</t>
        </is>
      </c>
      <c r="C25" s="4" t="inlineStr">
        <is>
          <t>平常日</t>
        </is>
      </c>
      <c r="D25" s="21" t="n">
        <v>573170</v>
      </c>
      <c r="E25" s="6" t="n">
        <v>35</v>
      </c>
      <c r="F25" s="6" t="n">
        <v>9403</v>
      </c>
      <c r="G25" s="22" t="n">
        <v>0.0037</v>
      </c>
      <c r="H25" s="21" t="n">
        <v>16376</v>
      </c>
    </row>
    <row r="26">
      <c r="A26" s="20" t="n">
        <v>45861</v>
      </c>
      <c r="B26" s="4" t="inlineStr">
        <is>
          <t>水</t>
        </is>
      </c>
      <c r="C26" s="4" t="inlineStr">
        <is>
          <t>平常日</t>
        </is>
      </c>
      <c r="D26" s="21" t="n">
        <v>661901</v>
      </c>
      <c r="E26" s="6" t="n">
        <v>44</v>
      </c>
      <c r="F26" s="6" t="n">
        <v>10285</v>
      </c>
      <c r="G26" s="22" t="n">
        <v>0.0043</v>
      </c>
      <c r="H26" s="21" t="n">
        <v>15043</v>
      </c>
    </row>
    <row r="27">
      <c r="A27" s="20" t="n">
        <v>45862</v>
      </c>
      <c r="B27" s="4" t="inlineStr">
        <is>
          <t>木</t>
        </is>
      </c>
      <c r="C27" s="4" t="inlineStr">
        <is>
          <t>平常日</t>
        </is>
      </c>
      <c r="D27" s="21" t="n">
        <v>733413</v>
      </c>
      <c r="E27" s="6" t="n">
        <v>53</v>
      </c>
      <c r="F27" s="6" t="n">
        <v>9831</v>
      </c>
      <c r="G27" s="22" t="n">
        <v>0.0054</v>
      </c>
      <c r="H27" s="21" t="n">
        <v>13838</v>
      </c>
    </row>
    <row r="28">
      <c r="A28" s="20" t="n">
        <v>45863</v>
      </c>
      <c r="B28" s="4" t="inlineStr">
        <is>
          <t>金</t>
        </is>
      </c>
      <c r="C28" s="4" t="inlineStr">
        <is>
          <t>5と0のつく日</t>
        </is>
      </c>
      <c r="D28" s="21" t="n">
        <v>1412288</v>
      </c>
      <c r="E28" s="6" t="n">
        <v>79</v>
      </c>
      <c r="F28" s="6" t="n">
        <v>10018</v>
      </c>
      <c r="G28" s="22" t="n">
        <v>0.007900000000000001</v>
      </c>
      <c r="H28" s="21" t="n">
        <v>17877</v>
      </c>
    </row>
    <row r="29">
      <c r="A29" s="20" t="n">
        <v>45864</v>
      </c>
      <c r="B29" s="4" t="inlineStr">
        <is>
          <t>土</t>
        </is>
      </c>
      <c r="C29" s="4" t="inlineStr">
        <is>
          <t>平常日</t>
        </is>
      </c>
      <c r="D29" s="21" t="n">
        <v>760967</v>
      </c>
      <c r="E29" s="6" t="n">
        <v>49</v>
      </c>
      <c r="F29" s="6" t="n">
        <v>8009</v>
      </c>
      <c r="G29" s="22" t="n">
        <v>0.0061</v>
      </c>
      <c r="H29" s="21" t="n">
        <v>15530</v>
      </c>
    </row>
    <row r="30">
      <c r="A30" s="20" t="n">
        <v>45865</v>
      </c>
      <c r="B30" s="4" t="inlineStr">
        <is>
          <t>日</t>
        </is>
      </c>
      <c r="C30" s="4" t="inlineStr">
        <is>
          <t>平常日</t>
        </is>
      </c>
      <c r="D30" s="21" t="n">
        <v>1130257</v>
      </c>
      <c r="E30" s="6" t="n">
        <v>63</v>
      </c>
      <c r="F30" s="6" t="n">
        <v>8003</v>
      </c>
      <c r="G30" s="22" t="n">
        <v>0.007900000000000001</v>
      </c>
      <c r="H30" s="21" t="n">
        <v>17941</v>
      </c>
    </row>
    <row r="31">
      <c r="A31" s="20" t="n">
        <v>45866</v>
      </c>
      <c r="B31" s="4" t="inlineStr">
        <is>
          <t>月</t>
        </is>
      </c>
      <c r="C31" s="4" t="inlineStr">
        <is>
          <t>平常日</t>
        </is>
      </c>
      <c r="D31" s="21" t="n">
        <v>493300</v>
      </c>
      <c r="E31" s="6" t="n">
        <v>35</v>
      </c>
      <c r="F31" s="6" t="n">
        <v>7241</v>
      </c>
      <c r="G31" s="22" t="n">
        <v>0.0048</v>
      </c>
      <c r="H31" s="21" t="n">
        <v>14094</v>
      </c>
    </row>
    <row r="32">
      <c r="A32" s="20" t="n">
        <v>45867</v>
      </c>
      <c r="B32" s="4" t="inlineStr">
        <is>
          <t>火</t>
        </is>
      </c>
      <c r="C32" s="4" t="inlineStr">
        <is>
          <t>平常日</t>
        </is>
      </c>
      <c r="D32" s="21" t="n">
        <v>666122</v>
      </c>
      <c r="E32" s="6" t="n">
        <v>38</v>
      </c>
      <c r="F32" s="6" t="n">
        <v>5438</v>
      </c>
      <c r="G32" s="22" t="n">
        <v>0.006999999999999999</v>
      </c>
      <c r="H32" s="21" t="n">
        <v>17530</v>
      </c>
    </row>
    <row r="33">
      <c r="A33" s="20" t="n">
        <v>45868</v>
      </c>
      <c r="B33" s="4" t="inlineStr">
        <is>
          <t>水</t>
        </is>
      </c>
      <c r="C33" s="4" t="inlineStr">
        <is>
          <t>5と0のつく日</t>
        </is>
      </c>
      <c r="D33" s="21" t="n">
        <v>1019265</v>
      </c>
      <c r="E33" s="6" t="n">
        <v>49</v>
      </c>
      <c r="F33" s="6" t="n">
        <v>4445</v>
      </c>
      <c r="G33" s="22" t="n">
        <v>0.011</v>
      </c>
      <c r="H33" s="21" t="n">
        <v>20801</v>
      </c>
    </row>
    <row r="34">
      <c r="A34" s="20" t="n">
        <v>45869</v>
      </c>
      <c r="B34" s="4" t="inlineStr">
        <is>
          <t>木</t>
        </is>
      </c>
      <c r="C34" s="4" t="inlineStr">
        <is>
          <t>平常日</t>
        </is>
      </c>
      <c r="D34" s="21" t="n">
        <v>553840</v>
      </c>
      <c r="E34" s="6" t="n">
        <v>28</v>
      </c>
      <c r="F34" s="6" t="n">
        <v>4251</v>
      </c>
      <c r="G34" s="22" t="n">
        <v>0.0066</v>
      </c>
      <c r="H34" s="21" t="n">
        <v>19780</v>
      </c>
    </row>
    <row r="35">
      <c r="A35" s="20" t="n">
        <v>45870</v>
      </c>
      <c r="B35" s="4" t="inlineStr">
        <is>
          <t>金</t>
        </is>
      </c>
      <c r="C35" s="4" t="inlineStr">
        <is>
          <t>ワンダフルデー</t>
        </is>
      </c>
      <c r="D35" s="21" t="n">
        <v>1125695</v>
      </c>
      <c r="E35" s="6" t="n">
        <v>47</v>
      </c>
      <c r="F35" s="6" t="n">
        <v>5632</v>
      </c>
      <c r="G35" s="22" t="n">
        <v>0.0083</v>
      </c>
      <c r="H35" s="21" t="n">
        <v>23951</v>
      </c>
    </row>
    <row r="36">
      <c r="A36" s="20" t="n">
        <v>45871</v>
      </c>
      <c r="B36" s="4" t="inlineStr">
        <is>
          <t>土</t>
        </is>
      </c>
      <c r="C36" s="4" t="inlineStr">
        <is>
          <t>平常日</t>
        </is>
      </c>
      <c r="D36" s="21" t="n">
        <v>724686</v>
      </c>
      <c r="E36" s="6" t="n">
        <v>36</v>
      </c>
      <c r="F36" s="6" t="n">
        <v>6096</v>
      </c>
      <c r="G36" s="22" t="n">
        <v>0.0059</v>
      </c>
      <c r="H36" s="21" t="n">
        <v>20130</v>
      </c>
    </row>
    <row r="37">
      <c r="A37" s="20" t="n">
        <v>45872</v>
      </c>
      <c r="B37" s="4" t="inlineStr">
        <is>
          <t>日</t>
        </is>
      </c>
      <c r="C37" s="4" t="inlineStr">
        <is>
          <t>平常日</t>
        </is>
      </c>
      <c r="D37" s="21" t="n">
        <v>1066218</v>
      </c>
      <c r="E37" s="6" t="n">
        <v>48</v>
      </c>
      <c r="F37" s="6" t="n">
        <v>7162</v>
      </c>
      <c r="G37" s="22" t="n">
        <v>0.0067</v>
      </c>
      <c r="H37" s="21" t="n">
        <v>22213</v>
      </c>
    </row>
    <row r="38">
      <c r="A38" s="20" t="n">
        <v>45873</v>
      </c>
      <c r="B38" s="4" t="inlineStr">
        <is>
          <t>月</t>
        </is>
      </c>
      <c r="C38" s="4" t="inlineStr">
        <is>
          <t>お買い物マラソン(推定)</t>
        </is>
      </c>
      <c r="D38" s="21" t="n">
        <v>436723</v>
      </c>
      <c r="E38" s="6" t="n">
        <v>24</v>
      </c>
      <c r="F38" s="6" t="n">
        <v>6553</v>
      </c>
      <c r="G38" s="22" t="n">
        <v>0.0037</v>
      </c>
      <c r="H38" s="21" t="n">
        <v>18197</v>
      </c>
    </row>
    <row r="39">
      <c r="A39" s="20" t="n">
        <v>45874</v>
      </c>
      <c r="B39" s="4" t="inlineStr">
        <is>
          <t>火</t>
        </is>
      </c>
      <c r="C39" s="4" t="inlineStr">
        <is>
          <t>お買い物マラソン(推定)</t>
        </is>
      </c>
      <c r="D39" s="21" t="n">
        <v>1459255</v>
      </c>
      <c r="E39" s="6" t="n">
        <v>72</v>
      </c>
      <c r="F39" s="6" t="n">
        <v>6726</v>
      </c>
      <c r="G39" s="22" t="n">
        <v>0.0107</v>
      </c>
      <c r="H39" s="21" t="n">
        <v>20267</v>
      </c>
    </row>
    <row r="40">
      <c r="A40" s="20" t="n">
        <v>45875</v>
      </c>
      <c r="B40" s="4" t="inlineStr">
        <is>
          <t>水</t>
        </is>
      </c>
      <c r="C40" s="4" t="inlineStr">
        <is>
          <t>お買い物マラソン(推定)</t>
        </is>
      </c>
      <c r="D40" s="21" t="n">
        <v>841315</v>
      </c>
      <c r="E40" s="6" t="n">
        <v>35</v>
      </c>
      <c r="F40" s="6" t="n">
        <v>6605</v>
      </c>
      <c r="G40" s="22" t="n">
        <v>0.0053</v>
      </c>
      <c r="H40" s="21" t="n">
        <v>24038</v>
      </c>
    </row>
    <row r="41">
      <c r="A41" s="20" t="n">
        <v>45876</v>
      </c>
      <c r="B41" s="4" t="inlineStr">
        <is>
          <t>木</t>
        </is>
      </c>
      <c r="C41" s="4" t="inlineStr">
        <is>
          <t>お買い物マラソン(推定)</t>
        </is>
      </c>
      <c r="D41" s="21" t="n">
        <v>861840</v>
      </c>
      <c r="E41" s="6" t="n">
        <v>40</v>
      </c>
      <c r="F41" s="6" t="n">
        <v>5788</v>
      </c>
      <c r="G41" s="22" t="n">
        <v>0.0069</v>
      </c>
      <c r="H41" s="21" t="n">
        <v>21546</v>
      </c>
    </row>
    <row r="42">
      <c r="A42" s="20" t="n">
        <v>45877</v>
      </c>
      <c r="B42" s="4" t="inlineStr">
        <is>
          <t>金</t>
        </is>
      </c>
      <c r="C42" s="4" t="inlineStr">
        <is>
          <t>お買い物マラソン(推定)</t>
        </is>
      </c>
      <c r="D42" s="21" t="n">
        <v>528814</v>
      </c>
      <c r="E42" s="6" t="n">
        <v>21</v>
      </c>
      <c r="F42" s="6" t="n">
        <v>4782</v>
      </c>
      <c r="G42" s="22" t="n">
        <v>0.0044</v>
      </c>
      <c r="H42" s="21" t="n">
        <v>25182</v>
      </c>
    </row>
    <row r="43">
      <c r="A43" s="20" t="n">
        <v>45878</v>
      </c>
      <c r="B43" s="4" t="inlineStr">
        <is>
          <t>土</t>
        </is>
      </c>
      <c r="C43" s="4" t="inlineStr">
        <is>
          <t>お買い物マラソン(推定)</t>
        </is>
      </c>
      <c r="D43" s="21" t="n">
        <v>592829</v>
      </c>
      <c r="E43" s="6" t="n">
        <v>23</v>
      </c>
      <c r="F43" s="6" t="n">
        <v>6189</v>
      </c>
      <c r="G43" s="22" t="n">
        <v>0.0037</v>
      </c>
      <c r="H43" s="21" t="n">
        <v>25775</v>
      </c>
    </row>
    <row r="44">
      <c r="A44" s="20" t="n">
        <v>45879</v>
      </c>
      <c r="B44" s="4" t="inlineStr">
        <is>
          <t>日</t>
        </is>
      </c>
      <c r="C44" s="4" t="inlineStr">
        <is>
          <t>お買い物マラソン(推定)</t>
        </is>
      </c>
      <c r="D44" s="21" t="n">
        <v>1635357</v>
      </c>
      <c r="E44" s="6" t="n">
        <v>56</v>
      </c>
      <c r="F44" s="6" t="n">
        <v>7304</v>
      </c>
      <c r="G44" s="22" t="n">
        <v>0.0077</v>
      </c>
      <c r="H44" s="21" t="n">
        <v>29203</v>
      </c>
    </row>
    <row r="45">
      <c r="A45" s="20" t="n">
        <v>45880</v>
      </c>
      <c r="B45" s="4" t="inlineStr">
        <is>
          <t>月</t>
        </is>
      </c>
      <c r="C45" s="4" t="inlineStr">
        <is>
          <t>お買い物マラソン(推定)</t>
        </is>
      </c>
      <c r="D45" s="21" t="n">
        <v>452850</v>
      </c>
      <c r="E45" s="6" t="n">
        <v>19</v>
      </c>
      <c r="F45" s="6" t="n">
        <v>5293</v>
      </c>
      <c r="G45" s="22" t="n">
        <v>0.0036</v>
      </c>
      <c r="H45" s="21" t="n">
        <v>23834</v>
      </c>
    </row>
    <row r="46">
      <c r="A46" s="20" t="n">
        <v>45881</v>
      </c>
      <c r="B46" s="4" t="inlineStr">
        <is>
          <t>火</t>
        </is>
      </c>
      <c r="C46" s="4" t="inlineStr">
        <is>
          <t>平常日</t>
        </is>
      </c>
      <c r="D46" s="21" t="n">
        <v>377079</v>
      </c>
      <c r="E46" s="6" t="n">
        <v>13</v>
      </c>
      <c r="F46" s="6" t="n">
        <v>6411</v>
      </c>
      <c r="G46" s="22" t="n">
        <v>0.002</v>
      </c>
      <c r="H46" s="21" t="n">
        <v>29006</v>
      </c>
    </row>
    <row r="47">
      <c r="A47" s="20" t="n">
        <v>45882</v>
      </c>
      <c r="B47" s="4" t="inlineStr">
        <is>
          <t>水</t>
        </is>
      </c>
      <c r="C47" s="4" t="inlineStr">
        <is>
          <t>平常日</t>
        </is>
      </c>
      <c r="D47" s="21" t="n">
        <v>511537</v>
      </c>
      <c r="E47" s="6" t="n">
        <v>19</v>
      </c>
      <c r="F47" s="6" t="n">
        <v>7911</v>
      </c>
      <c r="G47" s="22" t="n">
        <v>0.0024</v>
      </c>
      <c r="H47" s="21" t="n">
        <v>26923</v>
      </c>
    </row>
    <row r="48">
      <c r="A48" s="20" t="n">
        <v>45883</v>
      </c>
      <c r="B48" s="4" t="inlineStr">
        <is>
          <t>木</t>
        </is>
      </c>
      <c r="C48" s="4" t="inlineStr">
        <is>
          <t>平常日</t>
        </is>
      </c>
      <c r="D48" s="21" t="n">
        <v>662067</v>
      </c>
      <c r="E48" s="6" t="n">
        <v>23</v>
      </c>
      <c r="F48" s="6" t="n">
        <v>7593</v>
      </c>
      <c r="G48" s="22" t="n">
        <v>0.003</v>
      </c>
      <c r="H48" s="21" t="n">
        <v>28786</v>
      </c>
    </row>
    <row r="49">
      <c r="A49" s="20" t="n">
        <v>45884</v>
      </c>
      <c r="B49" s="4" t="inlineStr">
        <is>
          <t>金</t>
        </is>
      </c>
      <c r="C49" s="4" t="inlineStr">
        <is>
          <t>5と0のつく日</t>
        </is>
      </c>
      <c r="D49" s="21" t="n">
        <v>1041018</v>
      </c>
      <c r="E49" s="6" t="n">
        <v>37</v>
      </c>
      <c r="F49" s="6" t="n">
        <v>7401</v>
      </c>
      <c r="G49" s="22" t="n">
        <v>0.005</v>
      </c>
      <c r="H49" s="21" t="n">
        <v>28136</v>
      </c>
    </row>
    <row r="50">
      <c r="A50" s="20" t="n">
        <v>45885</v>
      </c>
      <c r="B50" s="4" t="inlineStr">
        <is>
          <t>土</t>
        </is>
      </c>
      <c r="C50" s="4" t="inlineStr">
        <is>
          <t>平常日</t>
        </is>
      </c>
      <c r="D50" s="21" t="n">
        <v>618958</v>
      </c>
      <c r="E50" s="6" t="n">
        <v>22</v>
      </c>
      <c r="F50" s="6" t="n">
        <v>7551</v>
      </c>
      <c r="G50" s="22" t="n">
        <v>0.0029</v>
      </c>
      <c r="H50" s="21" t="n">
        <v>28134</v>
      </c>
    </row>
    <row r="51">
      <c r="A51" s="20" t="n">
        <v>45886</v>
      </c>
      <c r="B51" s="4" t="inlineStr">
        <is>
          <t>日</t>
        </is>
      </c>
      <c r="C51" s="4" t="inlineStr">
        <is>
          <t>平常日</t>
        </is>
      </c>
      <c r="D51" s="21" t="n">
        <v>605479</v>
      </c>
      <c r="E51" s="6" t="n">
        <v>21</v>
      </c>
      <c r="F51" s="6" t="n">
        <v>7404</v>
      </c>
      <c r="G51" s="22" t="n">
        <v>0.0028</v>
      </c>
      <c r="H51" s="21" t="n">
        <v>28832</v>
      </c>
    </row>
    <row r="52">
      <c r="A52" s="20" t="n">
        <v>45887</v>
      </c>
      <c r="B52" s="4" t="inlineStr">
        <is>
          <t>月</t>
        </is>
      </c>
      <c r="C52" s="4" t="inlineStr">
        <is>
          <t>平常日</t>
        </is>
      </c>
      <c r="D52" s="21" t="n">
        <v>811258</v>
      </c>
      <c r="E52" s="6" t="n">
        <v>29</v>
      </c>
      <c r="F52" s="6" t="n">
        <v>6265</v>
      </c>
      <c r="G52" s="22" t="n">
        <v>0.0046</v>
      </c>
      <c r="H52" s="21" t="n">
        <v>27974</v>
      </c>
    </row>
    <row r="53">
      <c r="A53" s="20" t="n">
        <v>45888</v>
      </c>
      <c r="B53" s="4" t="inlineStr">
        <is>
          <t>火</t>
        </is>
      </c>
      <c r="C53" s="4" t="inlineStr">
        <is>
          <t>平常日</t>
        </is>
      </c>
      <c r="D53" s="21" t="n">
        <v>640677</v>
      </c>
      <c r="E53" s="6" t="n">
        <v>25</v>
      </c>
      <c r="F53" s="6" t="n">
        <v>5043</v>
      </c>
      <c r="G53" s="22" t="n">
        <v>0.005</v>
      </c>
      <c r="H53" s="21" t="n">
        <v>25627</v>
      </c>
    </row>
    <row r="54">
      <c r="A54" s="20" t="n">
        <v>45889</v>
      </c>
      <c r="B54" s="4" t="inlineStr">
        <is>
          <t>水</t>
        </is>
      </c>
      <c r="C54" s="4" t="inlineStr">
        <is>
          <t>5と0のつく日</t>
        </is>
      </c>
      <c r="D54" s="21" t="n">
        <v>967857</v>
      </c>
      <c r="E54" s="6" t="n">
        <v>42</v>
      </c>
      <c r="F54" s="6" t="n">
        <v>4049</v>
      </c>
      <c r="G54" s="22" t="n">
        <v>0.0104</v>
      </c>
      <c r="H54" s="21" t="n">
        <v>23044</v>
      </c>
    </row>
    <row r="55">
      <c r="A55" s="20" t="n">
        <v>45890</v>
      </c>
      <c r="B55" s="4" t="inlineStr">
        <is>
          <t>木</t>
        </is>
      </c>
      <c r="C55" s="4" t="inlineStr">
        <is>
          <t>平常日</t>
        </is>
      </c>
      <c r="D55" s="21" t="n">
        <v>753037</v>
      </c>
      <c r="E55" s="6" t="n">
        <v>27</v>
      </c>
      <c r="F55" s="6" t="n">
        <v>3827</v>
      </c>
      <c r="G55" s="22" t="n">
        <v>0.0071</v>
      </c>
      <c r="H55" s="21" t="n">
        <v>27890</v>
      </c>
    </row>
    <row r="56">
      <c r="A56" s="20" t="n">
        <v>45891</v>
      </c>
      <c r="B56" s="4" t="inlineStr">
        <is>
          <t>金</t>
        </is>
      </c>
      <c r="C56" s="4" t="inlineStr">
        <is>
          <t>平常日</t>
        </is>
      </c>
      <c r="D56" s="21" t="n">
        <v>210634</v>
      </c>
      <c r="E56" s="6" t="n">
        <v>11</v>
      </c>
      <c r="F56" s="6" t="n">
        <v>3641</v>
      </c>
      <c r="G56" s="22" t="n">
        <v>0.003</v>
      </c>
      <c r="H56" s="21" t="n">
        <v>19149</v>
      </c>
    </row>
    <row r="57">
      <c r="A57" s="20" t="n">
        <v>45892</v>
      </c>
      <c r="B57" s="4" t="inlineStr">
        <is>
          <t>土</t>
        </is>
      </c>
      <c r="C57" s="4" t="inlineStr">
        <is>
          <t>平常日</t>
        </is>
      </c>
      <c r="D57" s="21" t="n">
        <v>372762</v>
      </c>
      <c r="E57" s="6" t="n">
        <v>16</v>
      </c>
      <c r="F57" s="6" t="n">
        <v>3664</v>
      </c>
      <c r="G57" s="22" t="n">
        <v>0.0044</v>
      </c>
      <c r="H57" s="21" t="n">
        <v>23298</v>
      </c>
    </row>
    <row r="58">
      <c r="A58" s="20" t="n">
        <v>45893</v>
      </c>
      <c r="B58" s="4" t="inlineStr">
        <is>
          <t>日</t>
        </is>
      </c>
      <c r="C58" s="4" t="inlineStr">
        <is>
          <t>平常日</t>
        </is>
      </c>
      <c r="D58" s="21" t="n">
        <v>854444</v>
      </c>
      <c r="E58" s="6" t="n">
        <v>33</v>
      </c>
      <c r="F58" s="6" t="n">
        <v>4431</v>
      </c>
      <c r="G58" s="22" t="n">
        <v>0.0074</v>
      </c>
      <c r="H58" s="21" t="n">
        <v>25892</v>
      </c>
    </row>
    <row r="59">
      <c r="A59" s="20" t="n">
        <v>45894</v>
      </c>
      <c r="B59" s="4" t="inlineStr">
        <is>
          <t>月</t>
        </is>
      </c>
      <c r="C59" s="4" t="inlineStr">
        <is>
          <t>5と0のつく日</t>
        </is>
      </c>
      <c r="D59" s="21" t="n">
        <v>2767473</v>
      </c>
      <c r="E59" s="6" t="n">
        <v>100</v>
      </c>
      <c r="F59" s="6" t="n">
        <v>14837</v>
      </c>
      <c r="G59" s="22" t="n">
        <v>0.0067</v>
      </c>
      <c r="H59" s="21" t="n">
        <v>27675</v>
      </c>
    </row>
    <row r="60">
      <c r="A60" s="20" t="n">
        <v>45895</v>
      </c>
      <c r="B60" s="4" t="inlineStr">
        <is>
          <t>火</t>
        </is>
      </c>
      <c r="C60" s="4" t="inlineStr">
        <is>
          <t>平常日</t>
        </is>
      </c>
      <c r="D60" s="21" t="n">
        <v>1632653</v>
      </c>
      <c r="E60" s="6" t="n">
        <v>61</v>
      </c>
      <c r="F60" s="6" t="n">
        <v>11462</v>
      </c>
      <c r="G60" s="22" t="n">
        <v>0.0053</v>
      </c>
      <c r="H60" s="21" t="n">
        <v>26765</v>
      </c>
    </row>
    <row r="61">
      <c r="A61" s="20" t="n">
        <v>45896</v>
      </c>
      <c r="B61" s="4" t="inlineStr">
        <is>
          <t>水</t>
        </is>
      </c>
      <c r="C61" s="4" t="inlineStr">
        <is>
          <t>平常日</t>
        </is>
      </c>
      <c r="D61" s="21" t="n">
        <v>1026659</v>
      </c>
      <c r="E61" s="6" t="n">
        <v>35</v>
      </c>
      <c r="F61" s="6" t="n">
        <v>6233</v>
      </c>
      <c r="G61" s="22" t="n">
        <v>0.005600000000000001</v>
      </c>
      <c r="H61" s="21" t="n">
        <v>29333</v>
      </c>
    </row>
    <row r="62">
      <c r="A62" s="20" t="n">
        <v>45897</v>
      </c>
      <c r="B62" s="4" t="inlineStr">
        <is>
          <t>木</t>
        </is>
      </c>
      <c r="C62" s="4" t="inlineStr">
        <is>
          <t>平常日</t>
        </is>
      </c>
      <c r="D62" s="21" t="n">
        <v>587901</v>
      </c>
      <c r="E62" s="6" t="n">
        <v>23</v>
      </c>
      <c r="F62" s="6" t="n">
        <v>5049</v>
      </c>
      <c r="G62" s="22" t="n">
        <v>0.0046</v>
      </c>
      <c r="H62" s="21" t="n">
        <v>25561</v>
      </c>
    </row>
    <row r="63">
      <c r="A63" s="20" t="n">
        <v>45898</v>
      </c>
      <c r="B63" s="4" t="inlineStr">
        <is>
          <t>金</t>
        </is>
      </c>
      <c r="C63" s="4" t="inlineStr">
        <is>
          <t>平常日</t>
        </is>
      </c>
      <c r="D63" s="21" t="n">
        <v>349758</v>
      </c>
      <c r="E63" s="6" t="n">
        <v>13</v>
      </c>
      <c r="F63" s="6" t="n">
        <v>3929</v>
      </c>
      <c r="G63" s="22" t="n">
        <v>0.0033</v>
      </c>
      <c r="H63" s="21" t="n">
        <v>26904</v>
      </c>
    </row>
    <row r="64">
      <c r="A64" s="20" t="n">
        <v>45899</v>
      </c>
      <c r="B64" s="4" t="inlineStr">
        <is>
          <t>土</t>
        </is>
      </c>
      <c r="C64" s="4" t="inlineStr">
        <is>
          <t>5と0のつく日</t>
        </is>
      </c>
      <c r="D64" s="21" t="n">
        <v>819172</v>
      </c>
      <c r="E64" s="6" t="n">
        <v>26</v>
      </c>
      <c r="F64" s="6" t="n">
        <v>4838</v>
      </c>
      <c r="G64" s="22" t="n">
        <v>0.0054</v>
      </c>
      <c r="H64" s="21" t="n">
        <v>31507</v>
      </c>
    </row>
    <row r="65">
      <c r="A65" s="20" t="n">
        <v>45900</v>
      </c>
      <c r="B65" s="4" t="inlineStr">
        <is>
          <t>日</t>
        </is>
      </c>
      <c r="C65" s="4" t="inlineStr">
        <is>
          <t>平常日</t>
        </is>
      </c>
      <c r="D65" s="21" t="n">
        <v>989951</v>
      </c>
      <c r="E65" s="6" t="n">
        <v>34</v>
      </c>
      <c r="F65" s="6" t="n">
        <v>5029</v>
      </c>
      <c r="G65" s="22" t="n">
        <v>0.0068</v>
      </c>
      <c r="H65" s="21" t="n">
        <v>29116</v>
      </c>
    </row>
    <row r="66">
      <c r="A66" s="20" t="n">
        <v>45901</v>
      </c>
      <c r="B66" s="4" t="inlineStr">
        <is>
          <t>月</t>
        </is>
      </c>
      <c r="C66" s="4" t="inlineStr">
        <is>
          <t>ワンダフルデー</t>
        </is>
      </c>
      <c r="D66" s="21" t="n">
        <v>1376107</v>
      </c>
      <c r="E66" s="6" t="n">
        <v>49</v>
      </c>
      <c r="F66" s="6" t="n">
        <v>4689</v>
      </c>
      <c r="G66" s="22" t="n">
        <v>0.0104</v>
      </c>
      <c r="H66" s="21" t="n">
        <v>28084</v>
      </c>
    </row>
    <row r="67">
      <c r="A67" s="20" t="n">
        <v>45902</v>
      </c>
      <c r="B67" s="4" t="inlineStr">
        <is>
          <t>火</t>
        </is>
      </c>
      <c r="C67" s="4" t="inlineStr">
        <is>
          <t>平常日</t>
        </is>
      </c>
      <c r="D67" s="21" t="n">
        <v>234419</v>
      </c>
      <c r="E67" s="6" t="n">
        <v>9</v>
      </c>
      <c r="F67" s="6" t="n">
        <v>2016</v>
      </c>
      <c r="G67" s="22" t="n">
        <v>0.004500000000000001</v>
      </c>
      <c r="H67" s="21" t="n">
        <v>26047</v>
      </c>
    </row>
    <row r="68">
      <c r="A68" s="20" t="n">
        <v>45903</v>
      </c>
      <c r="B68" s="4" t="inlineStr">
        <is>
          <t>水</t>
        </is>
      </c>
      <c r="C68" s="4" t="inlineStr">
        <is>
          <t>平常日</t>
        </is>
      </c>
      <c r="D68" s="21" t="n">
        <v>458863</v>
      </c>
      <c r="E68" s="6" t="n">
        <v>16</v>
      </c>
      <c r="F68" s="6" t="n">
        <v>2512</v>
      </c>
      <c r="G68" s="22" t="n">
        <v>0.0064</v>
      </c>
      <c r="H68" s="21" t="n">
        <v>28679</v>
      </c>
    </row>
    <row r="69">
      <c r="A69" s="20" t="n">
        <v>45904</v>
      </c>
      <c r="B69" s="4" t="inlineStr">
        <is>
          <t>木</t>
        </is>
      </c>
      <c r="C69" s="4" t="inlineStr">
        <is>
          <t>スーパーSALE</t>
        </is>
      </c>
      <c r="D69" s="21" t="n">
        <v>1909672</v>
      </c>
      <c r="E69" s="6" t="n">
        <v>65</v>
      </c>
      <c r="F69" s="6" t="n">
        <v>6276</v>
      </c>
      <c r="G69" s="22" t="n">
        <v>0.0104</v>
      </c>
      <c r="H69" s="21" t="n">
        <v>29380</v>
      </c>
    </row>
    <row r="70">
      <c r="A70" s="20" t="n">
        <v>45905</v>
      </c>
      <c r="B70" s="4" t="inlineStr">
        <is>
          <t>金</t>
        </is>
      </c>
      <c r="C70" s="4" t="inlineStr">
        <is>
          <t>スーパーSALE</t>
        </is>
      </c>
      <c r="D70" s="21" t="n">
        <v>3193777</v>
      </c>
      <c r="E70" s="6" t="n">
        <v>107</v>
      </c>
      <c r="F70" s="6" t="n">
        <v>6362</v>
      </c>
      <c r="G70" s="22" t="n">
        <v>0.0168</v>
      </c>
      <c r="H70" s="21" t="n">
        <v>29848</v>
      </c>
    </row>
    <row r="71">
      <c r="A71" s="20" t="n">
        <v>45906</v>
      </c>
      <c r="B71" s="4" t="inlineStr">
        <is>
          <t>土</t>
        </is>
      </c>
      <c r="C71" s="4" t="inlineStr">
        <is>
          <t>スーパーSALE</t>
        </is>
      </c>
      <c r="D71" s="21" t="n">
        <v>1411120</v>
      </c>
      <c r="E71" s="6" t="n">
        <v>48</v>
      </c>
      <c r="F71" s="6" t="n">
        <v>6068</v>
      </c>
      <c r="G71" s="22" t="n">
        <v>0.007900000000000001</v>
      </c>
      <c r="H71" s="21" t="n">
        <v>29398</v>
      </c>
    </row>
    <row r="72">
      <c r="A72" s="20" t="n">
        <v>45907</v>
      </c>
      <c r="B72" s="4" t="inlineStr">
        <is>
          <t>日</t>
        </is>
      </c>
      <c r="C72" s="4" t="inlineStr">
        <is>
          <t>スーパーSALE</t>
        </is>
      </c>
      <c r="D72" s="21" t="n">
        <v>1225137</v>
      </c>
      <c r="E72" s="6" t="n">
        <v>42</v>
      </c>
      <c r="F72" s="6" t="n">
        <v>7171</v>
      </c>
      <c r="G72" s="22" t="n">
        <v>0.0059</v>
      </c>
      <c r="H72" s="21" t="n">
        <v>29170</v>
      </c>
    </row>
    <row r="73">
      <c r="A73" s="20" t="n">
        <v>45908</v>
      </c>
      <c r="B73" s="4" t="inlineStr">
        <is>
          <t>月</t>
        </is>
      </c>
      <c r="C73" s="4" t="inlineStr">
        <is>
          <t>スーパーSALE</t>
        </is>
      </c>
      <c r="D73" s="21" t="n">
        <v>1092437</v>
      </c>
      <c r="E73" s="6" t="n">
        <v>38</v>
      </c>
      <c r="F73" s="6" t="n">
        <v>5341</v>
      </c>
      <c r="G73" s="22" t="n">
        <v>0.0071</v>
      </c>
      <c r="H73" s="21" t="n">
        <v>28748</v>
      </c>
    </row>
    <row r="74">
      <c r="A74" s="20" t="n">
        <v>45909</v>
      </c>
      <c r="B74" s="4" t="inlineStr">
        <is>
          <t>火</t>
        </is>
      </c>
      <c r="C74" s="4" t="inlineStr">
        <is>
          <t>スーパーSALE</t>
        </is>
      </c>
      <c r="D74" s="21" t="n">
        <v>868780</v>
      </c>
      <c r="E74" s="6" t="n">
        <v>28</v>
      </c>
      <c r="F74" s="6" t="n">
        <v>6990</v>
      </c>
      <c r="G74" s="22" t="n">
        <v>0.004</v>
      </c>
      <c r="H74" s="21" t="n">
        <v>31028</v>
      </c>
    </row>
    <row r="75">
      <c r="A75" s="20" t="n">
        <v>45910</v>
      </c>
      <c r="B75" s="4" t="inlineStr">
        <is>
          <t>水</t>
        </is>
      </c>
      <c r="C75" s="4" t="inlineStr">
        <is>
          <t>スーパーSALE</t>
        </is>
      </c>
      <c r="D75" s="21" t="n">
        <v>2682401</v>
      </c>
      <c r="E75" s="6" t="n">
        <v>92</v>
      </c>
      <c r="F75" s="6" t="n">
        <v>8567</v>
      </c>
      <c r="G75" s="22" t="n">
        <v>0.0107</v>
      </c>
      <c r="H75" s="21" t="n">
        <v>29157</v>
      </c>
    </row>
    <row r="76">
      <c r="A76" s="20" t="n">
        <v>45911</v>
      </c>
      <c r="B76" s="4" t="inlineStr">
        <is>
          <t>木</t>
        </is>
      </c>
      <c r="C76" s="4" t="inlineStr">
        <is>
          <t>スーパーSALE</t>
        </is>
      </c>
      <c r="D76" s="21" t="n">
        <v>728200</v>
      </c>
      <c r="E76" s="6" t="n">
        <v>22</v>
      </c>
      <c r="F76" s="6" t="n">
        <v>7167</v>
      </c>
      <c r="G76" s="22" t="n">
        <v>0.0031</v>
      </c>
      <c r="H76" s="21" t="n">
        <v>33100</v>
      </c>
    </row>
    <row r="77">
      <c r="A77" s="20" t="n">
        <v>45912</v>
      </c>
      <c r="B77" s="4" t="inlineStr">
        <is>
          <t>金</t>
        </is>
      </c>
      <c r="C77" s="4" t="inlineStr">
        <is>
          <t>平常日</t>
        </is>
      </c>
      <c r="D77" s="21" t="n">
        <v>427200</v>
      </c>
      <c r="E77" s="6" t="n">
        <v>14</v>
      </c>
      <c r="F77" s="6" t="n">
        <v>6599</v>
      </c>
      <c r="G77" s="22" t="n">
        <v>0.0021</v>
      </c>
      <c r="H77" s="21" t="n">
        <v>30514</v>
      </c>
    </row>
    <row r="78">
      <c r="A78" s="20" t="n">
        <v>45913</v>
      </c>
      <c r="B78" s="4" t="inlineStr">
        <is>
          <t>土</t>
        </is>
      </c>
      <c r="C78" s="4" t="inlineStr">
        <is>
          <t>平常日</t>
        </is>
      </c>
      <c r="D78" s="21" t="n">
        <v>527528</v>
      </c>
      <c r="E78" s="6" t="n">
        <v>20</v>
      </c>
      <c r="F78" s="6" t="n">
        <v>8028</v>
      </c>
      <c r="G78" s="22" t="n">
        <v>0.0025</v>
      </c>
      <c r="H78" s="21" t="n">
        <v>26376</v>
      </c>
    </row>
    <row r="79">
      <c r="A79" s="20" t="n">
        <v>45914</v>
      </c>
      <c r="B79" s="4" t="inlineStr">
        <is>
          <t>日</t>
        </is>
      </c>
      <c r="C79" s="4" t="inlineStr">
        <is>
          <t>平常日</t>
        </is>
      </c>
      <c r="D79" s="21" t="n">
        <v>431040</v>
      </c>
      <c r="E79" s="6" t="n">
        <v>15</v>
      </c>
      <c r="F79" s="6" t="n">
        <v>8399</v>
      </c>
      <c r="G79" s="22" t="n">
        <v>0.0018</v>
      </c>
      <c r="H79" s="21" t="n">
        <v>28736</v>
      </c>
    </row>
    <row r="80">
      <c r="A80" s="20" t="n">
        <v>45915</v>
      </c>
      <c r="B80" s="4" t="inlineStr">
        <is>
          <t>月</t>
        </is>
      </c>
      <c r="C80" s="4" t="inlineStr">
        <is>
          <t>5と0のつく日</t>
        </is>
      </c>
      <c r="D80" s="21" t="n">
        <v>779960</v>
      </c>
      <c r="E80" s="6" t="n">
        <v>26</v>
      </c>
      <c r="F80" s="6" t="n">
        <v>8333</v>
      </c>
      <c r="G80" s="22" t="n">
        <v>0.0031</v>
      </c>
      <c r="H80" s="21" t="n">
        <v>29998</v>
      </c>
    </row>
    <row r="81">
      <c r="A81" s="20" t="n">
        <v>45916</v>
      </c>
      <c r="B81" s="4" t="inlineStr">
        <is>
          <t>火</t>
        </is>
      </c>
      <c r="C81" s="4" t="inlineStr">
        <is>
          <t>平常日</t>
        </is>
      </c>
      <c r="D81" s="21" t="n">
        <v>321800</v>
      </c>
      <c r="E81" s="6" t="n">
        <v>11</v>
      </c>
      <c r="F81" s="6" t="n">
        <v>7397</v>
      </c>
      <c r="G81" s="22" t="n">
        <v>0.0015</v>
      </c>
      <c r="H81" s="21" t="n">
        <v>29255</v>
      </c>
    </row>
    <row r="82">
      <c r="A82" s="20" t="n">
        <v>45917</v>
      </c>
      <c r="B82" s="4" t="inlineStr">
        <is>
          <t>水</t>
        </is>
      </c>
      <c r="C82" s="4" t="inlineStr">
        <is>
          <t>平常日</t>
        </is>
      </c>
      <c r="D82" s="21" t="n">
        <v>641300</v>
      </c>
      <c r="E82" s="6" t="n">
        <v>20</v>
      </c>
      <c r="F82" s="6" t="n">
        <v>7769</v>
      </c>
      <c r="G82" s="22" t="n">
        <v>0.0026</v>
      </c>
      <c r="H82" s="21" t="n">
        <v>32065</v>
      </c>
    </row>
    <row r="83">
      <c r="A83" s="20" t="n">
        <v>45918</v>
      </c>
      <c r="B83" s="4" t="inlineStr">
        <is>
          <t>木</t>
        </is>
      </c>
      <c r="C83" s="4" t="inlineStr">
        <is>
          <t>平常日</t>
        </is>
      </c>
      <c r="D83" s="21" t="n">
        <v>608500</v>
      </c>
      <c r="E83" s="6" t="n">
        <v>20</v>
      </c>
      <c r="F83" s="6" t="n">
        <v>7637</v>
      </c>
      <c r="G83" s="22" t="n">
        <v>0.0026</v>
      </c>
      <c r="H83" s="21" t="n">
        <v>30425</v>
      </c>
    </row>
    <row r="84">
      <c r="A84" s="20" t="n">
        <v>45919</v>
      </c>
      <c r="B84" s="4" t="inlineStr">
        <is>
          <t>金</t>
        </is>
      </c>
      <c r="C84" s="4" t="inlineStr">
        <is>
          <t>平常日</t>
        </is>
      </c>
      <c r="D84" s="21" t="n">
        <v>590680</v>
      </c>
      <c r="E84" s="6" t="n">
        <v>19</v>
      </c>
      <c r="F84" s="6" t="n">
        <v>7575</v>
      </c>
      <c r="G84" s="22" t="n">
        <v>0.0025</v>
      </c>
      <c r="H84" s="21" t="n">
        <v>31088</v>
      </c>
    </row>
    <row r="85">
      <c r="A85" s="20" t="n">
        <v>45920</v>
      </c>
      <c r="B85" s="4" t="inlineStr">
        <is>
          <t>土</t>
        </is>
      </c>
      <c r="C85" s="4" t="inlineStr">
        <is>
          <t>5と0のつく日</t>
        </is>
      </c>
      <c r="D85" s="21" t="n">
        <v>1254580</v>
      </c>
      <c r="E85" s="6" t="n">
        <v>42</v>
      </c>
      <c r="F85" s="6" t="n">
        <v>8782</v>
      </c>
      <c r="G85" s="22" t="n">
        <v>0.0048</v>
      </c>
      <c r="H85" s="21" t="n">
        <v>29871</v>
      </c>
    </row>
    <row r="86">
      <c r="A86" s="20" t="n">
        <v>45921</v>
      </c>
      <c r="B86" s="4" t="inlineStr">
        <is>
          <t>日</t>
        </is>
      </c>
      <c r="C86" s="4" t="inlineStr">
        <is>
          <t>平常日</t>
        </is>
      </c>
      <c r="D86" s="21" t="n">
        <v>910600</v>
      </c>
      <c r="E86" s="6" t="n">
        <v>32</v>
      </c>
      <c r="F86" s="6" t="n">
        <v>9007</v>
      </c>
      <c r="G86" s="22" t="n">
        <v>0.0036</v>
      </c>
      <c r="H86" s="21" t="n">
        <v>28456</v>
      </c>
    </row>
    <row r="87">
      <c r="A87" s="20" t="n">
        <v>45922</v>
      </c>
      <c r="B87" s="4" t="inlineStr">
        <is>
          <t>月</t>
        </is>
      </c>
      <c r="C87" s="4" t="inlineStr">
        <is>
          <t>平常日</t>
        </is>
      </c>
      <c r="D87" s="21" t="n">
        <v>438000</v>
      </c>
      <c r="E87" s="6" t="n">
        <v>15</v>
      </c>
      <c r="F87" s="6" t="n">
        <v>8247</v>
      </c>
      <c r="G87" s="22" t="n">
        <v>0.0018</v>
      </c>
      <c r="H87" s="21" t="n">
        <v>29200</v>
      </c>
    </row>
    <row r="88">
      <c r="A88" s="20" t="n">
        <v>45923</v>
      </c>
      <c r="B88" s="4" t="inlineStr">
        <is>
          <t>火</t>
        </is>
      </c>
      <c r="C88" s="4" t="inlineStr">
        <is>
          <t>平常日</t>
        </is>
      </c>
      <c r="D88" s="21" t="n">
        <v>886700</v>
      </c>
      <c r="E88" s="6" t="n">
        <v>29</v>
      </c>
      <c r="F88" s="6" t="n">
        <v>8783</v>
      </c>
      <c r="G88" s="22" t="n">
        <v>0.0033</v>
      </c>
      <c r="H88" s="21" t="n">
        <v>30576</v>
      </c>
    </row>
    <row r="89">
      <c r="A89" s="20" t="n">
        <v>45924</v>
      </c>
      <c r="B89" s="4" t="inlineStr">
        <is>
          <t>水</t>
        </is>
      </c>
      <c r="C89" s="4" t="inlineStr">
        <is>
          <t>平常日</t>
        </is>
      </c>
      <c r="D89" s="21" t="n">
        <v>389880</v>
      </c>
      <c r="E89" s="6" t="n">
        <v>14</v>
      </c>
      <c r="F89" s="6" t="n">
        <v>7097</v>
      </c>
      <c r="G89" s="22" t="n">
        <v>0.002</v>
      </c>
      <c r="H89" s="21" t="n">
        <v>27849</v>
      </c>
    </row>
    <row r="90">
      <c r="A90" s="20" t="n">
        <v>45925</v>
      </c>
      <c r="B90" s="4" t="inlineStr">
        <is>
          <t>木</t>
        </is>
      </c>
      <c r="C90" s="4" t="inlineStr">
        <is>
          <t>5と0のつく日</t>
        </is>
      </c>
      <c r="D90" s="21" t="n">
        <v>505100</v>
      </c>
      <c r="E90" s="6" t="n">
        <v>17</v>
      </c>
      <c r="F90" s="6" t="n">
        <v>6795</v>
      </c>
      <c r="G90" s="22" t="n">
        <v>0.0025</v>
      </c>
      <c r="H90" s="21" t="n">
        <v>29712</v>
      </c>
    </row>
    <row r="91">
      <c r="A91" s="20" t="n">
        <v>45926</v>
      </c>
      <c r="B91" s="4" t="inlineStr">
        <is>
          <t>金</t>
        </is>
      </c>
      <c r="C91" s="4" t="inlineStr">
        <is>
          <t>平常日</t>
        </is>
      </c>
      <c r="D91" s="21" t="n">
        <v>147500</v>
      </c>
      <c r="E91" s="6" t="n">
        <v>5</v>
      </c>
      <c r="F91" s="6" t="n">
        <v>6484</v>
      </c>
      <c r="G91" s="22" t="n">
        <v>0.0008</v>
      </c>
      <c r="H91" s="21" t="n">
        <v>29500</v>
      </c>
    </row>
    <row r="92">
      <c r="A92" s="20" t="n">
        <v>45927</v>
      </c>
      <c r="B92" s="4" t="inlineStr">
        <is>
          <t>土</t>
        </is>
      </c>
      <c r="C92" s="4" t="inlineStr">
        <is>
          <t>平常日</t>
        </is>
      </c>
      <c r="D92" s="21" t="n">
        <v>346300</v>
      </c>
      <c r="E92" s="6" t="n">
        <v>10</v>
      </c>
      <c r="F92" s="6" t="n">
        <v>7396</v>
      </c>
      <c r="G92" s="22" t="n">
        <v>0.0014</v>
      </c>
      <c r="H92" s="21" t="n">
        <v>34630</v>
      </c>
    </row>
    <row r="93">
      <c r="A93" s="20" t="n">
        <v>45928</v>
      </c>
      <c r="B93" s="4" t="inlineStr">
        <is>
          <t>日</t>
        </is>
      </c>
      <c r="C93" s="4" t="inlineStr">
        <is>
          <t>平常日</t>
        </is>
      </c>
      <c r="D93" s="21" t="n">
        <v>432500</v>
      </c>
      <c r="E93" s="6" t="n">
        <v>15</v>
      </c>
      <c r="F93" s="6" t="n">
        <v>8058</v>
      </c>
      <c r="G93" s="22" t="n">
        <v>0.0019</v>
      </c>
      <c r="H93" s="21" t="n">
        <v>28833</v>
      </c>
    </row>
    <row r="94">
      <c r="A94" s="20" t="n">
        <v>45929</v>
      </c>
      <c r="B94" s="4" t="inlineStr">
        <is>
          <t>月</t>
        </is>
      </c>
      <c r="C94" s="4" t="inlineStr">
        <is>
          <t>平常日</t>
        </is>
      </c>
      <c r="D94" s="21" t="n">
        <v>350662</v>
      </c>
      <c r="E94" s="6" t="n">
        <v>12</v>
      </c>
      <c r="F94" s="6" t="n">
        <v>8112</v>
      </c>
      <c r="G94" s="22" t="n">
        <v>0.0015</v>
      </c>
      <c r="H94" s="21" t="n">
        <v>29222</v>
      </c>
    </row>
    <row r="95">
      <c r="A95" s="20" t="n">
        <v>45930</v>
      </c>
      <c r="B95" s="4" t="inlineStr">
        <is>
          <t>火</t>
        </is>
      </c>
      <c r="C95" s="4" t="inlineStr">
        <is>
          <t>5と0のつく日</t>
        </is>
      </c>
      <c r="D95" s="21" t="n">
        <v>434000</v>
      </c>
      <c r="E95" s="6" t="n">
        <v>15</v>
      </c>
      <c r="F95" s="6" t="n">
        <v>6542</v>
      </c>
      <c r="G95" s="22" t="n">
        <v>0.0023</v>
      </c>
      <c r="H95" s="21" t="n">
        <v>28933</v>
      </c>
    </row>
    <row r="96">
      <c r="A96" s="20" t="n">
        <v>45931</v>
      </c>
      <c r="B96" s="4" t="inlineStr">
        <is>
          <t>水</t>
        </is>
      </c>
      <c r="C96" s="4" t="inlineStr">
        <is>
          <t>ワンダフルデー</t>
        </is>
      </c>
      <c r="D96" s="21" t="n">
        <v>832380</v>
      </c>
      <c r="E96" s="6" t="n">
        <v>29</v>
      </c>
      <c r="F96" s="6" t="n">
        <v>3793</v>
      </c>
      <c r="G96" s="22" t="n">
        <v>0.0076</v>
      </c>
      <c r="H96" s="21" t="n">
        <v>28703</v>
      </c>
    </row>
    <row r="97">
      <c r="A97" s="20" t="n">
        <v>45932</v>
      </c>
      <c r="B97" s="4" t="inlineStr">
        <is>
          <t>木</t>
        </is>
      </c>
      <c r="C97" s="4" t="inlineStr">
        <is>
          <t>平常日</t>
        </is>
      </c>
      <c r="D97" s="21" t="n">
        <v>707380</v>
      </c>
      <c r="E97" s="6" t="n">
        <v>21</v>
      </c>
      <c r="F97" s="6" t="n">
        <v>4202</v>
      </c>
      <c r="G97" s="22" t="n">
        <v>0.005</v>
      </c>
      <c r="H97" s="21" t="n">
        <v>33685</v>
      </c>
    </row>
    <row r="98">
      <c r="A98" s="20" t="n">
        <v>45933</v>
      </c>
      <c r="B98" s="4" t="inlineStr">
        <is>
          <t>金</t>
        </is>
      </c>
      <c r="C98" s="4" t="inlineStr">
        <is>
          <t>平常日</t>
        </is>
      </c>
      <c r="D98" s="21" t="n">
        <v>285200</v>
      </c>
      <c r="E98" s="6" t="n">
        <v>9</v>
      </c>
      <c r="F98" s="6" t="n">
        <v>4471</v>
      </c>
      <c r="G98" s="22" t="n">
        <v>0.002</v>
      </c>
      <c r="H98" s="21" t="n">
        <v>31689</v>
      </c>
    </row>
    <row r="99">
      <c r="A99" s="20" t="n">
        <v>45934</v>
      </c>
      <c r="B99" s="4" t="inlineStr">
        <is>
          <t>土</t>
        </is>
      </c>
      <c r="C99" s="4" t="inlineStr">
        <is>
          <t>お買い物マラソン(推定)</t>
        </is>
      </c>
      <c r="D99" s="21" t="n">
        <v>402280</v>
      </c>
      <c r="E99" s="6" t="n">
        <v>14</v>
      </c>
      <c r="F99" s="6" t="n">
        <v>4393</v>
      </c>
      <c r="G99" s="22" t="n">
        <v>0.0032</v>
      </c>
      <c r="H99" s="21" t="n">
        <v>28734</v>
      </c>
    </row>
    <row r="100">
      <c r="A100" s="20" t="n">
        <v>45935</v>
      </c>
      <c r="B100" s="4" t="inlineStr">
        <is>
          <t>日</t>
        </is>
      </c>
      <c r="C100" s="4" t="inlineStr">
        <is>
          <t>お買い物マラソン(推定)</t>
        </is>
      </c>
      <c r="D100" s="21" t="n">
        <v>1467380</v>
      </c>
      <c r="E100" s="6" t="n">
        <v>47</v>
      </c>
      <c r="F100" s="6" t="n">
        <v>5165</v>
      </c>
      <c r="G100" s="22" t="n">
        <v>0.0091</v>
      </c>
      <c r="H100" s="21" t="n">
        <v>31221</v>
      </c>
    </row>
    <row r="101">
      <c r="A101" s="20" t="n">
        <v>45936</v>
      </c>
      <c r="B101" s="4" t="inlineStr">
        <is>
          <t>月</t>
        </is>
      </c>
      <c r="C101" s="4" t="inlineStr">
        <is>
          <t>お買い物マラソン(推定)</t>
        </is>
      </c>
      <c r="D101" s="21" t="n">
        <v>600040</v>
      </c>
      <c r="E101" s="6" t="n">
        <v>20</v>
      </c>
      <c r="F101" s="6" t="n">
        <v>3767</v>
      </c>
      <c r="G101" s="22" t="n">
        <v>0.0053</v>
      </c>
      <c r="H101" s="21" t="n">
        <v>30002</v>
      </c>
    </row>
    <row r="102">
      <c r="A102" s="20" t="n">
        <v>45937</v>
      </c>
      <c r="B102" s="4" t="inlineStr">
        <is>
          <t>火</t>
        </is>
      </c>
      <c r="C102" s="4" t="inlineStr">
        <is>
          <t>お買い物マラソン(推定)</t>
        </is>
      </c>
      <c r="D102" s="21" t="n">
        <v>472300</v>
      </c>
      <c r="E102" s="6" t="n">
        <v>16</v>
      </c>
      <c r="F102" s="6" t="n">
        <v>4339</v>
      </c>
      <c r="G102" s="22" t="n">
        <v>0.0037</v>
      </c>
      <c r="H102" s="21" t="n">
        <v>29519</v>
      </c>
    </row>
    <row r="103">
      <c r="A103" s="20" t="n">
        <v>45938</v>
      </c>
      <c r="B103" s="4" t="inlineStr">
        <is>
          <t>水</t>
        </is>
      </c>
      <c r="C103" s="4" t="inlineStr">
        <is>
          <t>お買い物マラソン(推定)</t>
        </is>
      </c>
      <c r="D103" s="21" t="n">
        <v>776500</v>
      </c>
      <c r="E103" s="6" t="n">
        <v>25</v>
      </c>
      <c r="F103" s="6" t="n">
        <v>4619</v>
      </c>
      <c r="G103" s="22" t="n">
        <v>0.0054</v>
      </c>
      <c r="H103" s="21" t="n">
        <v>31060</v>
      </c>
    </row>
    <row r="104">
      <c r="A104" s="20" t="n">
        <v>45939</v>
      </c>
      <c r="B104" s="4" t="inlineStr">
        <is>
          <t>木</t>
        </is>
      </c>
      <c r="C104" s="4" t="inlineStr">
        <is>
          <t>お買い物マラソン(推定)</t>
        </is>
      </c>
      <c r="D104" s="21" t="n">
        <v>566200</v>
      </c>
      <c r="E104" s="6" t="n">
        <v>19</v>
      </c>
      <c r="F104" s="6" t="n">
        <v>3624</v>
      </c>
      <c r="G104" s="22" t="n">
        <v>0.0052</v>
      </c>
      <c r="H104" s="21" t="n">
        <v>29800</v>
      </c>
    </row>
    <row r="105">
      <c r="A105" s="20" t="n">
        <v>45940</v>
      </c>
      <c r="B105" s="4" t="inlineStr">
        <is>
          <t>金</t>
        </is>
      </c>
      <c r="C105" s="4" t="inlineStr">
        <is>
          <t>お買い物マラソン(推定)</t>
        </is>
      </c>
      <c r="D105" s="21" t="n">
        <v>371590</v>
      </c>
      <c r="E105" s="6" t="n">
        <v>12</v>
      </c>
      <c r="F105" s="6" t="n">
        <v>3439</v>
      </c>
      <c r="G105" s="22" t="n">
        <v>0.0035</v>
      </c>
      <c r="H105" s="21" t="n">
        <v>30966</v>
      </c>
    </row>
    <row r="106">
      <c r="A106" s="20" t="n">
        <v>45941</v>
      </c>
      <c r="B106" s="4" t="inlineStr">
        <is>
          <t>土</t>
        </is>
      </c>
      <c r="C106" s="4" t="inlineStr">
        <is>
          <t>お買い物マラソン(推定)</t>
        </is>
      </c>
      <c r="D106" s="21" t="n">
        <v>506800</v>
      </c>
      <c r="E106" s="6" t="n">
        <v>16</v>
      </c>
      <c r="F106" s="6" t="n">
        <v>3938</v>
      </c>
      <c r="G106" s="22" t="n">
        <v>0.004099999999999999</v>
      </c>
      <c r="H106" s="21" t="n">
        <v>31675</v>
      </c>
    </row>
    <row r="107">
      <c r="A107" s="20" t="n">
        <v>45942</v>
      </c>
      <c r="B107" s="4" t="inlineStr">
        <is>
          <t>日</t>
        </is>
      </c>
      <c r="C107" s="4" t="inlineStr">
        <is>
          <t>平常日</t>
        </is>
      </c>
      <c r="D107" s="21" t="n">
        <v>164000</v>
      </c>
      <c r="E107" s="6" t="n">
        <v>5</v>
      </c>
      <c r="F107" s="6" t="n">
        <v>4123</v>
      </c>
      <c r="G107" s="22" t="n">
        <v>0.0012</v>
      </c>
      <c r="H107" s="21" t="n">
        <v>32800</v>
      </c>
    </row>
    <row r="108">
      <c r="A108" s="20" t="n">
        <v>45943</v>
      </c>
      <c r="B108" s="4" t="inlineStr">
        <is>
          <t>月</t>
        </is>
      </c>
      <c r="C108" s="4" t="inlineStr">
        <is>
          <t>平常日</t>
        </is>
      </c>
      <c r="D108" s="21" t="n">
        <v>299000</v>
      </c>
      <c r="E108" s="6" t="n">
        <v>10</v>
      </c>
      <c r="F108" s="6" t="n">
        <v>4212</v>
      </c>
      <c r="G108" s="22" t="n">
        <v>0.0024</v>
      </c>
      <c r="H108" s="21" t="n">
        <v>29900</v>
      </c>
    </row>
    <row r="109">
      <c r="A109" s="20" t="n">
        <v>45944</v>
      </c>
      <c r="B109" s="4" t="inlineStr">
        <is>
          <t>火</t>
        </is>
      </c>
      <c r="C109" s="4" t="inlineStr">
        <is>
          <t>平常日</t>
        </is>
      </c>
      <c r="D109" s="21" t="n">
        <v>441700</v>
      </c>
      <c r="E109" s="6" t="n">
        <v>14</v>
      </c>
      <c r="F109" s="6" t="n">
        <v>3895</v>
      </c>
      <c r="G109" s="22" t="n">
        <v>0.0036</v>
      </c>
      <c r="H109" s="21" t="n">
        <v>31550</v>
      </c>
    </row>
    <row r="110">
      <c r="A110" s="20" t="n">
        <v>45945</v>
      </c>
      <c r="B110" s="4" t="inlineStr">
        <is>
          <t>水</t>
        </is>
      </c>
      <c r="C110" s="4" t="inlineStr">
        <is>
          <t>5と0のつく日</t>
        </is>
      </c>
      <c r="D110" s="21" t="n">
        <v>851200</v>
      </c>
      <c r="E110" s="6" t="n">
        <v>29</v>
      </c>
      <c r="F110" s="6" t="n">
        <v>4052</v>
      </c>
      <c r="G110" s="22" t="n">
        <v>0.0072</v>
      </c>
      <c r="H110" s="21" t="n">
        <v>29352</v>
      </c>
    </row>
    <row r="111">
      <c r="A111" s="20" t="n">
        <v>45946</v>
      </c>
      <c r="B111" s="4" t="inlineStr">
        <is>
          <t>木</t>
        </is>
      </c>
      <c r="C111" s="4" t="inlineStr">
        <is>
          <t>平常日</t>
        </is>
      </c>
      <c r="D111" s="21" t="n">
        <v>516900</v>
      </c>
      <c r="E111" s="6" t="n">
        <v>18</v>
      </c>
      <c r="F111" s="6" t="n">
        <v>2588</v>
      </c>
      <c r="G111" s="22" t="n">
        <v>0.006999999999999999</v>
      </c>
      <c r="H111" s="21" t="n">
        <v>28717</v>
      </c>
    </row>
    <row r="112">
      <c r="A112" s="20" t="n">
        <v>45947</v>
      </c>
      <c r="B112" s="4" t="inlineStr">
        <is>
          <t>金</t>
        </is>
      </c>
      <c r="C112" s="4" t="inlineStr">
        <is>
          <t>平常日</t>
        </is>
      </c>
      <c r="D112" s="21" t="n">
        <v>429980</v>
      </c>
      <c r="E112" s="6" t="n">
        <v>17</v>
      </c>
      <c r="F112" s="6" t="n">
        <v>2114</v>
      </c>
      <c r="G112" s="22" t="n">
        <v>0.008</v>
      </c>
      <c r="H112" s="21" t="n">
        <v>25293</v>
      </c>
    </row>
    <row r="113">
      <c r="A113" s="20" t="n">
        <v>45948</v>
      </c>
      <c r="B113" s="4" t="inlineStr">
        <is>
          <t>土</t>
        </is>
      </c>
      <c r="C113" s="4" t="inlineStr">
        <is>
          <t>平常日</t>
        </is>
      </c>
      <c r="D113" s="21" t="n">
        <v>264400</v>
      </c>
      <c r="E113" s="6" t="n">
        <v>8</v>
      </c>
      <c r="F113" s="6" t="n">
        <v>2429</v>
      </c>
      <c r="G113" s="22" t="n">
        <v>0.0033</v>
      </c>
      <c r="H113" s="21" t="n">
        <v>33050</v>
      </c>
    </row>
    <row r="114">
      <c r="A114" s="20" t="n">
        <v>45949</v>
      </c>
      <c r="B114" s="4" t="inlineStr">
        <is>
          <t>日</t>
        </is>
      </c>
      <c r="C114" s="4" t="inlineStr">
        <is>
          <t>平常日</t>
        </is>
      </c>
      <c r="D114" s="21" t="n">
        <v>224560</v>
      </c>
      <c r="E114" s="6" t="n">
        <v>9</v>
      </c>
      <c r="F114" s="6" t="n">
        <v>2518</v>
      </c>
      <c r="G114" s="22" t="n">
        <v>0.0036</v>
      </c>
      <c r="H114" s="21" t="n">
        <v>24951</v>
      </c>
    </row>
    <row r="115">
      <c r="A115" s="20" t="n">
        <v>45950</v>
      </c>
      <c r="B115" s="4" t="inlineStr">
        <is>
          <t>月</t>
        </is>
      </c>
      <c r="C115" s="4" t="inlineStr">
        <is>
          <t>5と0のつく日</t>
        </is>
      </c>
      <c r="D115" s="21" t="n">
        <v>335260</v>
      </c>
      <c r="E115" s="6" t="n">
        <v>14</v>
      </c>
      <c r="F115" s="6" t="n">
        <v>2170</v>
      </c>
      <c r="G115" s="22" t="n">
        <v>0.006500000000000001</v>
      </c>
      <c r="H115" s="21" t="n">
        <v>23947</v>
      </c>
    </row>
    <row r="116">
      <c r="A116" s="20" t="n">
        <v>45951</v>
      </c>
      <c r="B116" s="4" t="inlineStr">
        <is>
          <t>火</t>
        </is>
      </c>
      <c r="C116" s="4" t="inlineStr">
        <is>
          <t>平常日</t>
        </is>
      </c>
      <c r="D116" s="21" t="n">
        <v>213064</v>
      </c>
      <c r="E116" s="6" t="n">
        <v>12</v>
      </c>
      <c r="F116" s="6" t="n">
        <v>2205</v>
      </c>
      <c r="G116" s="22" t="n">
        <v>0.0054</v>
      </c>
      <c r="H116" s="21" t="n">
        <v>17755</v>
      </c>
    </row>
    <row r="117">
      <c r="A117" s="20" t="n">
        <v>45952</v>
      </c>
      <c r="B117" s="4" t="inlineStr">
        <is>
          <t>水</t>
        </is>
      </c>
      <c r="C117" s="4" t="inlineStr">
        <is>
          <t>平常日</t>
        </is>
      </c>
      <c r="D117" s="21" t="n">
        <v>92888</v>
      </c>
      <c r="E117" s="6" t="n">
        <v>12</v>
      </c>
      <c r="F117" s="6" t="n">
        <v>2301</v>
      </c>
      <c r="G117" s="22" t="n">
        <v>0.0052</v>
      </c>
      <c r="H117" s="21" t="n">
        <v>7741</v>
      </c>
    </row>
    <row r="118">
      <c r="A118" s="20" t="n">
        <v>45953</v>
      </c>
      <c r="B118" s="4" t="inlineStr">
        <is>
          <t>木</t>
        </is>
      </c>
      <c r="C118" s="4" t="inlineStr">
        <is>
          <t>平常日</t>
        </is>
      </c>
      <c r="D118" s="21" t="n">
        <v>349864</v>
      </c>
      <c r="E118" s="6" t="n">
        <v>13</v>
      </c>
      <c r="F118" s="6" t="n">
        <v>2199</v>
      </c>
      <c r="G118" s="22" t="n">
        <v>0.0059</v>
      </c>
      <c r="H118" s="21" t="n">
        <v>26913</v>
      </c>
    </row>
    <row r="119">
      <c r="A119" s="20" t="n">
        <v>45954</v>
      </c>
      <c r="B119" s="4" t="inlineStr">
        <is>
          <t>金</t>
        </is>
      </c>
      <c r="C119" s="4" t="inlineStr">
        <is>
          <t>平常日</t>
        </is>
      </c>
      <c r="D119" s="21" t="n">
        <v>159192</v>
      </c>
      <c r="E119" s="6" t="n">
        <v>12</v>
      </c>
      <c r="F119" s="6" t="n">
        <v>1961</v>
      </c>
      <c r="G119" s="22" t="n">
        <v>0.0061</v>
      </c>
      <c r="H119" s="21" t="n">
        <v>13266</v>
      </c>
    </row>
    <row r="120">
      <c r="A120" s="20" t="n">
        <v>45955</v>
      </c>
      <c r="B120" s="4" t="inlineStr">
        <is>
          <t>土</t>
        </is>
      </c>
      <c r="C120" s="4" t="inlineStr">
        <is>
          <t>5と0のつく日</t>
        </is>
      </c>
      <c r="D120" s="21" t="n">
        <v>756312</v>
      </c>
      <c r="E120" s="6" t="n">
        <v>35</v>
      </c>
      <c r="F120" s="6" t="n">
        <v>2417</v>
      </c>
      <c r="G120" s="22" t="n">
        <v>0.0145</v>
      </c>
      <c r="H120" s="21" t="n">
        <v>21609</v>
      </c>
    </row>
    <row r="121">
      <c r="A121" s="20" t="n">
        <v>45956</v>
      </c>
      <c r="B121" s="4" t="inlineStr">
        <is>
          <t>日</t>
        </is>
      </c>
      <c r="C121" s="4" t="inlineStr">
        <is>
          <t>平常日</t>
        </is>
      </c>
      <c r="D121" s="21" t="n">
        <v>589024</v>
      </c>
      <c r="E121" s="6" t="n">
        <v>24</v>
      </c>
      <c r="F121" s="6" t="n">
        <v>2262</v>
      </c>
      <c r="G121" s="22" t="n">
        <v>0.0106</v>
      </c>
      <c r="H121" s="21" t="n">
        <v>24543</v>
      </c>
    </row>
    <row r="122">
      <c r="A122" s="20" t="n">
        <v>45957</v>
      </c>
      <c r="B122" s="4" t="inlineStr">
        <is>
          <t>月</t>
        </is>
      </c>
      <c r="C122" s="4" t="inlineStr">
        <is>
          <t>平常日</t>
        </is>
      </c>
      <c r="D122" s="21" t="n">
        <v>589288</v>
      </c>
      <c r="E122" s="6" t="n">
        <v>25</v>
      </c>
      <c r="F122" s="6" t="n">
        <v>1772</v>
      </c>
      <c r="G122" s="22" t="n">
        <v>0.0141</v>
      </c>
      <c r="H122" s="21" t="n">
        <v>23572</v>
      </c>
    </row>
    <row r="123">
      <c r="A123" s="20" t="n">
        <v>45958</v>
      </c>
      <c r="B123" s="4" t="inlineStr">
        <is>
          <t>火</t>
        </is>
      </c>
      <c r="C123" s="4" t="inlineStr">
        <is>
          <t>平常日</t>
        </is>
      </c>
      <c r="D123" s="21" t="n">
        <v>250240</v>
      </c>
      <c r="E123" s="6" t="n">
        <v>13</v>
      </c>
      <c r="F123" s="6" t="n">
        <v>1855</v>
      </c>
      <c r="G123" s="22" t="n">
        <v>0.006999999999999999</v>
      </c>
      <c r="H123" s="21" t="n">
        <v>19249</v>
      </c>
    </row>
    <row r="124">
      <c r="A124" s="20" t="n">
        <v>45959</v>
      </c>
      <c r="B124" s="4" t="inlineStr">
        <is>
          <t>水</t>
        </is>
      </c>
      <c r="C124" s="4" t="inlineStr">
        <is>
          <t>平常日</t>
        </is>
      </c>
      <c r="D124" s="21" t="n">
        <v>378984</v>
      </c>
      <c r="E124" s="6" t="n">
        <v>20</v>
      </c>
      <c r="F124" s="6" t="n">
        <v>1859</v>
      </c>
      <c r="G124" s="22" t="n">
        <v>0.0108</v>
      </c>
      <c r="H124" s="21" t="n">
        <v>18949</v>
      </c>
    </row>
    <row r="125">
      <c r="A125" s="20" t="n">
        <v>45960</v>
      </c>
      <c r="B125" s="4" t="inlineStr">
        <is>
          <t>木</t>
        </is>
      </c>
      <c r="C125" s="4" t="inlineStr">
        <is>
          <t>5と0のつく日</t>
        </is>
      </c>
      <c r="D125" s="21" t="n">
        <v>210440</v>
      </c>
      <c r="E125" s="6" t="n">
        <v>12</v>
      </c>
      <c r="F125" s="6" t="n">
        <v>1510</v>
      </c>
      <c r="G125" s="22" t="n">
        <v>0.007900000000000001</v>
      </c>
      <c r="H125" s="21" t="n">
        <v>17537</v>
      </c>
    </row>
    <row r="126">
      <c r="A126" s="20" t="n">
        <v>45961</v>
      </c>
      <c r="B126" s="4" t="inlineStr">
        <is>
          <t>金</t>
        </is>
      </c>
      <c r="C126" s="4" t="inlineStr">
        <is>
          <t>平常日</t>
        </is>
      </c>
      <c r="D126" s="21" t="n">
        <v>304808</v>
      </c>
      <c r="E126" s="6" t="n">
        <v>14</v>
      </c>
      <c r="F126" s="6" t="n">
        <v>1407</v>
      </c>
      <c r="G126" s="22" t="n">
        <v>0.01</v>
      </c>
      <c r="H126" s="21" t="n">
        <v>21772</v>
      </c>
    </row>
    <row r="127">
      <c r="A127" s="20" t="n">
        <v>45962</v>
      </c>
      <c r="B127" s="4" t="inlineStr">
        <is>
          <t>土</t>
        </is>
      </c>
      <c r="C127" s="4" t="inlineStr">
        <is>
          <t>ワンダフルデー</t>
        </is>
      </c>
      <c r="D127" s="21" t="n">
        <v>629184</v>
      </c>
      <c r="E127" s="6" t="n">
        <v>25</v>
      </c>
      <c r="F127" s="6" t="n">
        <v>1646</v>
      </c>
      <c r="G127" s="22" t="n">
        <v>0.0152</v>
      </c>
      <c r="H127" s="21" t="n">
        <v>25167</v>
      </c>
    </row>
    <row r="128">
      <c r="A128" s="20" t="n">
        <v>45963</v>
      </c>
      <c r="B128" s="4" t="inlineStr">
        <is>
          <t>日</t>
        </is>
      </c>
      <c r="C128" s="4" t="inlineStr">
        <is>
          <t>平常日</t>
        </is>
      </c>
      <c r="D128" s="21" t="n">
        <v>302760</v>
      </c>
      <c r="E128" s="6" t="n">
        <v>13</v>
      </c>
      <c r="F128" s="6" t="n">
        <v>2627</v>
      </c>
      <c r="G128" s="22" t="n">
        <v>0.0049</v>
      </c>
      <c r="H128" s="21" t="n">
        <v>23289</v>
      </c>
    </row>
    <row r="129">
      <c r="A129" s="20" t="n">
        <v>45964</v>
      </c>
      <c r="B129" s="4" t="inlineStr">
        <is>
          <t>月</t>
        </is>
      </c>
      <c r="C129" s="4" t="inlineStr">
        <is>
          <t>平常日</t>
        </is>
      </c>
      <c r="D129" s="21" t="n">
        <v>340352</v>
      </c>
      <c r="E129" s="6" t="n">
        <v>16</v>
      </c>
      <c r="F129" s="6" t="n">
        <v>1993</v>
      </c>
      <c r="G129" s="22" t="n">
        <v>0.008</v>
      </c>
      <c r="H129" s="21" t="n">
        <v>21272</v>
      </c>
    </row>
    <row r="130">
      <c r="A130" s="20" t="n">
        <v>45965</v>
      </c>
      <c r="B130" s="4" t="inlineStr">
        <is>
          <t>火</t>
        </is>
      </c>
      <c r="C130" s="4" t="inlineStr">
        <is>
          <t>お買い物マラソン(推定)</t>
        </is>
      </c>
      <c r="D130" s="21" t="n">
        <v>665868</v>
      </c>
      <c r="E130" s="6" t="n">
        <v>30</v>
      </c>
      <c r="F130" s="6" t="n">
        <v>1559</v>
      </c>
      <c r="G130" s="22" t="n">
        <v>0.0192</v>
      </c>
      <c r="H130" s="21" t="n">
        <v>22196</v>
      </c>
    </row>
    <row r="131">
      <c r="A131" s="20" t="n">
        <v>45966</v>
      </c>
      <c r="B131" s="4" t="inlineStr">
        <is>
          <t>水</t>
        </is>
      </c>
      <c r="C131" s="4" t="inlineStr">
        <is>
          <t>お買い物マラソン(推定)</t>
        </is>
      </c>
      <c r="D131" s="21" t="n">
        <v>899988</v>
      </c>
      <c r="E131" s="6" t="n">
        <v>34</v>
      </c>
      <c r="F131" s="6" t="n">
        <v>1631</v>
      </c>
      <c r="G131" s="22" t="n">
        <v>0.0208</v>
      </c>
      <c r="H131" s="21" t="n">
        <v>26470</v>
      </c>
    </row>
    <row r="132">
      <c r="A132" s="20" t="n">
        <v>45967</v>
      </c>
      <c r="B132" s="4" t="inlineStr">
        <is>
          <t>木</t>
        </is>
      </c>
      <c r="C132" s="4" t="inlineStr">
        <is>
          <t>お買い物マラソン(推定)</t>
        </is>
      </c>
      <c r="D132" s="21" t="n">
        <v>352792</v>
      </c>
      <c r="E132" s="6" t="n">
        <v>14</v>
      </c>
      <c r="F132" s="6" t="n">
        <v>1166</v>
      </c>
      <c r="G132" s="22" t="n">
        <v>0.012</v>
      </c>
      <c r="H132" s="21" t="n">
        <v>25199</v>
      </c>
    </row>
    <row r="133">
      <c r="A133" s="20" t="n">
        <v>45968</v>
      </c>
      <c r="B133" s="4" t="inlineStr">
        <is>
          <t>金</t>
        </is>
      </c>
      <c r="C133" s="4" t="inlineStr">
        <is>
          <t>お買い物マラソン(推定)</t>
        </is>
      </c>
      <c r="D133" s="21" t="n">
        <v>142204</v>
      </c>
      <c r="E133" s="6" t="n">
        <v>8</v>
      </c>
      <c r="F133" s="6" t="n">
        <v>1333</v>
      </c>
      <c r="G133" s="22" t="n">
        <v>0.006</v>
      </c>
      <c r="H133" s="21" t="n">
        <v>17776</v>
      </c>
    </row>
    <row r="134">
      <c r="A134" s="20" t="n">
        <v>45969</v>
      </c>
      <c r="B134" s="4" t="inlineStr">
        <is>
          <t>土</t>
        </is>
      </c>
      <c r="C134" s="4" t="inlineStr">
        <is>
          <t>お買い物マラソン(推定)</t>
        </is>
      </c>
      <c r="D134" s="21" t="n">
        <v>417080</v>
      </c>
      <c r="E134" s="6" t="n">
        <v>22</v>
      </c>
      <c r="F134" s="6" t="n">
        <v>1897</v>
      </c>
      <c r="G134" s="22" t="n">
        <v>0.0116</v>
      </c>
      <c r="H134" s="21" t="n">
        <v>18958</v>
      </c>
    </row>
    <row r="135">
      <c r="A135" s="20" t="n">
        <v>45970</v>
      </c>
      <c r="B135" s="4" t="inlineStr">
        <is>
          <t>日</t>
        </is>
      </c>
      <c r="C135" s="4" t="inlineStr">
        <is>
          <t>お買い物マラソン(推定)</t>
        </is>
      </c>
      <c r="D135" s="21" t="n">
        <v>471236</v>
      </c>
      <c r="E135" s="6" t="n">
        <v>19</v>
      </c>
      <c r="F135" s="6" t="n">
        <v>2073</v>
      </c>
      <c r="G135" s="22" t="n">
        <v>0.0092</v>
      </c>
      <c r="H135" s="21" t="n">
        <v>24802</v>
      </c>
    </row>
    <row r="136">
      <c r="A136" s="20" t="n">
        <v>45971</v>
      </c>
      <c r="B136" s="4" t="inlineStr">
        <is>
          <t>月</t>
        </is>
      </c>
      <c r="C136" s="4" t="inlineStr">
        <is>
          <t>お買い物マラソン(推定)</t>
        </is>
      </c>
      <c r="D136" s="21" t="n">
        <v>1320524</v>
      </c>
      <c r="E136" s="6" t="n">
        <v>54</v>
      </c>
      <c r="F136" s="6" t="n">
        <v>1907</v>
      </c>
      <c r="G136" s="22" t="n">
        <v>0.0283</v>
      </c>
      <c r="H136" s="21" t="n">
        <v>24454</v>
      </c>
    </row>
    <row r="137">
      <c r="A137" s="20" t="n">
        <v>45972</v>
      </c>
      <c r="B137" s="4" t="inlineStr">
        <is>
          <t>火</t>
        </is>
      </c>
      <c r="C137" s="4" t="inlineStr">
        <is>
          <t>お買い物マラソン(推定)</t>
        </is>
      </c>
      <c r="D137" s="21" t="n">
        <v>273456</v>
      </c>
      <c r="E137" s="6" t="n">
        <v>12</v>
      </c>
      <c r="F137" s="6" t="n">
        <v>1739</v>
      </c>
      <c r="G137" s="22" t="n">
        <v>0.0069</v>
      </c>
      <c r="H137" s="21" t="n">
        <v>22788</v>
      </c>
    </row>
    <row r="138">
      <c r="A138" s="20" t="n">
        <v>45973</v>
      </c>
      <c r="B138" s="4" t="inlineStr">
        <is>
          <t>水</t>
        </is>
      </c>
      <c r="C138" s="4" t="inlineStr">
        <is>
          <t>平常日</t>
        </is>
      </c>
      <c r="D138" s="21" t="n">
        <v>330168</v>
      </c>
      <c r="E138" s="6" t="n">
        <v>18</v>
      </c>
      <c r="F138" s="6" t="n">
        <v>2083</v>
      </c>
      <c r="G138" s="22" t="n">
        <v>0.0086</v>
      </c>
      <c r="H138" s="21" t="n">
        <v>18343</v>
      </c>
    </row>
    <row r="139">
      <c r="A139" s="20" t="n">
        <v>45974</v>
      </c>
      <c r="B139" s="4" t="inlineStr">
        <is>
          <t>木</t>
        </is>
      </c>
      <c r="C139" s="4" t="inlineStr">
        <is>
          <t>平常日</t>
        </is>
      </c>
      <c r="D139" s="21" t="n">
        <v>119496</v>
      </c>
      <c r="E139" s="6" t="n">
        <v>6</v>
      </c>
      <c r="F139" s="6" t="n">
        <v>3361</v>
      </c>
      <c r="G139" s="22" t="n">
        <v>0.0018</v>
      </c>
      <c r="H139" s="21" t="n">
        <v>19916</v>
      </c>
    </row>
    <row r="140">
      <c r="A140" s="20" t="n">
        <v>45975</v>
      </c>
      <c r="B140" s="4" t="inlineStr">
        <is>
          <t>金</t>
        </is>
      </c>
      <c r="C140" s="4" t="inlineStr">
        <is>
          <t>平常日</t>
        </is>
      </c>
      <c r="D140" s="21" t="n">
        <v>328248</v>
      </c>
      <c r="E140" s="6" t="n">
        <v>17</v>
      </c>
      <c r="F140" s="6" t="n">
        <v>5467</v>
      </c>
      <c r="G140" s="22" t="n">
        <v>0.0031</v>
      </c>
      <c r="H140" s="21" t="n">
        <v>19309</v>
      </c>
    </row>
    <row r="141">
      <c r="A141" s="20" t="n">
        <v>45976</v>
      </c>
      <c r="B141" s="4" t="inlineStr">
        <is>
          <t>土</t>
        </is>
      </c>
      <c r="C141" s="4" t="inlineStr">
        <is>
          <t>5と0のつく日</t>
        </is>
      </c>
      <c r="D141" s="21" t="n">
        <v>309672</v>
      </c>
      <c r="E141" s="6" t="n">
        <v>17</v>
      </c>
      <c r="F141" s="6" t="n">
        <v>6499</v>
      </c>
      <c r="G141" s="22" t="n">
        <v>0.0026</v>
      </c>
      <c r="H141" s="21" t="n">
        <v>18216</v>
      </c>
    </row>
    <row r="142">
      <c r="A142" s="20" t="n">
        <v>45977</v>
      </c>
      <c r="B142" s="4" t="inlineStr">
        <is>
          <t>日</t>
        </is>
      </c>
      <c r="C142" s="4" t="inlineStr">
        <is>
          <t>平常日</t>
        </is>
      </c>
      <c r="D142" s="21" t="n">
        <v>525888</v>
      </c>
      <c r="E142" s="6" t="n">
        <v>22</v>
      </c>
      <c r="F142" s="6" t="n">
        <v>7110</v>
      </c>
      <c r="G142" s="22" t="n">
        <v>0.0031</v>
      </c>
      <c r="H142" s="21" t="n">
        <v>23904</v>
      </c>
    </row>
    <row r="143">
      <c r="A143" s="20" t="n">
        <v>45978</v>
      </c>
      <c r="B143" s="4" t="inlineStr">
        <is>
          <t>月</t>
        </is>
      </c>
      <c r="C143" s="4" t="inlineStr">
        <is>
          <t>平常日</t>
        </is>
      </c>
      <c r="D143" s="21" t="n">
        <v>164024</v>
      </c>
      <c r="E143" s="6" t="n">
        <v>10</v>
      </c>
      <c r="F143" s="6" t="n">
        <v>6543</v>
      </c>
      <c r="G143" s="22" t="n">
        <v>0.0015</v>
      </c>
      <c r="H143" s="21" t="n">
        <v>16402</v>
      </c>
    </row>
    <row r="144">
      <c r="A144" s="20" t="n">
        <v>45979</v>
      </c>
      <c r="B144" s="4" t="inlineStr">
        <is>
          <t>火</t>
        </is>
      </c>
      <c r="C144" s="4" t="inlineStr">
        <is>
          <t>平常日</t>
        </is>
      </c>
      <c r="D144" s="21" t="n">
        <v>256488</v>
      </c>
      <c r="E144" s="6" t="n">
        <v>14</v>
      </c>
      <c r="F144" s="6" t="n">
        <v>6526</v>
      </c>
      <c r="G144" s="22" t="n">
        <v>0.0021</v>
      </c>
      <c r="H144" s="21" t="n">
        <v>18321</v>
      </c>
    </row>
    <row r="145">
      <c r="A145" s="20" t="n">
        <v>45980</v>
      </c>
      <c r="B145" s="4" t="inlineStr">
        <is>
          <t>水</t>
        </is>
      </c>
      <c r="C145" s="4" t="inlineStr">
        <is>
          <t>平常日</t>
        </is>
      </c>
      <c r="D145" s="21" t="n">
        <v>151752</v>
      </c>
      <c r="E145" s="6" t="n">
        <v>14</v>
      </c>
      <c r="F145" s="6" t="n">
        <v>6714</v>
      </c>
      <c r="G145" s="22" t="n">
        <v>0.0021</v>
      </c>
      <c r="H145" s="21" t="n">
        <v>10839</v>
      </c>
    </row>
    <row r="146">
      <c r="A146" s="20" t="n">
        <v>45981</v>
      </c>
      <c r="B146" s="4" t="inlineStr">
        <is>
          <t>木</t>
        </is>
      </c>
      <c r="C146" s="4" t="inlineStr">
        <is>
          <t>5と0のつく日</t>
        </is>
      </c>
      <c r="D146" s="21" t="n">
        <v>814292</v>
      </c>
      <c r="E146" s="6" t="n">
        <v>38</v>
      </c>
      <c r="F146" s="6" t="n">
        <v>6997</v>
      </c>
      <c r="G146" s="22" t="n">
        <v>0.0054</v>
      </c>
      <c r="H146" s="21" t="n">
        <v>21429</v>
      </c>
    </row>
    <row r="147">
      <c r="A147" s="20" t="n">
        <v>45982</v>
      </c>
      <c r="B147" s="4" t="inlineStr">
        <is>
          <t>金</t>
        </is>
      </c>
      <c r="C147" s="4" t="inlineStr">
        <is>
          <t>平常日</t>
        </is>
      </c>
      <c r="D147" s="21" t="n">
        <v>310312</v>
      </c>
      <c r="E147" s="6" t="n">
        <v>14</v>
      </c>
      <c r="F147" s="6" t="n">
        <v>6014</v>
      </c>
      <c r="G147" s="22" t="n">
        <v>0.0023</v>
      </c>
      <c r="H147" s="21" t="n">
        <v>22165</v>
      </c>
    </row>
    <row r="148">
      <c r="A148" s="20" t="n">
        <v>45983</v>
      </c>
      <c r="B148" s="4" t="inlineStr">
        <is>
          <t>土</t>
        </is>
      </c>
      <c r="C148" s="4" t="inlineStr">
        <is>
          <t>平常日</t>
        </is>
      </c>
      <c r="D148" s="21" t="n">
        <v>389860</v>
      </c>
      <c r="E148" s="6" t="n">
        <v>19</v>
      </c>
      <c r="F148" s="6" t="n">
        <v>7274</v>
      </c>
      <c r="G148" s="22" t="n">
        <v>0.0026</v>
      </c>
      <c r="H148" s="21" t="n">
        <v>20519</v>
      </c>
    </row>
    <row r="149">
      <c r="A149" s="20" t="n">
        <v>45984</v>
      </c>
      <c r="B149" s="4" t="inlineStr">
        <is>
          <t>日</t>
        </is>
      </c>
      <c r="C149" s="4" t="inlineStr">
        <is>
          <t>平常日</t>
        </is>
      </c>
      <c r="D149" s="21" t="n">
        <v>708680</v>
      </c>
      <c r="E149" s="6" t="n">
        <v>26</v>
      </c>
      <c r="F149" s="6" t="n">
        <v>7298</v>
      </c>
      <c r="G149" s="22" t="n">
        <v>0.0036</v>
      </c>
      <c r="H149" s="21" t="n">
        <v>27257</v>
      </c>
    </row>
    <row r="150">
      <c r="A150" s="20" t="n">
        <v>45985</v>
      </c>
      <c r="B150" s="4" t="inlineStr">
        <is>
          <t>月</t>
        </is>
      </c>
      <c r="C150" s="4" t="inlineStr">
        <is>
          <t>平常日</t>
        </is>
      </c>
      <c r="D150" s="21" t="n">
        <v>433140</v>
      </c>
      <c r="E150" s="6" t="n">
        <v>18</v>
      </c>
      <c r="F150" s="6" t="n">
        <v>7783</v>
      </c>
      <c r="G150" s="22" t="n">
        <v>0.0023</v>
      </c>
      <c r="H150" s="21" t="n">
        <v>24063</v>
      </c>
    </row>
    <row r="151">
      <c r="A151" s="20" t="n">
        <v>45986</v>
      </c>
      <c r="B151" s="4" t="inlineStr">
        <is>
          <t>火</t>
        </is>
      </c>
      <c r="C151" s="4" t="inlineStr">
        <is>
          <t>5と0のつく日</t>
        </is>
      </c>
      <c r="D151" s="21" t="n">
        <v>1549300</v>
      </c>
      <c r="E151" s="6" t="n">
        <v>59</v>
      </c>
      <c r="F151" s="6" t="n">
        <v>6466</v>
      </c>
      <c r="G151" s="22" t="n">
        <v>0.0091</v>
      </c>
      <c r="H151" s="21" t="n">
        <v>26259</v>
      </c>
    </row>
    <row r="152">
      <c r="A152" s="20" t="n">
        <v>45987</v>
      </c>
      <c r="B152" s="4" t="inlineStr">
        <is>
          <t>水</t>
        </is>
      </c>
      <c r="C152" s="4" t="inlineStr">
        <is>
          <t>平常日</t>
        </is>
      </c>
      <c r="D152" s="21" t="n">
        <v>1407962</v>
      </c>
      <c r="E152" s="6" t="n">
        <v>56</v>
      </c>
      <c r="F152" s="6" t="n">
        <v>5028</v>
      </c>
      <c r="G152" s="22" t="n">
        <v>0.0111</v>
      </c>
      <c r="H152" s="21" t="n">
        <v>25142</v>
      </c>
    </row>
    <row r="153">
      <c r="A153" s="20" t="n">
        <v>45988</v>
      </c>
      <c r="B153" s="4" t="inlineStr">
        <is>
          <t>木</t>
        </is>
      </c>
      <c r="C153" s="4" t="inlineStr">
        <is>
          <t>平常日</t>
        </is>
      </c>
      <c r="D153" s="21" t="n">
        <v>364120</v>
      </c>
      <c r="E153" s="6" t="n">
        <v>18</v>
      </c>
      <c r="F153" s="6" t="n">
        <v>4553</v>
      </c>
      <c r="G153" s="22" t="n">
        <v>0.004</v>
      </c>
      <c r="H153" s="21" t="n">
        <v>20229</v>
      </c>
    </row>
    <row r="154">
      <c r="A154" s="20" t="n">
        <v>45989</v>
      </c>
      <c r="B154" s="4" t="inlineStr">
        <is>
          <t>金</t>
        </is>
      </c>
      <c r="C154" s="4" t="inlineStr">
        <is>
          <t>平常日</t>
        </is>
      </c>
      <c r="D154" s="21" t="n">
        <v>154414</v>
      </c>
      <c r="E154" s="6" t="n">
        <v>10</v>
      </c>
      <c r="F154" s="6" t="n">
        <v>4164</v>
      </c>
      <c r="G154" s="22" t="n">
        <v>0.0024</v>
      </c>
      <c r="H154" s="21" t="n">
        <v>15441</v>
      </c>
    </row>
    <row r="155">
      <c r="A155" s="20" t="n">
        <v>45990</v>
      </c>
      <c r="B155" s="4" t="inlineStr">
        <is>
          <t>土</t>
        </is>
      </c>
      <c r="C155" s="4" t="inlineStr">
        <is>
          <t>平常日</t>
        </is>
      </c>
      <c r="D155" s="21" t="n">
        <v>280864</v>
      </c>
      <c r="E155" s="6" t="n">
        <v>12</v>
      </c>
      <c r="F155" s="6" t="n">
        <v>4763</v>
      </c>
      <c r="G155" s="22" t="n">
        <v>0.0025</v>
      </c>
      <c r="H155" s="21" t="n">
        <v>23405</v>
      </c>
    </row>
    <row r="156">
      <c r="A156" s="20" t="n">
        <v>45991</v>
      </c>
      <c r="B156" s="4" t="inlineStr">
        <is>
          <t>日</t>
        </is>
      </c>
      <c r="C156" s="4" t="inlineStr">
        <is>
          <t>5と0のつく日</t>
        </is>
      </c>
      <c r="D156" s="21" t="n">
        <v>673272</v>
      </c>
      <c r="E156" s="6" t="n">
        <v>25</v>
      </c>
      <c r="F156" s="6" t="n">
        <v>3674</v>
      </c>
      <c r="G156" s="22" t="n">
        <v>0.0068</v>
      </c>
      <c r="H156" s="21" t="n">
        <v>26931</v>
      </c>
    </row>
    <row r="157">
      <c r="A157" s="20" t="n">
        <v>45992</v>
      </c>
      <c r="B157" s="4" t="inlineStr">
        <is>
          <t>月</t>
        </is>
      </c>
      <c r="C157" s="4" t="inlineStr">
        <is>
          <t>ワンダフルデー</t>
        </is>
      </c>
      <c r="D157" s="21" t="n">
        <v>798760</v>
      </c>
      <c r="E157" s="6" t="n">
        <v>28</v>
      </c>
      <c r="F157" s="6" t="n">
        <v>2435</v>
      </c>
      <c r="G157" s="22" t="n">
        <v>0.0115</v>
      </c>
      <c r="H157" s="21" t="n">
        <v>28527</v>
      </c>
    </row>
    <row r="158">
      <c r="A158" s="20" t="n">
        <v>45993</v>
      </c>
      <c r="B158" s="4" t="inlineStr">
        <is>
          <t>火</t>
        </is>
      </c>
      <c r="C158" s="4" t="inlineStr">
        <is>
          <t>平常日</t>
        </is>
      </c>
      <c r="D158" s="21" t="n">
        <v>221040</v>
      </c>
      <c r="E158" s="6" t="n">
        <v>9</v>
      </c>
      <c r="F158" s="6" t="n">
        <v>3844</v>
      </c>
      <c r="G158" s="22" t="n">
        <v>0.0023</v>
      </c>
      <c r="H158" s="21" t="n">
        <v>24560</v>
      </c>
    </row>
    <row r="159">
      <c r="A159" s="20" t="n">
        <v>45994</v>
      </c>
      <c r="B159" s="4" t="inlineStr">
        <is>
          <t>水</t>
        </is>
      </c>
      <c r="C159" s="4" t="inlineStr">
        <is>
          <t>平常日</t>
        </is>
      </c>
      <c r="D159" s="21" t="n">
        <v>243656</v>
      </c>
      <c r="E159" s="6" t="n">
        <v>12</v>
      </c>
      <c r="F159" s="6" t="n">
        <v>4022</v>
      </c>
      <c r="G159" s="22" t="n">
        <v>0.003</v>
      </c>
      <c r="H159" s="21" t="n">
        <v>20305</v>
      </c>
    </row>
    <row r="160">
      <c r="A160" s="20" t="n">
        <v>45995</v>
      </c>
      <c r="B160" s="4" t="inlineStr">
        <is>
          <t>木</t>
        </is>
      </c>
      <c r="C160" s="4" t="inlineStr">
        <is>
          <t>スーパーSALE</t>
        </is>
      </c>
      <c r="D160" s="21" t="n">
        <v>499304</v>
      </c>
      <c r="E160" s="6" t="n">
        <v>20</v>
      </c>
      <c r="F160" s="6" t="n">
        <v>4438</v>
      </c>
      <c r="G160" s="22" t="n">
        <v>0.004500000000000001</v>
      </c>
      <c r="H160" s="21" t="n">
        <v>24965</v>
      </c>
    </row>
    <row r="161">
      <c r="A161" s="20" t="n">
        <v>45996</v>
      </c>
      <c r="B161" s="4" t="inlineStr">
        <is>
          <t>金</t>
        </is>
      </c>
      <c r="C161" s="4" t="inlineStr">
        <is>
          <t>スーパーSALE</t>
        </is>
      </c>
      <c r="D161" s="21" t="n">
        <v>1403948</v>
      </c>
      <c r="E161" s="6" t="n">
        <v>54</v>
      </c>
      <c r="F161" s="6" t="n">
        <v>9867</v>
      </c>
      <c r="G161" s="22" t="n">
        <v>0.005500000000000001</v>
      </c>
      <c r="H161" s="21" t="n">
        <v>25999</v>
      </c>
    </row>
    <row r="162">
      <c r="A162" s="20" t="n">
        <v>45997</v>
      </c>
      <c r="B162" s="4" t="inlineStr">
        <is>
          <t>土</t>
        </is>
      </c>
      <c r="C162" s="4" t="inlineStr">
        <is>
          <t>スーパーSALE</t>
        </is>
      </c>
      <c r="D162" s="21" t="n">
        <v>456764</v>
      </c>
      <c r="E162" s="6" t="n">
        <v>21</v>
      </c>
      <c r="F162" s="6" t="n">
        <v>9603</v>
      </c>
      <c r="G162" s="22" t="n">
        <v>0.0022</v>
      </c>
      <c r="H162" s="21" t="n">
        <v>21751</v>
      </c>
    </row>
    <row r="163">
      <c r="A163" s="20" t="n">
        <v>45998</v>
      </c>
      <c r="B163" s="4" t="inlineStr">
        <is>
          <t>日</t>
        </is>
      </c>
      <c r="C163" s="4" t="inlineStr">
        <is>
          <t>スーパーSALE</t>
        </is>
      </c>
      <c r="D163" s="21" t="n">
        <v>710176</v>
      </c>
      <c r="E163" s="6" t="n">
        <v>26</v>
      </c>
      <c r="F163" s="6" t="n">
        <v>9163</v>
      </c>
      <c r="G163" s="22" t="n">
        <v>0.0028</v>
      </c>
      <c r="H163" s="21" t="n">
        <v>27314</v>
      </c>
    </row>
    <row r="164">
      <c r="A164" s="20" t="n">
        <v>45999</v>
      </c>
      <c r="B164" s="4" t="inlineStr">
        <is>
          <t>月</t>
        </is>
      </c>
      <c r="C164" s="4" t="inlineStr">
        <is>
          <t>スーパーSALE</t>
        </is>
      </c>
      <c r="D164" s="21" t="n">
        <v>731952</v>
      </c>
      <c r="E164" s="6" t="n">
        <v>29</v>
      </c>
      <c r="F164" s="6" t="n">
        <v>7451</v>
      </c>
      <c r="G164" s="22" t="n">
        <v>0.0039</v>
      </c>
      <c r="H164" s="21" t="n">
        <v>25240</v>
      </c>
    </row>
    <row r="165">
      <c r="A165" s="20" t="n">
        <v>46000</v>
      </c>
      <c r="B165" s="4" t="inlineStr">
        <is>
          <t>火</t>
        </is>
      </c>
      <c r="C165" s="4" t="inlineStr">
        <is>
          <t>スーパーSALE</t>
        </is>
      </c>
      <c r="D165" s="21" t="n">
        <v>190344</v>
      </c>
      <c r="E165" s="6" t="n">
        <v>9</v>
      </c>
      <c r="F165" s="6" t="n">
        <v>7604</v>
      </c>
      <c r="G165" s="22" t="n">
        <v>0.0012</v>
      </c>
      <c r="H165" s="21" t="n">
        <v>21149</v>
      </c>
    </row>
    <row r="166">
      <c r="A166" s="20" t="n">
        <v>46001</v>
      </c>
      <c r="B166" s="4" t="inlineStr">
        <is>
          <t>水</t>
        </is>
      </c>
      <c r="C166" s="4" t="inlineStr">
        <is>
          <t>スーパーSALE</t>
        </is>
      </c>
      <c r="D166" s="21" t="n">
        <v>1991688</v>
      </c>
      <c r="E166" s="6" t="n">
        <v>72</v>
      </c>
      <c r="F166" s="6" t="n">
        <v>11537</v>
      </c>
      <c r="G166" s="22" t="n">
        <v>0.0062</v>
      </c>
      <c r="H166" s="21" t="n">
        <v>27662</v>
      </c>
    </row>
    <row r="167">
      <c r="A167" s="20" t="n">
        <v>46002</v>
      </c>
      <c r="B167" s="4" t="inlineStr">
        <is>
          <t>木</t>
        </is>
      </c>
      <c r="C167" s="4" t="inlineStr">
        <is>
          <t>スーパーSALE</t>
        </is>
      </c>
      <c r="D167" s="21" t="n">
        <v>712172</v>
      </c>
      <c r="E167" s="6" t="n">
        <v>26</v>
      </c>
      <c r="F167" s="6" t="n">
        <v>10121</v>
      </c>
      <c r="G167" s="22" t="n">
        <v>0.0026</v>
      </c>
      <c r="H167" s="21" t="n">
        <v>27391</v>
      </c>
    </row>
    <row r="168">
      <c r="A168" s="20" t="n">
        <v>46003</v>
      </c>
      <c r="B168" s="4" t="inlineStr">
        <is>
          <t>金</t>
        </is>
      </c>
      <c r="C168" s="4" t="inlineStr">
        <is>
          <t>平常日</t>
        </is>
      </c>
      <c r="D168" s="21" t="n">
        <v>258212</v>
      </c>
      <c r="E168" s="6" t="n">
        <v>10</v>
      </c>
      <c r="F168" s="6" t="n">
        <v>11568</v>
      </c>
      <c r="G168" s="22" t="n">
        <v>0.0009</v>
      </c>
      <c r="H168" s="21" t="n">
        <v>25821</v>
      </c>
    </row>
    <row r="169">
      <c r="A169" s="20" t="n">
        <v>46004</v>
      </c>
      <c r="B169" s="4" t="inlineStr">
        <is>
          <t>土</t>
        </is>
      </c>
      <c r="C169" s="4" t="inlineStr">
        <is>
          <t>平常日</t>
        </is>
      </c>
      <c r="D169" s="21" t="n">
        <v>414612</v>
      </c>
      <c r="E169" s="6" t="n">
        <v>16</v>
      </c>
      <c r="F169" s="6" t="n">
        <v>11147</v>
      </c>
      <c r="G169" s="22" t="n">
        <v>0.0014</v>
      </c>
      <c r="H169" s="21" t="n">
        <v>25913</v>
      </c>
    </row>
    <row r="170">
      <c r="A170" s="20" t="n">
        <v>46005</v>
      </c>
      <c r="B170" s="4" t="inlineStr">
        <is>
          <t>日</t>
        </is>
      </c>
      <c r="C170" s="4" t="inlineStr">
        <is>
          <t>平常日</t>
        </is>
      </c>
      <c r="D170" s="21" t="n">
        <v>502856</v>
      </c>
      <c r="E170" s="6" t="n">
        <v>27</v>
      </c>
      <c r="F170" s="6" t="n">
        <v>11856</v>
      </c>
      <c r="G170" s="22" t="n">
        <v>0.0023</v>
      </c>
      <c r="H170" s="21" t="n">
        <v>18624</v>
      </c>
    </row>
    <row r="171">
      <c r="A171" s="20" t="n">
        <v>46006</v>
      </c>
      <c r="B171" s="4" t="inlineStr">
        <is>
          <t>月</t>
        </is>
      </c>
      <c r="C171" s="4" t="inlineStr">
        <is>
          <t>5と0のつく日</t>
        </is>
      </c>
      <c r="D171" s="21" t="n">
        <v>530680</v>
      </c>
      <c r="E171" s="6" t="n">
        <v>24</v>
      </c>
      <c r="F171" s="6" t="n">
        <v>11208</v>
      </c>
      <c r="G171" s="22" t="n">
        <v>0.0021</v>
      </c>
      <c r="H171" s="21" t="n">
        <v>22112</v>
      </c>
    </row>
    <row r="172">
      <c r="A172" s="20" t="n">
        <v>46007</v>
      </c>
      <c r="B172" s="4" t="inlineStr">
        <is>
          <t>火</t>
        </is>
      </c>
      <c r="C172" s="4" t="inlineStr">
        <is>
          <t>平常日</t>
        </is>
      </c>
      <c r="D172" s="21" t="n">
        <v>313344</v>
      </c>
      <c r="E172" s="6" t="n">
        <v>14</v>
      </c>
      <c r="F172" s="6" t="n">
        <v>8917</v>
      </c>
      <c r="G172" s="22" t="n">
        <v>0.0016</v>
      </c>
      <c r="H172" s="21" t="n">
        <v>22382</v>
      </c>
    </row>
    <row r="173">
      <c r="A173" s="20" t="n">
        <v>46008</v>
      </c>
      <c r="B173" s="4" t="inlineStr">
        <is>
          <t>水</t>
        </is>
      </c>
      <c r="C173" s="4" t="inlineStr">
        <is>
          <t>平常日</t>
        </is>
      </c>
      <c r="D173" s="21" t="n">
        <v>294192</v>
      </c>
      <c r="E173" s="6" t="n">
        <v>12</v>
      </c>
      <c r="F173" s="6" t="n">
        <v>8133</v>
      </c>
      <c r="G173" s="22" t="n">
        <v>0.0015</v>
      </c>
      <c r="H173" s="21" t="n">
        <v>24516</v>
      </c>
    </row>
    <row r="174">
      <c r="A174" s="20" t="n">
        <v>46009</v>
      </c>
      <c r="B174" s="4" t="inlineStr">
        <is>
          <t>木</t>
        </is>
      </c>
      <c r="C174" s="4" t="inlineStr">
        <is>
          <t>平常日</t>
        </is>
      </c>
      <c r="D174" s="21" t="n">
        <v>524548</v>
      </c>
      <c r="E174" s="6" t="n">
        <v>21</v>
      </c>
      <c r="F174" s="6" t="n">
        <v>7810</v>
      </c>
      <c r="G174" s="22" t="n">
        <v>0.0027</v>
      </c>
      <c r="H174" s="21" t="n">
        <v>24978</v>
      </c>
    </row>
    <row r="175">
      <c r="A175" s="20" t="n">
        <v>46010</v>
      </c>
      <c r="B175" s="4" t="inlineStr">
        <is>
          <t>金</t>
        </is>
      </c>
      <c r="C175" s="4" t="inlineStr">
        <is>
          <t>平常日</t>
        </is>
      </c>
      <c r="D175" s="21" t="n">
        <v>331804</v>
      </c>
      <c r="E175" s="6" t="n">
        <v>14</v>
      </c>
      <c r="F175" s="6" t="n">
        <v>7243</v>
      </c>
      <c r="G175" s="22" t="n">
        <v>0.0019</v>
      </c>
      <c r="H175" s="21" t="n">
        <v>23700</v>
      </c>
    </row>
    <row r="176">
      <c r="A176" s="20" t="n">
        <v>46011</v>
      </c>
      <c r="B176" s="4" t="inlineStr">
        <is>
          <t>土</t>
        </is>
      </c>
      <c r="C176" s="4" t="inlineStr">
        <is>
          <t>5と0のつく日</t>
        </is>
      </c>
      <c r="D176" s="21" t="n">
        <v>813668</v>
      </c>
      <c r="E176" s="6" t="n">
        <v>33</v>
      </c>
      <c r="F176" s="6" t="n">
        <v>8750</v>
      </c>
      <c r="G176" s="22" t="n">
        <v>0.0038</v>
      </c>
      <c r="H176" s="21" t="n">
        <v>24657</v>
      </c>
    </row>
    <row r="177">
      <c r="A177" s="20" t="n">
        <v>46012</v>
      </c>
      <c r="B177" s="4" t="inlineStr">
        <is>
          <t>日</t>
        </is>
      </c>
      <c r="C177" s="4" t="inlineStr">
        <is>
          <t>平常日</t>
        </is>
      </c>
      <c r="D177" s="21" t="n">
        <v>693176</v>
      </c>
      <c r="E177" s="6" t="n">
        <v>26</v>
      </c>
      <c r="F177" s="6" t="n">
        <v>9109</v>
      </c>
      <c r="G177" s="22" t="n">
        <v>0.0029</v>
      </c>
      <c r="H177" s="21" t="n">
        <v>26661</v>
      </c>
    </row>
    <row r="178">
      <c r="A178" s="20" t="n">
        <v>46013</v>
      </c>
      <c r="B178" s="4" t="inlineStr">
        <is>
          <t>月</t>
        </is>
      </c>
      <c r="C178" s="4" t="inlineStr">
        <is>
          <t>平常日</t>
        </is>
      </c>
      <c r="D178" s="21" t="n">
        <v>459660</v>
      </c>
      <c r="E178" s="6" t="n">
        <v>16</v>
      </c>
      <c r="F178" s="6" t="n">
        <v>8974</v>
      </c>
      <c r="G178" s="22" t="n">
        <v>0.0018</v>
      </c>
      <c r="H178" s="21" t="n">
        <v>28729</v>
      </c>
    </row>
    <row r="179">
      <c r="A179" s="20" t="n">
        <v>46014</v>
      </c>
      <c r="B179" s="4" t="inlineStr">
        <is>
          <t>火</t>
        </is>
      </c>
      <c r="C179" s="4" t="inlineStr">
        <is>
          <t>平常日</t>
        </is>
      </c>
      <c r="D179" s="21" t="n">
        <v>488772</v>
      </c>
      <c r="E179" s="6" t="n">
        <v>19</v>
      </c>
      <c r="F179" s="6" t="n">
        <v>9419</v>
      </c>
      <c r="G179" s="22" t="n">
        <v>0.002</v>
      </c>
      <c r="H179" s="21" t="n">
        <v>25725</v>
      </c>
    </row>
    <row r="180">
      <c r="A180" s="20" t="n">
        <v>46015</v>
      </c>
      <c r="B180" s="4" t="inlineStr">
        <is>
          <t>水</t>
        </is>
      </c>
      <c r="C180" s="4" t="inlineStr">
        <is>
          <t>平常日</t>
        </is>
      </c>
      <c r="D180" s="21" t="n">
        <v>367580</v>
      </c>
      <c r="E180" s="6" t="n">
        <v>13</v>
      </c>
      <c r="F180" s="6" t="n">
        <v>10232</v>
      </c>
      <c r="G180" s="22" t="n">
        <v>0.0013</v>
      </c>
      <c r="H180" s="21" t="n">
        <v>28275</v>
      </c>
    </row>
    <row r="181">
      <c r="A181" s="20" t="n">
        <v>46016</v>
      </c>
      <c r="B181" s="4" t="inlineStr">
        <is>
          <t>木</t>
        </is>
      </c>
      <c r="C181" s="4" t="inlineStr">
        <is>
          <t>5と0のつく日</t>
        </is>
      </c>
      <c r="D181" s="21" t="n">
        <v>915016</v>
      </c>
      <c r="E181" s="6" t="n">
        <v>34</v>
      </c>
      <c r="F181" s="6" t="n">
        <v>10805</v>
      </c>
      <c r="G181" s="22" t="n">
        <v>0.0031</v>
      </c>
      <c r="H181" s="21" t="n">
        <v>26912</v>
      </c>
    </row>
    <row r="182">
      <c r="A182" s="20" t="n">
        <v>46017</v>
      </c>
      <c r="B182" s="4" t="inlineStr">
        <is>
          <t>金</t>
        </is>
      </c>
      <c r="C182" s="4" t="inlineStr">
        <is>
          <t>平常日</t>
        </is>
      </c>
      <c r="D182" s="21" t="n">
        <v>418900</v>
      </c>
      <c r="E182" s="6" t="n">
        <v>13</v>
      </c>
      <c r="F182" s="6" t="n">
        <v>10826</v>
      </c>
      <c r="G182" s="22" t="n">
        <v>0.0012</v>
      </c>
      <c r="H182" s="21" t="n">
        <v>32223</v>
      </c>
    </row>
    <row r="183">
      <c r="A183" s="20" t="n">
        <v>46018</v>
      </c>
      <c r="B183" s="4" t="inlineStr">
        <is>
          <t>土</t>
        </is>
      </c>
      <c r="C183" s="4" t="inlineStr">
        <is>
          <t>平常日</t>
        </is>
      </c>
      <c r="D183" s="21" t="n">
        <v>209832</v>
      </c>
      <c r="E183" s="6" t="n">
        <v>7</v>
      </c>
      <c r="F183" s="6" t="n">
        <v>12511</v>
      </c>
      <c r="G183" s="22" t="n">
        <v>0.0005999999999999999</v>
      </c>
      <c r="H183" s="21" t="n">
        <v>29976</v>
      </c>
    </row>
    <row r="184">
      <c r="A184" s="20" t="n">
        <v>46019</v>
      </c>
      <c r="B184" s="4" t="inlineStr">
        <is>
          <t>日</t>
        </is>
      </c>
      <c r="C184" s="4" t="inlineStr">
        <is>
          <t>平常日</t>
        </is>
      </c>
      <c r="D184" s="21" t="n">
        <v>262432</v>
      </c>
      <c r="E184" s="6" t="n">
        <v>9</v>
      </c>
      <c r="F184" s="6" t="n">
        <v>12899</v>
      </c>
      <c r="G184" s="22" t="n">
        <v>0.0007000000000000001</v>
      </c>
      <c r="H184" s="21" t="n">
        <v>29159</v>
      </c>
    </row>
    <row r="185">
      <c r="A185" s="20" t="n">
        <v>46020</v>
      </c>
      <c r="B185" s="4" t="inlineStr">
        <is>
          <t>月</t>
        </is>
      </c>
      <c r="C185" s="4" t="inlineStr">
        <is>
          <t>平常日</t>
        </is>
      </c>
      <c r="D185" s="21" t="n">
        <v>131200</v>
      </c>
      <c r="E185" s="6" t="n">
        <v>4</v>
      </c>
      <c r="F185" s="6" t="n">
        <v>13154</v>
      </c>
      <c r="G185" s="22" t="n">
        <v>0.0003</v>
      </c>
      <c r="H185" s="21" t="n">
        <v>32800</v>
      </c>
    </row>
    <row r="186">
      <c r="A186" s="20" t="n">
        <v>46021</v>
      </c>
      <c r="B186" s="4" t="inlineStr">
        <is>
          <t>火</t>
        </is>
      </c>
      <c r="C186" s="4" t="inlineStr">
        <is>
          <t>5と0のつく日</t>
        </is>
      </c>
      <c r="D186" s="21" t="n">
        <v>483032</v>
      </c>
      <c r="E186" s="6" t="n">
        <v>16</v>
      </c>
      <c r="F186" s="6" t="n">
        <v>12944</v>
      </c>
      <c r="G186" s="22" t="n">
        <v>0.0012</v>
      </c>
      <c r="H186" s="21" t="n">
        <v>30190</v>
      </c>
    </row>
    <row r="187">
      <c r="A187" s="20" t="n">
        <v>46022</v>
      </c>
      <c r="B187" s="4" t="inlineStr">
        <is>
          <t>水</t>
        </is>
      </c>
      <c r="C187" s="4" t="inlineStr">
        <is>
          <t>平常日</t>
        </is>
      </c>
      <c r="D187" s="21" t="n">
        <v>113200</v>
      </c>
      <c r="E187" s="6" t="n">
        <v>4</v>
      </c>
      <c r="F187" s="6" t="n">
        <v>13849</v>
      </c>
      <c r="G187" s="22" t="n">
        <v>0.0003</v>
      </c>
      <c r="H187" s="21" t="n">
        <v>28300</v>
      </c>
    </row>
    <row r="188">
      <c r="A188" s="20" t="n">
        <v>46023</v>
      </c>
      <c r="B188" s="4" t="inlineStr">
        <is>
          <t>木</t>
        </is>
      </c>
      <c r="C188" s="4" t="inlineStr">
        <is>
          <t>ワンダフルデー</t>
        </is>
      </c>
      <c r="D188" s="21" t="n">
        <v>562452</v>
      </c>
      <c r="E188" s="6" t="n">
        <v>23</v>
      </c>
      <c r="F188" s="6" t="n">
        <v>13648</v>
      </c>
      <c r="G188" s="22" t="n">
        <v>0.0017</v>
      </c>
      <c r="H188" s="21" t="n">
        <v>24454</v>
      </c>
    </row>
    <row r="189">
      <c r="A189" s="20" t="n">
        <v>46024</v>
      </c>
      <c r="B189" s="4" t="inlineStr">
        <is>
          <t>金</t>
        </is>
      </c>
      <c r="C189" s="4" t="inlineStr">
        <is>
          <t>平常日</t>
        </is>
      </c>
      <c r="D189" s="21" t="n">
        <v>407880</v>
      </c>
      <c r="E189" s="6" t="n">
        <v>14</v>
      </c>
      <c r="F189" s="6" t="n">
        <v>13308</v>
      </c>
      <c r="G189" s="22" t="n">
        <v>0.0011</v>
      </c>
      <c r="H189" s="21" t="n">
        <v>29134</v>
      </c>
    </row>
    <row r="190">
      <c r="A190" s="20" t="n">
        <v>46025</v>
      </c>
      <c r="B190" s="4" t="inlineStr">
        <is>
          <t>土</t>
        </is>
      </c>
      <c r="C190" s="4" t="inlineStr">
        <is>
          <t>平常日</t>
        </is>
      </c>
      <c r="D190" s="21" t="n">
        <v>747200</v>
      </c>
      <c r="E190" s="6" t="n">
        <v>24</v>
      </c>
      <c r="F190" s="6" t="n">
        <v>14584</v>
      </c>
      <c r="G190" s="22" t="n">
        <v>0.0016</v>
      </c>
      <c r="H190" s="21" t="n">
        <v>31133</v>
      </c>
    </row>
    <row r="191">
      <c r="A191" s="20" t="n">
        <v>46026</v>
      </c>
      <c r="B191" s="4" t="inlineStr">
        <is>
          <t>日</t>
        </is>
      </c>
      <c r="C191" s="4" t="inlineStr">
        <is>
          <t>お買い物マラソン(推定)</t>
        </is>
      </c>
      <c r="D191" s="21" t="n">
        <v>515480</v>
      </c>
      <c r="E191" s="6" t="n">
        <v>16</v>
      </c>
      <c r="F191" s="6" t="n">
        <v>13729</v>
      </c>
      <c r="G191" s="22" t="n">
        <v>0.0012</v>
      </c>
      <c r="H191" s="21" t="n">
        <v>32218</v>
      </c>
    </row>
    <row r="192">
      <c r="A192" s="20" t="n">
        <v>46027</v>
      </c>
      <c r="B192" s="4" t="inlineStr">
        <is>
          <t>月</t>
        </is>
      </c>
      <c r="C192" s="4" t="inlineStr">
        <is>
          <t>お買い物マラソン(推定)</t>
        </is>
      </c>
      <c r="D192" s="21" t="n">
        <v>736400</v>
      </c>
      <c r="E192" s="6" t="n">
        <v>23</v>
      </c>
      <c r="F192" s="6" t="n">
        <v>10894</v>
      </c>
      <c r="G192" s="22" t="n">
        <v>0.0021</v>
      </c>
      <c r="H192" s="21" t="n">
        <v>32017</v>
      </c>
    </row>
    <row r="193">
      <c r="A193" s="20" t="n">
        <v>46028</v>
      </c>
      <c r="B193" s="4" t="inlineStr">
        <is>
          <t>火</t>
        </is>
      </c>
      <c r="C193" s="4" t="inlineStr">
        <is>
          <t>お買い物マラソン(推定)</t>
        </is>
      </c>
      <c r="D193" s="21" t="n">
        <v>670760</v>
      </c>
      <c r="E193" s="6" t="n">
        <v>20</v>
      </c>
      <c r="F193" s="6" t="n">
        <v>9694</v>
      </c>
      <c r="G193" s="22" t="n">
        <v>0.0021</v>
      </c>
      <c r="H193" s="21" t="n">
        <v>33538</v>
      </c>
    </row>
    <row r="194">
      <c r="A194" s="20" t="n">
        <v>46029</v>
      </c>
      <c r="B194" s="4" t="inlineStr">
        <is>
          <t>水</t>
        </is>
      </c>
      <c r="C194" s="4" t="inlineStr">
        <is>
          <t>お買い物マラソン(推定)</t>
        </is>
      </c>
      <c r="D194" s="21" t="n">
        <v>374800</v>
      </c>
      <c r="E194" s="6" t="n">
        <v>11</v>
      </c>
      <c r="F194" s="6" t="n">
        <v>9472</v>
      </c>
      <c r="G194" s="22" t="n">
        <v>0.0012</v>
      </c>
      <c r="H194" s="21" t="n">
        <v>34073</v>
      </c>
    </row>
    <row r="195">
      <c r="A195" s="20" t="n">
        <v>46030</v>
      </c>
      <c r="B195" s="4" t="inlineStr">
        <is>
          <t>木</t>
        </is>
      </c>
      <c r="C195" s="4" t="inlineStr">
        <is>
          <t>お買い物マラソン(推定)</t>
        </is>
      </c>
      <c r="D195" s="21" t="n">
        <v>331000</v>
      </c>
      <c r="E195" s="6" t="n">
        <v>10</v>
      </c>
      <c r="F195" s="6" t="n">
        <v>9342</v>
      </c>
      <c r="G195" s="22" t="n">
        <v>0.0011</v>
      </c>
      <c r="H195" s="21" t="n">
        <v>33100</v>
      </c>
    </row>
    <row r="196">
      <c r="A196" s="20" t="n">
        <v>46031</v>
      </c>
      <c r="B196" s="4" t="inlineStr">
        <is>
          <t>金</t>
        </is>
      </c>
      <c r="C196" s="4" t="inlineStr">
        <is>
          <t>お買い物マラソン(推定)</t>
        </is>
      </c>
      <c r="D196" s="21" t="n">
        <v>545800</v>
      </c>
      <c r="E196" s="6" t="n">
        <v>16</v>
      </c>
      <c r="F196" s="6" t="n">
        <v>10350</v>
      </c>
      <c r="G196" s="22" t="n">
        <v>0.0015</v>
      </c>
      <c r="H196" s="21" t="n">
        <v>34113</v>
      </c>
    </row>
    <row r="197">
      <c r="A197" s="20" t="n">
        <v>46032</v>
      </c>
      <c r="B197" s="4" t="inlineStr">
        <is>
          <t>土</t>
        </is>
      </c>
      <c r="C197" s="4" t="inlineStr">
        <is>
          <t>お買い物マラソン(推定)</t>
        </is>
      </c>
      <c r="D197" s="21" t="n">
        <v>1044120</v>
      </c>
      <c r="E197" s="6" t="n">
        <v>37</v>
      </c>
      <c r="F197" s="6" t="n">
        <v>9301</v>
      </c>
      <c r="G197" s="22" t="n">
        <v>0.004</v>
      </c>
      <c r="H197" s="21" t="n">
        <v>28219</v>
      </c>
    </row>
    <row r="198">
      <c r="A198" s="20" t="n">
        <v>46033</v>
      </c>
      <c r="B198" s="4" t="inlineStr">
        <is>
          <t>日</t>
        </is>
      </c>
      <c r="C198" s="4" t="inlineStr">
        <is>
          <t>お買い物マラソン(推定)</t>
        </is>
      </c>
      <c r="D198" s="21" t="n">
        <v>426680</v>
      </c>
      <c r="E198" s="6" t="n">
        <v>14</v>
      </c>
      <c r="F198" s="6" t="n">
        <v>7698</v>
      </c>
      <c r="G198" s="22" t="n">
        <v>0.0018</v>
      </c>
      <c r="H198" s="21" t="n">
        <v>30477</v>
      </c>
    </row>
    <row r="199">
      <c r="A199" s="20" t="n">
        <v>46034</v>
      </c>
      <c r="B199" s="4" t="inlineStr">
        <is>
          <t>月</t>
        </is>
      </c>
      <c r="C199" s="4" t="inlineStr">
        <is>
          <t>平常日</t>
        </is>
      </c>
      <c r="D199" s="21" t="n">
        <v>832100</v>
      </c>
      <c r="E199" s="6" t="n">
        <v>26</v>
      </c>
      <c r="F199" s="6" t="n">
        <v>7772</v>
      </c>
      <c r="G199" s="22" t="n">
        <v>0.0033</v>
      </c>
      <c r="H199" s="21" t="n">
        <v>32004</v>
      </c>
    </row>
    <row r="200">
      <c r="A200" s="20" t="n">
        <v>46035</v>
      </c>
      <c r="B200" s="4" t="inlineStr">
        <is>
          <t>火</t>
        </is>
      </c>
      <c r="C200" s="4" t="inlineStr">
        <is>
          <t>平常日</t>
        </is>
      </c>
      <c r="D200" s="21" t="n">
        <v>400380</v>
      </c>
      <c r="E200" s="6" t="n">
        <v>14</v>
      </c>
      <c r="F200" s="6" t="n">
        <v>6472</v>
      </c>
      <c r="G200" s="22" t="n">
        <v>0.0022</v>
      </c>
      <c r="H200" s="21" t="n">
        <v>28599</v>
      </c>
    </row>
    <row r="201">
      <c r="A201" s="20" t="n">
        <v>46036</v>
      </c>
      <c r="B201" s="4" t="inlineStr">
        <is>
          <t>水</t>
        </is>
      </c>
      <c r="C201" s="4" t="inlineStr">
        <is>
          <t>平常日</t>
        </is>
      </c>
      <c r="D201" s="21" t="n">
        <v>457680</v>
      </c>
      <c r="E201" s="6" t="n">
        <v>15</v>
      </c>
      <c r="F201" s="6" t="n">
        <v>6447</v>
      </c>
      <c r="G201" s="22" t="n">
        <v>0.0023</v>
      </c>
      <c r="H201" s="21" t="n">
        <v>30512</v>
      </c>
    </row>
    <row r="202">
      <c r="A202" s="20" t="n">
        <v>46037</v>
      </c>
      <c r="B202" s="4" t="inlineStr">
        <is>
          <t>木</t>
        </is>
      </c>
      <c r="C202" s="4" t="inlineStr">
        <is>
          <t>5と0のつく日</t>
        </is>
      </c>
      <c r="D202" s="21" t="n">
        <v>1133600</v>
      </c>
      <c r="E202" s="6" t="n">
        <v>37</v>
      </c>
      <c r="F202" s="6" t="n">
        <v>3180</v>
      </c>
      <c r="G202" s="22" t="n">
        <v>0.0116</v>
      </c>
      <c r="H202" s="21" t="n">
        <v>30638</v>
      </c>
    </row>
    <row r="203">
      <c r="A203" s="20" t="n">
        <v>46038</v>
      </c>
      <c r="B203" s="4" t="inlineStr">
        <is>
          <t>金</t>
        </is>
      </c>
      <c r="C203" s="4" t="inlineStr">
        <is>
          <t>平常日</t>
        </is>
      </c>
      <c r="D203" s="21" t="n">
        <v>320000</v>
      </c>
      <c r="E203" s="6" t="n">
        <v>10</v>
      </c>
      <c r="F203" s="6" t="n">
        <v>5076</v>
      </c>
      <c r="G203" s="22" t="n">
        <v>0.002</v>
      </c>
      <c r="H203" s="21" t="n">
        <v>32000</v>
      </c>
    </row>
    <row r="204">
      <c r="A204" s="20" t="n">
        <v>46039</v>
      </c>
      <c r="B204" s="4" t="inlineStr">
        <is>
          <t>土</t>
        </is>
      </c>
      <c r="C204" s="4" t="inlineStr">
        <is>
          <t>平常日</t>
        </is>
      </c>
      <c r="D204" s="21" t="n">
        <v>401880</v>
      </c>
      <c r="E204" s="6" t="n">
        <v>12</v>
      </c>
      <c r="F204" s="6" t="n">
        <v>2885</v>
      </c>
      <c r="G204" s="22" t="n">
        <v>0.0042</v>
      </c>
      <c r="H204" s="21" t="n">
        <v>33490</v>
      </c>
    </row>
    <row r="205">
      <c r="A205" s="20" t="n">
        <v>46040</v>
      </c>
      <c r="B205" s="4" t="inlineStr">
        <is>
          <t>日</t>
        </is>
      </c>
      <c r="C205" s="4" t="inlineStr">
        <is>
          <t>平常日</t>
        </is>
      </c>
      <c r="D205" s="21" t="n">
        <v>892900</v>
      </c>
      <c r="E205" s="6" t="n">
        <v>28</v>
      </c>
      <c r="F205" s="6" t="n">
        <v>3244</v>
      </c>
      <c r="G205" s="22" t="n">
        <v>0.0086</v>
      </c>
      <c r="H205" s="21" t="n">
        <v>31889</v>
      </c>
    </row>
    <row r="206">
      <c r="A206" s="20" t="n">
        <v>46041</v>
      </c>
      <c r="B206" s="4" t="inlineStr">
        <is>
          <t>月</t>
        </is>
      </c>
      <c r="C206" s="4" t="inlineStr">
        <is>
          <t>平常日</t>
        </is>
      </c>
      <c r="D206" s="21" t="n">
        <v>397660</v>
      </c>
      <c r="E206" s="6" t="n">
        <v>15</v>
      </c>
      <c r="F206" s="6" t="n">
        <v>8015</v>
      </c>
      <c r="G206" s="22" t="n">
        <v>0.0019</v>
      </c>
      <c r="H206" s="21" t="n">
        <v>26511</v>
      </c>
    </row>
    <row r="207">
      <c r="A207" s="20" t="n">
        <v>46042</v>
      </c>
      <c r="B207" s="4" t="inlineStr">
        <is>
          <t>火</t>
        </is>
      </c>
      <c r="C207" s="4" t="inlineStr">
        <is>
          <t>5と0のつく日</t>
        </is>
      </c>
      <c r="D207" s="21" t="n">
        <v>907380</v>
      </c>
      <c r="E207" s="6" t="n">
        <v>26</v>
      </c>
      <c r="F207" s="6" t="n">
        <v>8743</v>
      </c>
      <c r="G207" s="22" t="n">
        <v>0.003</v>
      </c>
      <c r="H207" s="21" t="n">
        <v>34899</v>
      </c>
    </row>
    <row r="208">
      <c r="A208" s="20" t="n">
        <v>46043</v>
      </c>
      <c r="B208" s="4" t="inlineStr">
        <is>
          <t>水</t>
        </is>
      </c>
      <c r="C208" s="4" t="inlineStr">
        <is>
          <t>平常日</t>
        </is>
      </c>
      <c r="D208" s="21" t="n">
        <v>639190</v>
      </c>
      <c r="E208" s="6" t="n">
        <v>19</v>
      </c>
      <c r="F208" s="6" t="n">
        <v>6850</v>
      </c>
      <c r="G208" s="22" t="n">
        <v>0.0028</v>
      </c>
      <c r="H208" s="21" t="n">
        <v>33642</v>
      </c>
    </row>
    <row r="209">
      <c r="A209" s="20" t="n">
        <v>46044</v>
      </c>
      <c r="B209" s="4" t="inlineStr">
        <is>
          <t>木</t>
        </is>
      </c>
      <c r="C209" s="4" t="inlineStr">
        <is>
          <t>平常日</t>
        </is>
      </c>
      <c r="D209" s="21" t="n">
        <v>621560</v>
      </c>
      <c r="E209" s="6" t="n">
        <v>17</v>
      </c>
      <c r="F209" s="6" t="n">
        <v>5888</v>
      </c>
      <c r="G209" s="22" t="n">
        <v>0.0029</v>
      </c>
      <c r="H209" s="21" t="n">
        <v>36562</v>
      </c>
    </row>
    <row r="210">
      <c r="A210" s="20" t="n">
        <v>46045</v>
      </c>
      <c r="B210" s="4" t="inlineStr">
        <is>
          <t>金</t>
        </is>
      </c>
      <c r="C210" s="4" t="inlineStr">
        <is>
          <t>平常日</t>
        </is>
      </c>
      <c r="D210" s="21" t="n">
        <v>693200</v>
      </c>
      <c r="E210" s="6" t="n">
        <v>19</v>
      </c>
      <c r="F210" s="6" t="n">
        <v>5196</v>
      </c>
      <c r="G210" s="22" t="n">
        <v>0.0037</v>
      </c>
      <c r="H210" s="21" t="n">
        <v>36484</v>
      </c>
    </row>
    <row r="211">
      <c r="A211" s="20" t="n">
        <v>46046</v>
      </c>
      <c r="B211" s="4" t="inlineStr">
        <is>
          <t>土</t>
        </is>
      </c>
      <c r="C211" s="4" t="inlineStr">
        <is>
          <t>平常日</t>
        </is>
      </c>
      <c r="D211" s="21" t="n">
        <v>825080</v>
      </c>
      <c r="E211" s="6" t="n">
        <v>27</v>
      </c>
      <c r="F211" s="6" t="n">
        <v>6735</v>
      </c>
      <c r="G211" s="22" t="n">
        <v>0.004</v>
      </c>
      <c r="H211" s="21" t="n">
        <v>30559</v>
      </c>
    </row>
    <row r="212">
      <c r="A212" s="20" t="n">
        <v>46047</v>
      </c>
      <c r="B212" s="4" t="inlineStr">
        <is>
          <t>日</t>
        </is>
      </c>
      <c r="C212" s="4" t="inlineStr">
        <is>
          <t>5と0のつく日</t>
        </is>
      </c>
      <c r="D212" s="21" t="n">
        <v>2221400</v>
      </c>
      <c r="E212" s="6" t="n">
        <v>73</v>
      </c>
      <c r="F212" s="6" t="n">
        <v>7212</v>
      </c>
      <c r="G212" s="22" t="n">
        <v>0.0101</v>
      </c>
      <c r="H212" s="21" t="n">
        <v>30430</v>
      </c>
    </row>
    <row r="213">
      <c r="A213" s="20" t="n">
        <v>46048</v>
      </c>
      <c r="B213" s="4" t="inlineStr">
        <is>
          <t>月</t>
        </is>
      </c>
      <c r="C213" s="4" t="inlineStr">
        <is>
          <t>平常日</t>
        </is>
      </c>
      <c r="D213" s="21" t="n">
        <v>587700</v>
      </c>
      <c r="E213" s="6" t="n">
        <v>19</v>
      </c>
      <c r="F213" s="6" t="n">
        <v>5576</v>
      </c>
      <c r="G213" s="22" t="n">
        <v>0.0034</v>
      </c>
      <c r="H213" s="21" t="n">
        <v>30932</v>
      </c>
    </row>
    <row r="214">
      <c r="A214" s="20" t="n">
        <v>46049</v>
      </c>
      <c r="B214" s="4" t="inlineStr">
        <is>
          <t>火</t>
        </is>
      </c>
      <c r="C214" s="4" t="inlineStr">
        <is>
          <t>平常日</t>
        </is>
      </c>
      <c r="D214" s="21" t="n">
        <v>809300</v>
      </c>
      <c r="E214" s="6" t="n">
        <v>26</v>
      </c>
      <c r="F214" s="6" t="n">
        <v>5180</v>
      </c>
      <c r="G214" s="22" t="n">
        <v>0.005</v>
      </c>
      <c r="H214" s="21" t="n">
        <v>31127</v>
      </c>
    </row>
    <row r="215">
      <c r="A215" s="20" t="n">
        <v>46050</v>
      </c>
      <c r="B215" s="4" t="inlineStr">
        <is>
          <t>水</t>
        </is>
      </c>
      <c r="C215" s="4" t="inlineStr">
        <is>
          <t>平常日</t>
        </is>
      </c>
      <c r="D215" s="21" t="n">
        <v>1153080</v>
      </c>
      <c r="E215" s="6" t="n">
        <v>46</v>
      </c>
      <c r="F215" s="6" t="n">
        <v>5731</v>
      </c>
      <c r="G215" s="22" t="n">
        <v>0.008</v>
      </c>
      <c r="H215" s="21" t="n">
        <v>25067</v>
      </c>
    </row>
    <row r="216">
      <c r="A216" s="20" t="n">
        <v>46051</v>
      </c>
      <c r="B216" s="4" t="inlineStr">
        <is>
          <t>木</t>
        </is>
      </c>
      <c r="C216" s="4" t="inlineStr">
        <is>
          <t>平常日</t>
        </is>
      </c>
      <c r="D216" s="21" t="n">
        <v>714600</v>
      </c>
      <c r="E216" s="6" t="n">
        <v>37</v>
      </c>
      <c r="F216" s="6" t="n">
        <v>5576</v>
      </c>
      <c r="G216" s="22" t="n">
        <v>0.0066</v>
      </c>
      <c r="H216" s="21" t="n">
        <v>19314</v>
      </c>
    </row>
    <row r="217">
      <c r="A217" s="20" t="n">
        <v>46052</v>
      </c>
      <c r="B217" s="4" t="inlineStr">
        <is>
          <t>金</t>
        </is>
      </c>
      <c r="C217" s="4" t="inlineStr">
        <is>
          <t>5と0のつく日</t>
        </is>
      </c>
      <c r="D217" s="21" t="n">
        <v>879760</v>
      </c>
      <c r="E217" s="6" t="n">
        <v>27</v>
      </c>
      <c r="F217" s="6" t="n">
        <v>5512</v>
      </c>
      <c r="G217" s="22" t="n">
        <v>0.0049</v>
      </c>
      <c r="H217" s="21" t="n">
        <v>32584</v>
      </c>
    </row>
    <row r="218">
      <c r="A218" s="20" t="n">
        <v>46053</v>
      </c>
      <c r="B218" s="4" t="inlineStr">
        <is>
          <t>土</t>
        </is>
      </c>
      <c r="C218" s="4" t="inlineStr">
        <is>
          <t>平常日</t>
        </is>
      </c>
      <c r="D218" s="21" t="n">
        <v>524500</v>
      </c>
      <c r="E218" s="6" t="n">
        <v>17</v>
      </c>
      <c r="F218" s="6" t="n">
        <v>7130</v>
      </c>
      <c r="G218" s="22" t="n">
        <v>0.0024</v>
      </c>
      <c r="H218" s="21" t="n">
        <v>30853</v>
      </c>
    </row>
    <row r="219">
      <c r="A219" s="20" t="n">
        <v>46054</v>
      </c>
      <c r="B219" s="4" t="inlineStr">
        <is>
          <t>日</t>
        </is>
      </c>
      <c r="C219" s="4" t="inlineStr">
        <is>
          <t>ワンダフルデー</t>
        </is>
      </c>
      <c r="D219" s="21" t="n">
        <v>1596260</v>
      </c>
      <c r="E219" s="6" t="n">
        <v>52</v>
      </c>
      <c r="F219" s="6" t="n">
        <v>4152</v>
      </c>
      <c r="G219" s="22" t="n">
        <v>0.0125</v>
      </c>
      <c r="H219" s="21" t="n">
        <v>30697</v>
      </c>
    </row>
    <row r="220">
      <c r="A220" s="20" t="n">
        <v>46055</v>
      </c>
      <c r="B220" s="4" t="inlineStr">
        <is>
          <t>月</t>
        </is>
      </c>
      <c r="C220" s="4" t="inlineStr">
        <is>
          <t>平常日</t>
        </is>
      </c>
      <c r="D220" s="21" t="n">
        <v>482480</v>
      </c>
      <c r="E220" s="6" t="n">
        <v>15</v>
      </c>
      <c r="F220" s="6" t="n">
        <v>2772</v>
      </c>
      <c r="G220" s="22" t="n">
        <v>0.0054</v>
      </c>
      <c r="H220" s="21" t="n">
        <v>32165</v>
      </c>
    </row>
    <row r="221">
      <c r="A221" s="20" t="n">
        <v>46056</v>
      </c>
      <c r="B221" s="4" t="inlineStr">
        <is>
          <t>火</t>
        </is>
      </c>
      <c r="C221" s="4" t="inlineStr">
        <is>
          <t>平常日</t>
        </is>
      </c>
      <c r="D221" s="21" t="n">
        <v>529500</v>
      </c>
      <c r="E221" s="6" t="n">
        <v>15</v>
      </c>
      <c r="F221" s="6" t="n">
        <v>2470</v>
      </c>
      <c r="G221" s="22" t="n">
        <v>0.0061</v>
      </c>
      <c r="H221" s="21" t="n">
        <v>35300</v>
      </c>
    </row>
    <row r="222">
      <c r="A222" s="20" t="n">
        <v>46057</v>
      </c>
      <c r="B222" s="4" t="inlineStr">
        <is>
          <t>水</t>
        </is>
      </c>
      <c r="C222" s="4" t="inlineStr">
        <is>
          <t>お買い物マラソン(推定)</t>
        </is>
      </c>
      <c r="D222" s="21" t="n">
        <v>507300</v>
      </c>
      <c r="E222" s="6" t="n">
        <v>16</v>
      </c>
      <c r="F222" s="6" t="n">
        <v>2649</v>
      </c>
      <c r="G222" s="22" t="n">
        <v>0.006</v>
      </c>
      <c r="H222" s="21" t="n">
        <v>31706</v>
      </c>
    </row>
    <row r="223">
      <c r="A223" s="20" t="n">
        <v>46058</v>
      </c>
      <c r="B223" s="4" t="inlineStr">
        <is>
          <t>木</t>
        </is>
      </c>
      <c r="C223" s="4" t="inlineStr">
        <is>
          <t>お買い物マラソン(推定)</t>
        </is>
      </c>
      <c r="D223" s="21" t="n">
        <v>1760160</v>
      </c>
      <c r="E223" s="6" t="n">
        <v>59</v>
      </c>
      <c r="F223" s="6" t="n">
        <v>3717</v>
      </c>
      <c r="G223" s="22" t="n">
        <v>0.0159</v>
      </c>
      <c r="H223" s="21" t="n">
        <v>29833</v>
      </c>
    </row>
    <row r="224">
      <c r="A224" s="20" t="n">
        <v>46059</v>
      </c>
      <c r="B224" s="4" t="inlineStr">
        <is>
          <t>金</t>
        </is>
      </c>
      <c r="C224" s="4" t="inlineStr">
        <is>
          <t>お買い物マラソン(推定)</t>
        </is>
      </c>
      <c r="D224" s="21" t="n">
        <v>347800</v>
      </c>
      <c r="E224" s="6" t="n">
        <v>11</v>
      </c>
      <c r="F224" s="6" t="n">
        <v>2613</v>
      </c>
      <c r="G224" s="22" t="n">
        <v>0.0042</v>
      </c>
      <c r="H224" s="21" t="n">
        <v>31618</v>
      </c>
    </row>
    <row r="225">
      <c r="A225" s="20" t="n">
        <v>46060</v>
      </c>
      <c r="B225" s="4" t="inlineStr">
        <is>
          <t>土</t>
        </is>
      </c>
      <c r="C225" s="4" t="inlineStr">
        <is>
          <t>お買い物マラソン(推定)</t>
        </is>
      </c>
      <c r="D225" s="21" t="n">
        <v>588180</v>
      </c>
      <c r="E225" s="6" t="n">
        <v>20</v>
      </c>
      <c r="F225" s="6" t="n">
        <v>3008</v>
      </c>
      <c r="G225" s="22" t="n">
        <v>0.0066</v>
      </c>
      <c r="H225" s="21" t="n">
        <v>29409</v>
      </c>
    </row>
    <row r="226">
      <c r="A226" s="20" t="n">
        <v>46061</v>
      </c>
      <c r="B226" s="4" t="inlineStr">
        <is>
          <t>日</t>
        </is>
      </c>
      <c r="C226" s="4" t="inlineStr">
        <is>
          <t>お買い物マラソン(推定)</t>
        </is>
      </c>
      <c r="D226" s="21" t="n">
        <v>824600</v>
      </c>
      <c r="E226" s="6" t="n">
        <v>27</v>
      </c>
      <c r="F226" s="6" t="n">
        <v>3838</v>
      </c>
      <c r="G226" s="22" t="n">
        <v>0.006999999999999999</v>
      </c>
      <c r="H226" s="21" t="n">
        <v>30541</v>
      </c>
    </row>
    <row r="227">
      <c r="A227" s="20" t="n">
        <v>46062</v>
      </c>
      <c r="B227" s="4" t="inlineStr">
        <is>
          <t>月</t>
        </is>
      </c>
      <c r="C227" s="4" t="inlineStr">
        <is>
          <t>お買い物マラソン(推定)</t>
        </is>
      </c>
      <c r="D227" s="21" t="n">
        <v>844100</v>
      </c>
      <c r="E227" s="6" t="n">
        <v>27</v>
      </c>
      <c r="F227" s="6" t="n">
        <v>3048</v>
      </c>
      <c r="G227" s="22" t="n">
        <v>0.0089</v>
      </c>
      <c r="H227" s="21" t="n">
        <v>31263</v>
      </c>
    </row>
    <row r="228">
      <c r="A228" s="20" t="n">
        <v>46063</v>
      </c>
      <c r="B228" s="4" t="inlineStr">
        <is>
          <t>火</t>
        </is>
      </c>
      <c r="C228" s="4" t="inlineStr">
        <is>
          <t>お買い物マラソン(推定)</t>
        </is>
      </c>
      <c r="D228" s="21" t="n">
        <v>833740</v>
      </c>
      <c r="E228" s="6" t="n">
        <v>26</v>
      </c>
      <c r="F228" s="6" t="n">
        <v>2528</v>
      </c>
      <c r="G228" s="22" t="n">
        <v>0.0103</v>
      </c>
      <c r="H228" s="21" t="n">
        <v>32067</v>
      </c>
    </row>
    <row r="229">
      <c r="A229" s="20" t="n">
        <v>46064</v>
      </c>
      <c r="B229" s="4" t="inlineStr">
        <is>
          <t>水</t>
        </is>
      </c>
      <c r="C229" s="4" t="inlineStr">
        <is>
          <t>お買い物マラソン(推定)</t>
        </is>
      </c>
      <c r="D229" s="21" t="n">
        <v>707400</v>
      </c>
      <c r="E229" s="6" t="n">
        <v>23</v>
      </c>
      <c r="F229" s="6" t="n">
        <v>2949</v>
      </c>
      <c r="G229" s="22" t="n">
        <v>0.007800000000000001</v>
      </c>
      <c r="H229" s="21" t="n">
        <v>30757</v>
      </c>
    </row>
    <row r="230">
      <c r="A230" s="20" t="n">
        <v>46065</v>
      </c>
      <c r="B230" s="4" t="inlineStr">
        <is>
          <t>木</t>
        </is>
      </c>
      <c r="C230" s="4" t="inlineStr">
        <is>
          <t>平常日</t>
        </is>
      </c>
      <c r="D230" s="21" t="n">
        <v>524280</v>
      </c>
      <c r="E230" s="6" t="n">
        <v>16</v>
      </c>
      <c r="F230" s="6" t="n">
        <v>2352</v>
      </c>
      <c r="G230" s="22" t="n">
        <v>0.0068</v>
      </c>
      <c r="H230" s="21" t="n">
        <v>32768</v>
      </c>
    </row>
    <row r="231">
      <c r="A231" s="20" t="n">
        <v>46066</v>
      </c>
      <c r="B231" s="4" t="inlineStr">
        <is>
          <t>金</t>
        </is>
      </c>
      <c r="C231" s="4" t="inlineStr">
        <is>
          <t>平常日</t>
        </is>
      </c>
      <c r="D231" s="21" t="n">
        <v>260380</v>
      </c>
      <c r="E231" s="6" t="n">
        <v>9</v>
      </c>
      <c r="F231" s="6" t="n">
        <v>3140</v>
      </c>
      <c r="G231" s="22" t="n">
        <v>0.0029</v>
      </c>
      <c r="H231" s="21" t="n">
        <v>28931</v>
      </c>
    </row>
    <row r="232">
      <c r="A232" s="20" t="n">
        <v>46067</v>
      </c>
      <c r="B232" s="4" t="inlineStr">
        <is>
          <t>土</t>
        </is>
      </c>
      <c r="C232" s="4" t="inlineStr">
        <is>
          <t>平常日</t>
        </is>
      </c>
      <c r="D232" s="21" t="n">
        <v>432380</v>
      </c>
      <c r="E232" s="6" t="n">
        <v>14</v>
      </c>
      <c r="F232" s="6" t="n">
        <v>8077</v>
      </c>
      <c r="G232" s="22" t="n">
        <v>0.0017</v>
      </c>
      <c r="H232" s="21" t="n">
        <v>30884</v>
      </c>
    </row>
    <row r="233">
      <c r="A233" s="20" t="n">
        <v>46068</v>
      </c>
      <c r="B233" s="4" t="inlineStr">
        <is>
          <t>日</t>
        </is>
      </c>
      <c r="C233" s="4" t="inlineStr">
        <is>
          <t>5と0のつく日</t>
        </is>
      </c>
      <c r="D233" s="21" t="n">
        <v>1143700</v>
      </c>
      <c r="E233" s="6" t="n">
        <v>37</v>
      </c>
      <c r="F233" s="6" t="n">
        <v>10581</v>
      </c>
      <c r="G233" s="22" t="n">
        <v>0.0035</v>
      </c>
      <c r="H233" s="21" t="n">
        <v>30911</v>
      </c>
    </row>
    <row r="234">
      <c r="A234" s="20" t="n">
        <v>46069</v>
      </c>
      <c r="B234" s="4" t="inlineStr">
        <is>
          <t>月</t>
        </is>
      </c>
      <c r="C234" s="4" t="inlineStr">
        <is>
          <t>平常日</t>
        </is>
      </c>
      <c r="D234" s="21" t="n">
        <v>834960</v>
      </c>
      <c r="E234" s="6" t="n">
        <v>27</v>
      </c>
      <c r="F234" s="6" t="n">
        <v>9064</v>
      </c>
      <c r="G234" s="22" t="n">
        <v>0.003</v>
      </c>
      <c r="H234" s="21" t="n">
        <v>30924</v>
      </c>
    </row>
    <row r="235">
      <c r="A235" s="20" t="n">
        <v>46070</v>
      </c>
      <c r="B235" s="4" t="inlineStr">
        <is>
          <t>火</t>
        </is>
      </c>
      <c r="C235" s="4" t="inlineStr">
        <is>
          <t>平常日</t>
        </is>
      </c>
      <c r="D235" s="21" t="n">
        <v>526180</v>
      </c>
      <c r="E235" s="6" t="n">
        <v>15</v>
      </c>
      <c r="F235" s="6" t="n">
        <v>10928</v>
      </c>
      <c r="G235" s="22" t="n">
        <v>0.0014</v>
      </c>
      <c r="H235" s="21" t="n">
        <v>35079</v>
      </c>
    </row>
    <row r="236">
      <c r="A236" s="20" t="n">
        <v>46071</v>
      </c>
      <c r="B236" s="4" t="inlineStr">
        <is>
          <t>水</t>
        </is>
      </c>
      <c r="C236" s="4" t="inlineStr">
        <is>
          <t>平常日</t>
        </is>
      </c>
      <c r="D236" s="21" t="n">
        <v>688870</v>
      </c>
      <c r="E236" s="6" t="n">
        <v>21</v>
      </c>
      <c r="F236" s="6" t="n">
        <v>13775</v>
      </c>
      <c r="G236" s="22" t="n">
        <v>0.0015</v>
      </c>
      <c r="H236" s="21" t="n">
        <v>32803</v>
      </c>
    </row>
    <row r="237">
      <c r="A237" s="20" t="n">
        <v>46072</v>
      </c>
      <c r="B237" s="4" t="inlineStr">
        <is>
          <t>木</t>
        </is>
      </c>
      <c r="C237" s="4" t="inlineStr">
        <is>
          <t>平常日</t>
        </is>
      </c>
      <c r="D237" s="21" t="n">
        <v>462840</v>
      </c>
      <c r="E237" s="6" t="n">
        <v>16</v>
      </c>
      <c r="F237" s="6" t="n">
        <v>15206</v>
      </c>
      <c r="G237" s="22" t="n">
        <v>0.0011</v>
      </c>
      <c r="H237" s="21" t="n">
        <v>28928</v>
      </c>
    </row>
    <row r="238">
      <c r="A238" s="20" t="n">
        <v>46073</v>
      </c>
      <c r="B238" s="4" t="inlineStr">
        <is>
          <t>金</t>
        </is>
      </c>
      <c r="C238" s="4" t="inlineStr">
        <is>
          <t>5と0のつく日</t>
        </is>
      </c>
      <c r="D238" s="21" t="n">
        <v>1614260</v>
      </c>
      <c r="E238" s="6" t="n">
        <v>58</v>
      </c>
      <c r="F238" s="6" t="n">
        <v>13451</v>
      </c>
      <c r="G238" s="22" t="n">
        <v>0.0043</v>
      </c>
      <c r="H238" s="21" t="n">
        <v>27832</v>
      </c>
    </row>
    <row r="239">
      <c r="A239" s="20" t="n">
        <v>46074</v>
      </c>
      <c r="B239" s="4" t="inlineStr">
        <is>
          <t>土</t>
        </is>
      </c>
      <c r="C239" s="4" t="inlineStr">
        <is>
          <t>平常日</t>
        </is>
      </c>
      <c r="D239" s="21" t="n">
        <v>732580</v>
      </c>
      <c r="E239" s="6" t="n">
        <v>23</v>
      </c>
      <c r="F239" s="6" t="n">
        <v>15368</v>
      </c>
      <c r="G239" s="22" t="n">
        <v>0.0015</v>
      </c>
      <c r="H239" s="21" t="n">
        <v>31851</v>
      </c>
    </row>
    <row r="240">
      <c r="A240" s="20" t="n">
        <v>46075</v>
      </c>
      <c r="B240" s="4" t="inlineStr">
        <is>
          <t>日</t>
        </is>
      </c>
      <c r="C240" s="4" t="inlineStr">
        <is>
          <t>平常日</t>
        </is>
      </c>
      <c r="D240" s="21" t="n">
        <v>1188340</v>
      </c>
      <c r="E240" s="6" t="n">
        <v>41</v>
      </c>
      <c r="F240" s="6" t="n">
        <v>16187</v>
      </c>
      <c r="G240" s="22" t="n">
        <v>0.0025</v>
      </c>
      <c r="H240" s="21" t="n">
        <v>28984</v>
      </c>
    </row>
    <row r="241">
      <c r="A241" s="20" t="n">
        <v>46076</v>
      </c>
      <c r="B241" s="4" t="inlineStr">
        <is>
          <t>月</t>
        </is>
      </c>
      <c r="C241" s="4" t="inlineStr">
        <is>
          <t>平常日</t>
        </is>
      </c>
      <c r="D241" s="21" t="n">
        <v>570060</v>
      </c>
      <c r="E241" s="6" t="n">
        <v>18</v>
      </c>
      <c r="F241" s="6" t="n">
        <v>14413</v>
      </c>
      <c r="G241" s="22" t="n">
        <v>0.0012</v>
      </c>
      <c r="H241" s="21" t="n">
        <v>31670</v>
      </c>
    </row>
    <row r="242">
      <c r="A242" s="20" t="n">
        <v>46077</v>
      </c>
      <c r="B242" s="4" t="inlineStr">
        <is>
          <t>火</t>
        </is>
      </c>
      <c r="C242" s="4" t="inlineStr">
        <is>
          <t>平常日</t>
        </is>
      </c>
      <c r="D242" s="21" t="n">
        <v>546200</v>
      </c>
      <c r="E242" s="6" t="n">
        <v>21</v>
      </c>
      <c r="F242" s="6" t="n">
        <v>11160</v>
      </c>
      <c r="G242" s="22" t="n">
        <v>0.0019</v>
      </c>
      <c r="H242" s="21" t="n">
        <v>26010</v>
      </c>
    </row>
    <row r="243">
      <c r="A243" s="20" t="n">
        <v>46078</v>
      </c>
      <c r="B243" s="4" t="inlineStr">
        <is>
          <t>水</t>
        </is>
      </c>
      <c r="C243" s="4" t="inlineStr">
        <is>
          <t>5と0のつく日</t>
        </is>
      </c>
      <c r="D243" s="21" t="n">
        <v>1332440</v>
      </c>
      <c r="E243" s="6" t="n">
        <v>43</v>
      </c>
      <c r="F243" s="6" t="n">
        <v>10777</v>
      </c>
      <c r="G243" s="22" t="n">
        <v>0.004</v>
      </c>
      <c r="H243" s="21" t="n">
        <v>30987</v>
      </c>
    </row>
    <row r="244">
      <c r="A244" s="20" t="n">
        <v>46079</v>
      </c>
      <c r="B244" s="4" t="inlineStr">
        <is>
          <t>木</t>
        </is>
      </c>
      <c r="C244" s="4" t="inlineStr">
        <is>
          <t>平常日</t>
        </is>
      </c>
      <c r="D244" s="21" t="n">
        <v>552320</v>
      </c>
      <c r="E244" s="6" t="n">
        <v>19</v>
      </c>
      <c r="F244" s="6" t="n">
        <v>9702</v>
      </c>
      <c r="G244" s="22" t="n">
        <v>0.002</v>
      </c>
      <c r="H244" s="21" t="n">
        <v>29069</v>
      </c>
    </row>
    <row r="245">
      <c r="A245" s="20" t="n">
        <v>46080</v>
      </c>
      <c r="B245" s="4" t="inlineStr">
        <is>
          <t>金</t>
        </is>
      </c>
      <c r="C245" s="4" t="inlineStr">
        <is>
          <t>平常日</t>
        </is>
      </c>
      <c r="D245" s="21" t="n">
        <v>728280</v>
      </c>
      <c r="E245" s="6" t="n">
        <v>22</v>
      </c>
      <c r="F245" s="6" t="n">
        <v>9125</v>
      </c>
      <c r="G245" s="22" t="n">
        <v>0.0024</v>
      </c>
      <c r="H245" s="21" t="n">
        <v>33104</v>
      </c>
    </row>
    <row r="246">
      <c r="A246" s="20" t="n">
        <v>46081</v>
      </c>
      <c r="B246" s="4" t="inlineStr">
        <is>
          <t>土</t>
        </is>
      </c>
      <c r="C246" s="4" t="inlineStr">
        <is>
          <t>平常日</t>
        </is>
      </c>
      <c r="D246" s="21" t="n">
        <v>466660</v>
      </c>
      <c r="E246" s="6" t="n">
        <v>16</v>
      </c>
      <c r="F246" s="6" t="n">
        <v>6181</v>
      </c>
      <c r="G246" s="22" t="n">
        <v>0.0026</v>
      </c>
      <c r="H246" s="21" t="n">
        <v>29166</v>
      </c>
    </row>
    <row r="247">
      <c r="A247" s="20" t="n">
        <v>46082</v>
      </c>
      <c r="B247" s="4" t="inlineStr">
        <is>
          <t>日</t>
        </is>
      </c>
      <c r="C247" s="4" t="inlineStr">
        <is>
          <t>ワンダフルデー</t>
        </is>
      </c>
      <c r="D247" s="21" t="n">
        <v>1486910</v>
      </c>
      <c r="E247" s="6" t="n">
        <v>43</v>
      </c>
      <c r="F247" s="6" t="n">
        <v>7285</v>
      </c>
      <c r="G247" s="22" t="n">
        <v>0.0059</v>
      </c>
      <c r="H247" s="21" t="n">
        <v>34579</v>
      </c>
    </row>
    <row r="248">
      <c r="A248" s="20" t="n">
        <v>46083</v>
      </c>
      <c r="B248" s="4" t="inlineStr">
        <is>
          <t>月</t>
        </is>
      </c>
      <c r="C248" s="4" t="inlineStr">
        <is>
          <t>平常日</t>
        </is>
      </c>
      <c r="D248" s="21" t="n">
        <v>551480</v>
      </c>
      <c r="E248" s="6" t="n">
        <v>16</v>
      </c>
      <c r="F248" s="6" t="n">
        <v>5403</v>
      </c>
      <c r="G248" s="22" t="n">
        <v>0.003</v>
      </c>
      <c r="H248" s="21" t="n">
        <v>34468</v>
      </c>
    </row>
    <row r="249">
      <c r="A249" s="20" t="n">
        <v>46084</v>
      </c>
      <c r="B249" s="4" t="inlineStr">
        <is>
          <t>火</t>
        </is>
      </c>
      <c r="C249" s="4" t="inlineStr">
        <is>
          <t>平常日</t>
        </is>
      </c>
      <c r="D249" s="21" t="n">
        <v>454180</v>
      </c>
      <c r="E249" s="6" t="n">
        <v>17</v>
      </c>
      <c r="F249" s="6" t="n">
        <v>5922</v>
      </c>
      <c r="G249" s="22" t="n">
        <v>0.0029</v>
      </c>
      <c r="H249" s="21" t="n">
        <v>26716</v>
      </c>
    </row>
    <row r="250">
      <c r="A250" s="20" t="n">
        <v>46085</v>
      </c>
      <c r="B250" s="4" t="inlineStr">
        <is>
          <t>水</t>
        </is>
      </c>
      <c r="C250" s="4" t="inlineStr">
        <is>
          <t>スーパーSALE</t>
        </is>
      </c>
      <c r="D250" s="21" t="n">
        <v>2123020</v>
      </c>
      <c r="E250" s="6" t="n">
        <v>70</v>
      </c>
      <c r="F250" s="6" t="n">
        <v>6966</v>
      </c>
      <c r="G250" s="22" t="n">
        <v>0.01</v>
      </c>
      <c r="H250" s="21" t="n">
        <v>30329</v>
      </c>
    </row>
    <row r="251">
      <c r="A251" s="20" t="n">
        <v>46086</v>
      </c>
      <c r="B251" s="4" t="inlineStr">
        <is>
          <t>木</t>
        </is>
      </c>
      <c r="C251" s="4" t="inlineStr">
        <is>
          <t>スーパーSALE</t>
        </is>
      </c>
      <c r="D251" s="21" t="n">
        <v>3323780</v>
      </c>
      <c r="E251" s="6" t="n">
        <v>105</v>
      </c>
      <c r="F251" s="6" t="n">
        <v>7270</v>
      </c>
      <c r="G251" s="22" t="n">
        <v>0.0144</v>
      </c>
      <c r="H251" s="21" t="n">
        <v>31655</v>
      </c>
    </row>
    <row r="252">
      <c r="A252" s="20" t="n">
        <v>46087</v>
      </c>
      <c r="B252" s="4" t="inlineStr">
        <is>
          <t>金</t>
        </is>
      </c>
      <c r="C252" s="4" t="inlineStr">
        <is>
          <t>スーパーSALE</t>
        </is>
      </c>
      <c r="D252" s="21" t="n">
        <v>868220</v>
      </c>
      <c r="E252" s="6" t="n">
        <v>28</v>
      </c>
      <c r="F252" s="6" t="n">
        <v>6768</v>
      </c>
      <c r="G252" s="22" t="n">
        <v>0.004099999999999999</v>
      </c>
      <c r="H252" s="21" t="n">
        <v>31008</v>
      </c>
    </row>
    <row r="253">
      <c r="A253" s="20" t="n">
        <v>46088</v>
      </c>
      <c r="B253" s="4" t="inlineStr">
        <is>
          <t>土</t>
        </is>
      </c>
      <c r="C253" s="4" t="inlineStr">
        <is>
          <t>スーパーSALE</t>
        </is>
      </c>
      <c r="D253" s="21" t="n">
        <v>689240</v>
      </c>
      <c r="E253" s="6" t="n">
        <v>23</v>
      </c>
      <c r="F253" s="6" t="n">
        <v>8273</v>
      </c>
      <c r="G253" s="22" t="n">
        <v>0.0028</v>
      </c>
      <c r="H253" s="21" t="n">
        <v>29967</v>
      </c>
    </row>
    <row r="254">
      <c r="A254" s="20" t="n">
        <v>46089</v>
      </c>
      <c r="B254" s="4" t="inlineStr">
        <is>
          <t>日</t>
        </is>
      </c>
      <c r="C254" s="4" t="inlineStr">
        <is>
          <t>スーパーSALE</t>
        </is>
      </c>
      <c r="D254" s="21" t="n">
        <v>943940</v>
      </c>
      <c r="E254" s="6" t="n">
        <v>34</v>
      </c>
      <c r="F254" s="6" t="n">
        <v>10453</v>
      </c>
      <c r="G254" s="22" t="n">
        <v>0.0033</v>
      </c>
      <c r="H254" s="21" t="n">
        <v>27763</v>
      </c>
    </row>
    <row r="255">
      <c r="A255" s="20" t="n">
        <v>46090</v>
      </c>
      <c r="B255" s="4" t="inlineStr">
        <is>
          <t>月</t>
        </is>
      </c>
      <c r="C255" s="4" t="inlineStr">
        <is>
          <t>スーパーSALE</t>
        </is>
      </c>
      <c r="D255" s="21" t="n">
        <v>600860</v>
      </c>
      <c r="E255" s="6" t="n">
        <v>20</v>
      </c>
      <c r="F255" s="6" t="n">
        <v>8835</v>
      </c>
      <c r="G255" s="22" t="n">
        <v>0.0023</v>
      </c>
      <c r="H255" s="21" t="n">
        <v>30043</v>
      </c>
    </row>
    <row r="256">
      <c r="A256" s="20" t="n">
        <v>46091</v>
      </c>
      <c r="B256" s="4" t="inlineStr">
        <is>
          <t>火</t>
        </is>
      </c>
      <c r="C256" s="4" t="inlineStr">
        <is>
          <t>スーパーSALE</t>
        </is>
      </c>
      <c r="D256" s="21" t="n">
        <v>2704160</v>
      </c>
      <c r="E256" s="6" t="n">
        <v>94</v>
      </c>
      <c r="F256" s="6" t="n">
        <v>10283</v>
      </c>
      <c r="G256" s="22" t="n">
        <v>0.0091</v>
      </c>
      <c r="H256" s="21" t="n">
        <v>28768</v>
      </c>
    </row>
    <row r="257">
      <c r="A257" s="20" t="n">
        <v>46092</v>
      </c>
      <c r="B257" s="4" t="inlineStr">
        <is>
          <t>水</t>
        </is>
      </c>
      <c r="C257" s="4" t="inlineStr">
        <is>
          <t>スーパーSALE</t>
        </is>
      </c>
      <c r="D257" s="21" t="n">
        <v>711220</v>
      </c>
      <c r="E257" s="6" t="n">
        <v>22</v>
      </c>
      <c r="F257" s="6" t="n">
        <v>7059</v>
      </c>
      <c r="G257" s="22" t="n">
        <v>0.0031</v>
      </c>
      <c r="H257" s="21" t="n">
        <v>32328</v>
      </c>
    </row>
    <row r="258">
      <c r="A258" s="20" t="n">
        <v>46093</v>
      </c>
      <c r="B258" s="4" t="inlineStr">
        <is>
          <t>木</t>
        </is>
      </c>
      <c r="C258" s="4" t="inlineStr">
        <is>
          <t>平常日</t>
        </is>
      </c>
      <c r="D258" s="21" t="n">
        <v>517280</v>
      </c>
      <c r="E258" s="6" t="n">
        <v>19</v>
      </c>
      <c r="F258" s="6" t="n">
        <v>6181</v>
      </c>
      <c r="G258" s="22" t="n">
        <v>0.0031</v>
      </c>
      <c r="H258" s="21" t="n">
        <v>27225</v>
      </c>
    </row>
    <row r="259">
      <c r="A259" s="20" t="n">
        <v>46094</v>
      </c>
      <c r="B259" s="4" t="inlineStr">
        <is>
          <t>金</t>
        </is>
      </c>
      <c r="C259" s="4" t="inlineStr">
        <is>
          <t>平常日</t>
        </is>
      </c>
      <c r="D259" s="21" t="n">
        <v>677980</v>
      </c>
      <c r="E259" s="6" t="n">
        <v>21</v>
      </c>
      <c r="F259" s="6" t="n">
        <v>6429</v>
      </c>
      <c r="G259" s="22" t="n">
        <v>0.0033</v>
      </c>
      <c r="H259" s="21" t="n">
        <v>32285</v>
      </c>
    </row>
    <row r="260">
      <c r="A260" s="20" t="n">
        <v>46095</v>
      </c>
      <c r="B260" s="4" t="inlineStr">
        <is>
          <t>土</t>
        </is>
      </c>
      <c r="C260" s="4" t="inlineStr">
        <is>
          <t>平常日</t>
        </is>
      </c>
      <c r="D260" s="21" t="n">
        <v>423600</v>
      </c>
      <c r="E260" s="6" t="n">
        <v>12</v>
      </c>
      <c r="F260" s="6" t="n">
        <v>6423</v>
      </c>
      <c r="G260" s="22" t="n">
        <v>0.0019</v>
      </c>
      <c r="H260" s="21" t="n">
        <v>35300</v>
      </c>
    </row>
    <row r="261">
      <c r="A261" s="20" t="n">
        <v>46096</v>
      </c>
      <c r="B261" s="4" t="inlineStr">
        <is>
          <t>日</t>
        </is>
      </c>
      <c r="C261" s="4" t="inlineStr">
        <is>
          <t>5と0のつく日</t>
        </is>
      </c>
      <c r="D261" s="21" t="n">
        <v>826100</v>
      </c>
      <c r="E261" s="6" t="n">
        <v>29</v>
      </c>
      <c r="F261" s="6" t="n">
        <v>7001</v>
      </c>
      <c r="G261" s="22" t="n">
        <v>0.004099999999999999</v>
      </c>
      <c r="H261" s="21" t="n">
        <v>28486</v>
      </c>
    </row>
    <row r="262">
      <c r="A262" s="20" t="n">
        <v>46097</v>
      </c>
      <c r="B262" s="4" t="inlineStr">
        <is>
          <t>月</t>
        </is>
      </c>
      <c r="C262" s="4" t="inlineStr">
        <is>
          <t>平常日</t>
        </is>
      </c>
      <c r="D262" s="21" t="n">
        <v>487160</v>
      </c>
      <c r="E262" s="6" t="n">
        <v>15</v>
      </c>
      <c r="F262" s="6" t="n">
        <v>6148</v>
      </c>
      <c r="G262" s="22" t="n">
        <v>0.0024</v>
      </c>
      <c r="H262" s="21" t="n">
        <v>32477</v>
      </c>
    </row>
    <row r="263">
      <c r="A263" s="20" t="n">
        <v>46098</v>
      </c>
      <c r="B263" s="4" t="inlineStr">
        <is>
          <t>火</t>
        </is>
      </c>
      <c r="C263" s="4" t="inlineStr">
        <is>
          <t>平常日</t>
        </is>
      </c>
      <c r="D263" s="21" t="n">
        <v>675180</v>
      </c>
      <c r="E263" s="6" t="n">
        <v>18</v>
      </c>
      <c r="F263" s="6" t="n">
        <v>6135</v>
      </c>
      <c r="G263" s="22" t="n">
        <v>0.0029</v>
      </c>
      <c r="H263" s="21" t="n">
        <v>37510</v>
      </c>
    </row>
    <row r="264">
      <c r="A264" s="20" t="n">
        <v>46099</v>
      </c>
      <c r="B264" s="4" t="inlineStr">
        <is>
          <t>水</t>
        </is>
      </c>
      <c r="C264" s="4" t="inlineStr">
        <is>
          <t>平常日</t>
        </is>
      </c>
      <c r="D264" s="21" t="n">
        <v>654730</v>
      </c>
      <c r="E264" s="6" t="n">
        <v>23</v>
      </c>
      <c r="F264" s="6" t="n">
        <v>5799</v>
      </c>
      <c r="G264" s="22" t="n">
        <v>0.004</v>
      </c>
      <c r="H264" s="21" t="n">
        <v>28467</v>
      </c>
    </row>
    <row r="265">
      <c r="A265" s="20" t="n">
        <v>46100</v>
      </c>
      <c r="B265" s="4" t="inlineStr">
        <is>
          <t>木</t>
        </is>
      </c>
      <c r="C265" s="4" t="inlineStr">
        <is>
          <t>平常日</t>
        </is>
      </c>
      <c r="D265" s="21" t="n">
        <v>425570</v>
      </c>
      <c r="E265" s="6" t="n">
        <v>13</v>
      </c>
      <c r="F265" s="6" t="n">
        <v>7036</v>
      </c>
      <c r="G265" s="22" t="n">
        <v>0.0018</v>
      </c>
      <c r="H265" s="21" t="n">
        <v>32736</v>
      </c>
    </row>
    <row r="266">
      <c r="A266" s="20" t="n">
        <v>46101</v>
      </c>
      <c r="B266" s="4" t="inlineStr">
        <is>
          <t>金</t>
        </is>
      </c>
      <c r="C266" s="4" t="inlineStr">
        <is>
          <t>5と0のつく日</t>
        </is>
      </c>
      <c r="D266" s="21" t="n">
        <v>1687140</v>
      </c>
      <c r="E266" s="6" t="n">
        <v>64</v>
      </c>
      <c r="F266" s="6" t="n">
        <v>13017</v>
      </c>
      <c r="G266" s="22" t="n">
        <v>0.0049</v>
      </c>
      <c r="H266" s="21" t="n">
        <v>26362</v>
      </c>
    </row>
    <row r="267">
      <c r="A267" s="20" t="n">
        <v>46102</v>
      </c>
      <c r="B267" s="4" t="inlineStr">
        <is>
          <t>土</t>
        </is>
      </c>
      <c r="C267" s="4" t="inlineStr">
        <is>
          <t>平常日</t>
        </is>
      </c>
      <c r="D267" s="21" t="n">
        <v>733540</v>
      </c>
      <c r="E267" s="6" t="n">
        <v>24</v>
      </c>
      <c r="F267" s="6" t="n">
        <v>21019</v>
      </c>
      <c r="G267" s="22" t="n">
        <v>0.0011</v>
      </c>
      <c r="H267" s="21" t="n">
        <v>30564</v>
      </c>
    </row>
    <row r="268">
      <c r="A268" s="20" t="n">
        <v>46103</v>
      </c>
      <c r="B268" s="4" t="inlineStr">
        <is>
          <t>日</t>
        </is>
      </c>
      <c r="C268" s="4" t="inlineStr">
        <is>
          <t>平常日</t>
        </is>
      </c>
      <c r="D268" s="21" t="n">
        <v>843400</v>
      </c>
      <c r="E268" s="6" t="n">
        <v>30</v>
      </c>
      <c r="F268" s="6" t="n">
        <v>24496</v>
      </c>
      <c r="G268" s="22" t="n">
        <v>0.0012</v>
      </c>
      <c r="H268" s="21" t="n">
        <v>28113</v>
      </c>
    </row>
    <row r="269">
      <c r="A269" s="20" t="n">
        <v>46104</v>
      </c>
      <c r="B269" s="4" t="inlineStr">
        <is>
          <t>月</t>
        </is>
      </c>
      <c r="C269" s="4" t="inlineStr">
        <is>
          <t>平常日</t>
        </is>
      </c>
      <c r="D269" s="21" t="n">
        <v>882780</v>
      </c>
      <c r="E269" s="6" t="n">
        <v>28</v>
      </c>
      <c r="F269" s="6" t="n">
        <v>19862</v>
      </c>
      <c r="G269" s="22" t="n">
        <v>0.0014</v>
      </c>
      <c r="H269" s="21" t="n">
        <v>31528</v>
      </c>
    </row>
    <row r="270">
      <c r="A270" s="20" t="n">
        <v>46105</v>
      </c>
      <c r="B270" s="4" t="inlineStr">
        <is>
          <t>火</t>
        </is>
      </c>
      <c r="C270" s="4" t="inlineStr">
        <is>
          <t>平常日</t>
        </is>
      </c>
      <c r="D270" s="21" t="n">
        <v>637300</v>
      </c>
      <c r="E270" s="6" t="n">
        <v>21</v>
      </c>
      <c r="F270" s="6" t="n">
        <v>17446</v>
      </c>
      <c r="G270" s="22" t="n">
        <v>0.0012</v>
      </c>
      <c r="H270" s="21" t="n">
        <v>30348</v>
      </c>
    </row>
    <row r="271">
      <c r="A271" s="20" t="n">
        <v>46106</v>
      </c>
      <c r="B271" s="4" t="inlineStr">
        <is>
          <t>水</t>
        </is>
      </c>
      <c r="C271" s="4" t="inlineStr">
        <is>
          <t>5と0のつく日</t>
        </is>
      </c>
      <c r="D271" s="21" t="n">
        <v>2046920</v>
      </c>
      <c r="E271" s="6" t="n">
        <v>69</v>
      </c>
      <c r="F271" s="6" t="n">
        <v>14435</v>
      </c>
      <c r="G271" s="22" t="n">
        <v>0.0048</v>
      </c>
      <c r="H271" s="21" t="n">
        <v>29666</v>
      </c>
    </row>
    <row r="272">
      <c r="A272" s="20" t="n">
        <v>46107</v>
      </c>
      <c r="B272" s="4" t="inlineStr">
        <is>
          <t>木</t>
        </is>
      </c>
      <c r="C272" s="4" t="inlineStr">
        <is>
          <t>平常日</t>
        </is>
      </c>
      <c r="D272" s="21" t="n">
        <v>419060</v>
      </c>
      <c r="E272" s="6" t="n">
        <v>12</v>
      </c>
      <c r="F272" s="6" t="n">
        <v>13356</v>
      </c>
      <c r="G272" s="22" t="n">
        <v>0.0009</v>
      </c>
      <c r="H272" s="21" t="n">
        <v>34922</v>
      </c>
    </row>
    <row r="273">
      <c r="A273" s="20" t="n">
        <v>46108</v>
      </c>
      <c r="B273" s="4" t="inlineStr">
        <is>
          <t>金</t>
        </is>
      </c>
      <c r="C273" s="4" t="inlineStr">
        <is>
          <t>平常日</t>
        </is>
      </c>
      <c r="D273" s="21" t="n">
        <v>623520</v>
      </c>
      <c r="E273" s="6" t="n">
        <v>19</v>
      </c>
      <c r="F273" s="6" t="n">
        <v>12356</v>
      </c>
      <c r="G273" s="22" t="n">
        <v>0.0015</v>
      </c>
      <c r="H273" s="21" t="n">
        <v>32817</v>
      </c>
    </row>
    <row r="274">
      <c r="A274" s="20" t="n">
        <v>46109</v>
      </c>
      <c r="B274" s="4" t="inlineStr">
        <is>
          <t>土</t>
        </is>
      </c>
      <c r="C274" s="4" t="inlineStr">
        <is>
          <t>平常日</t>
        </is>
      </c>
      <c r="D274" s="21" t="n">
        <v>710900</v>
      </c>
      <c r="E274" s="6" t="n">
        <v>23</v>
      </c>
      <c r="F274" s="6" t="n">
        <v>14817</v>
      </c>
      <c r="G274" s="22" t="n">
        <v>0.0016</v>
      </c>
      <c r="H274" s="21" t="n">
        <v>30909</v>
      </c>
    </row>
    <row r="275">
      <c r="A275" s="20" t="n">
        <v>46110</v>
      </c>
      <c r="B275" s="4" t="inlineStr">
        <is>
          <t>日</t>
        </is>
      </c>
      <c r="C275" s="4" t="inlineStr">
        <is>
          <t>平常日</t>
        </is>
      </c>
      <c r="D275" s="21" t="n">
        <v>769360</v>
      </c>
      <c r="E275" s="6" t="n">
        <v>25</v>
      </c>
      <c r="F275" s="6" t="n">
        <v>18288</v>
      </c>
      <c r="G275" s="22" t="n">
        <v>0.0014</v>
      </c>
      <c r="H275" s="21" t="n">
        <v>30774</v>
      </c>
    </row>
    <row r="276">
      <c r="A276" s="20" t="n">
        <v>46111</v>
      </c>
      <c r="B276" s="4" t="inlineStr">
        <is>
          <t>月</t>
        </is>
      </c>
      <c r="C276" s="4" t="inlineStr">
        <is>
          <t>5と0のつく日</t>
        </is>
      </c>
      <c r="D276" s="21" t="n">
        <v>1299900</v>
      </c>
      <c r="E276" s="6" t="n">
        <v>42</v>
      </c>
      <c r="F276" s="6" t="n">
        <v>13921</v>
      </c>
      <c r="G276" s="22" t="n">
        <v>0.003</v>
      </c>
      <c r="H276" s="21" t="n">
        <v>30950</v>
      </c>
    </row>
    <row r="277">
      <c r="A277" s="20" t="n">
        <v>46112</v>
      </c>
      <c r="B277" s="4" t="inlineStr">
        <is>
          <t>火</t>
        </is>
      </c>
      <c r="C277" s="4" t="inlineStr">
        <is>
          <t>平常日</t>
        </is>
      </c>
      <c r="D277" s="21" t="n">
        <v>889800</v>
      </c>
      <c r="E277" s="6" t="n">
        <v>26</v>
      </c>
      <c r="F277" s="6" t="n">
        <v>11004</v>
      </c>
      <c r="G277" s="22" t="n">
        <v>0.0024</v>
      </c>
      <c r="H277" s="21" t="n">
        <v>34223</v>
      </c>
    </row>
    <row r="278">
      <c r="A278" s="20" t="n">
        <v>46113</v>
      </c>
      <c r="B278" s="4" t="inlineStr">
        <is>
          <t>水</t>
        </is>
      </c>
      <c r="C278" s="4" t="inlineStr">
        <is>
          <t>ワンダフルデー</t>
        </is>
      </c>
      <c r="D278" s="21" t="n">
        <v>890970</v>
      </c>
      <c r="E278" s="6" t="n">
        <v>25</v>
      </c>
      <c r="F278" s="6" t="n">
        <v>25648</v>
      </c>
      <c r="G278" s="22" t="n">
        <v>0.001</v>
      </c>
      <c r="H278" s="21" t="n">
        <v>35639</v>
      </c>
    </row>
    <row r="279">
      <c r="A279" s="20" t="n">
        <v>46114</v>
      </c>
      <c r="B279" s="4" t="inlineStr">
        <is>
          <t>木</t>
        </is>
      </c>
      <c r="C279" s="4" t="inlineStr">
        <is>
          <t>平常日</t>
        </is>
      </c>
      <c r="D279" s="21" t="n">
        <v>641120</v>
      </c>
      <c r="E279" s="6" t="n">
        <v>25</v>
      </c>
      <c r="F279" s="6" t="n">
        <v>20120</v>
      </c>
      <c r="G279" s="22" t="n">
        <v>0.0012</v>
      </c>
      <c r="H279" s="21" t="n">
        <v>25645</v>
      </c>
    </row>
    <row r="280">
      <c r="A280" s="20" t="n">
        <v>46115</v>
      </c>
      <c r="B280" s="4" t="inlineStr">
        <is>
          <t>金</t>
        </is>
      </c>
      <c r="C280" s="4" t="inlineStr">
        <is>
          <t>平常日</t>
        </is>
      </c>
      <c r="D280" s="21" t="n">
        <v>659300</v>
      </c>
      <c r="E280" s="6" t="n">
        <v>22</v>
      </c>
      <c r="F280" s="6" t="n">
        <v>18305</v>
      </c>
      <c r="G280" s="22" t="n">
        <v>0.0012</v>
      </c>
      <c r="H280" s="21" t="n">
        <v>29968</v>
      </c>
    </row>
    <row r="281">
      <c r="A281" s="20" t="n">
        <v>46116</v>
      </c>
      <c r="B281" s="4" t="inlineStr">
        <is>
          <t>土</t>
        </is>
      </c>
      <c r="C281" s="4" t="inlineStr">
        <is>
          <t>お買い物マラソン(推定)</t>
        </is>
      </c>
      <c r="D281" s="21" t="n">
        <v>1003760</v>
      </c>
      <c r="E281" s="6" t="n">
        <v>34</v>
      </c>
      <c r="F281" s="6" t="n">
        <v>25439</v>
      </c>
      <c r="G281" s="22" t="n">
        <v>0.0013</v>
      </c>
      <c r="H281" s="21" t="n">
        <v>29522</v>
      </c>
    </row>
    <row r="282">
      <c r="A282" s="20" t="n">
        <v>46117</v>
      </c>
      <c r="B282" s="4" t="inlineStr">
        <is>
          <t>日</t>
        </is>
      </c>
      <c r="C282" s="4" t="inlineStr">
        <is>
          <t>お買い物マラソン(推定)</t>
        </is>
      </c>
      <c r="D282" s="21" t="n">
        <v>4252900</v>
      </c>
      <c r="E282" s="6" t="n">
        <v>140</v>
      </c>
      <c r="F282" s="6" t="n">
        <v>38599</v>
      </c>
      <c r="G282" s="22" t="n">
        <v>0.0036</v>
      </c>
      <c r="H282" s="21" t="n">
        <v>30378</v>
      </c>
    </row>
    <row r="283">
      <c r="A283" s="20" t="n">
        <v>46118</v>
      </c>
      <c r="B283" s="4" t="inlineStr">
        <is>
          <t>月</t>
        </is>
      </c>
      <c r="C283" s="4" t="inlineStr">
        <is>
          <t>お買い物マラソン(推定)</t>
        </is>
      </c>
      <c r="D283" s="21" t="n">
        <v>756540</v>
      </c>
      <c r="E283" s="6" t="n">
        <v>25</v>
      </c>
      <c r="F283" s="6" t="n">
        <v>20841</v>
      </c>
      <c r="G283" s="22" t="n">
        <v>0.0012</v>
      </c>
      <c r="H283" s="21" t="n">
        <v>30262</v>
      </c>
    </row>
    <row r="284">
      <c r="A284" s="20" t="n">
        <v>46119</v>
      </c>
      <c r="B284" s="4" t="inlineStr">
        <is>
          <t>火</t>
        </is>
      </c>
      <c r="C284" s="4" t="inlineStr">
        <is>
          <t>お買い物マラソン(推定)</t>
        </is>
      </c>
      <c r="D284" s="21" t="n">
        <v>1230520</v>
      </c>
      <c r="E284" s="6" t="n">
        <v>41</v>
      </c>
      <c r="F284" s="6" t="n">
        <v>17355</v>
      </c>
      <c r="G284" s="22" t="n">
        <v>0.0024</v>
      </c>
      <c r="H284" s="21" t="n">
        <v>30013</v>
      </c>
    </row>
    <row r="285">
      <c r="A285" s="20" t="n">
        <v>46120</v>
      </c>
      <c r="B285" s="4" t="inlineStr">
        <is>
          <t>水</t>
        </is>
      </c>
      <c r="C285" s="4" t="inlineStr">
        <is>
          <t>お買い物マラソン(推定)</t>
        </is>
      </c>
      <c r="D285" s="21" t="n">
        <v>1065740</v>
      </c>
      <c r="E285" s="6" t="n">
        <v>32</v>
      </c>
      <c r="F285" s="6" t="n">
        <v>20099</v>
      </c>
      <c r="G285" s="22" t="n">
        <v>0.0016</v>
      </c>
      <c r="H285" s="21" t="n">
        <v>33304</v>
      </c>
    </row>
    <row r="286">
      <c r="A286" s="20" t="n">
        <v>46121</v>
      </c>
      <c r="B286" s="4" t="inlineStr">
        <is>
          <t>木</t>
        </is>
      </c>
      <c r="C286" s="4" t="inlineStr">
        <is>
          <t>お買い物マラソン(推定)</t>
        </is>
      </c>
      <c r="D286" s="21" t="n">
        <v>1197750</v>
      </c>
      <c r="E286" s="6" t="n">
        <v>42</v>
      </c>
      <c r="F286" s="6" t="n">
        <v>20018</v>
      </c>
      <c r="G286" s="22" t="n">
        <v>0.0021</v>
      </c>
      <c r="H286" s="21" t="n">
        <v>28518</v>
      </c>
    </row>
    <row r="287">
      <c r="A287" s="20" t="n">
        <v>46122</v>
      </c>
      <c r="B287" s="4" t="inlineStr">
        <is>
          <t>金</t>
        </is>
      </c>
      <c r="C287" s="4" t="inlineStr">
        <is>
          <t>お買い物マラソン(推定)</t>
        </is>
      </c>
      <c r="D287" s="21" t="n">
        <v>1220400</v>
      </c>
      <c r="E287" s="6" t="n">
        <v>46</v>
      </c>
      <c r="F287" s="6" t="n">
        <v>18300</v>
      </c>
      <c r="G287" s="22" t="n">
        <v>0.0025</v>
      </c>
      <c r="H287" s="21" t="n">
        <v>26530</v>
      </c>
    </row>
    <row r="288">
      <c r="A288" s="20" t="n">
        <v>46123</v>
      </c>
      <c r="B288" s="4" t="inlineStr">
        <is>
          <t>土</t>
        </is>
      </c>
      <c r="C288" s="4" t="inlineStr">
        <is>
          <t>お買い物マラソン(推定)</t>
        </is>
      </c>
      <c r="D288" s="21" t="n">
        <v>561940</v>
      </c>
      <c r="E288" s="6" t="n">
        <v>18</v>
      </c>
      <c r="F288" s="6" t="n">
        <v>14184</v>
      </c>
      <c r="G288" s="22" t="n">
        <v>0.0013</v>
      </c>
      <c r="H288" s="21" t="n">
        <v>31219</v>
      </c>
    </row>
    <row r="289">
      <c r="A289" s="20" t="n">
        <v>46124</v>
      </c>
      <c r="B289" s="4" t="inlineStr">
        <is>
          <t>日</t>
        </is>
      </c>
      <c r="C289" s="4" t="inlineStr">
        <is>
          <t>平常日</t>
        </is>
      </c>
      <c r="D289" s="21" t="n">
        <v>734320</v>
      </c>
      <c r="E289" s="6" t="n">
        <v>20</v>
      </c>
      <c r="F289" s="6" t="n">
        <v>15807</v>
      </c>
      <c r="G289" s="22" t="n">
        <v>0.0013</v>
      </c>
      <c r="H289" s="21" t="n">
        <v>36716</v>
      </c>
    </row>
    <row r="290">
      <c r="A290" s="20" t="n">
        <v>46125</v>
      </c>
      <c r="B290" s="4" t="inlineStr">
        <is>
          <t>月</t>
        </is>
      </c>
      <c r="C290" s="4" t="inlineStr">
        <is>
          <t>平常日</t>
        </is>
      </c>
      <c r="D290" s="21" t="n">
        <v>826340</v>
      </c>
      <c r="E290" s="6" t="n">
        <v>25</v>
      </c>
      <c r="F290" s="6" t="n">
        <v>13050</v>
      </c>
      <c r="G290" s="22" t="n">
        <v>0.0019</v>
      </c>
      <c r="H290" s="21" t="n">
        <v>33054</v>
      </c>
    </row>
    <row r="291">
      <c r="A291" s="20" t="n">
        <v>46126</v>
      </c>
      <c r="B291" s="4" t="inlineStr">
        <is>
          <t>火</t>
        </is>
      </c>
      <c r="C291" s="4" t="inlineStr">
        <is>
          <t>平常日</t>
        </is>
      </c>
      <c r="D291" s="21" t="n">
        <v>803260</v>
      </c>
      <c r="E291" s="6" t="n">
        <v>27</v>
      </c>
      <c r="F291" s="6" t="n">
        <v>16984</v>
      </c>
      <c r="G291" s="22" t="n">
        <v>0.0016</v>
      </c>
      <c r="H291" s="21" t="n">
        <v>29750</v>
      </c>
    </row>
    <row r="292">
      <c r="A292" s="20" t="n">
        <v>46127</v>
      </c>
      <c r="B292" s="4" t="inlineStr">
        <is>
          <t>水</t>
        </is>
      </c>
      <c r="C292" s="4" t="inlineStr">
        <is>
          <t>5と0のつく日</t>
        </is>
      </c>
      <c r="D292" s="21" t="n">
        <v>2456920</v>
      </c>
      <c r="E292" s="6" t="n">
        <v>85</v>
      </c>
      <c r="F292" s="6" t="n">
        <v>40198</v>
      </c>
      <c r="G292" s="22" t="n">
        <v>0.0021</v>
      </c>
      <c r="H292" s="21" t="n">
        <v>28905</v>
      </c>
    </row>
    <row r="293">
      <c r="A293" s="20" t="n">
        <v>46128</v>
      </c>
      <c r="B293" s="4" t="inlineStr">
        <is>
          <t>木</t>
        </is>
      </c>
      <c r="C293" s="4" t="inlineStr">
        <is>
          <t>平常日</t>
        </is>
      </c>
      <c r="D293" s="21" t="n">
        <v>1376328</v>
      </c>
      <c r="E293" s="6" t="n">
        <v>48</v>
      </c>
      <c r="F293" s="6" t="n">
        <v>25801</v>
      </c>
      <c r="G293" s="22" t="n">
        <v>0.0019</v>
      </c>
      <c r="H293" s="21" t="n">
        <v>28674</v>
      </c>
    </row>
    <row r="294">
      <c r="A294" s="20" t="n">
        <v>46129</v>
      </c>
      <c r="B294" s="4" t="inlineStr">
        <is>
          <t>金</t>
        </is>
      </c>
      <c r="C294" s="4" t="inlineStr">
        <is>
          <t>平常日</t>
        </is>
      </c>
      <c r="D294" s="21" t="n">
        <v>871344</v>
      </c>
      <c r="E294" s="6" t="n">
        <v>28</v>
      </c>
      <c r="F294" s="6" t="n">
        <v>18749</v>
      </c>
      <c r="G294" s="22" t="n">
        <v>0.0015</v>
      </c>
      <c r="H294" s="21" t="n">
        <v>31119</v>
      </c>
    </row>
    <row r="295">
      <c r="A295" s="20" t="n">
        <v>46130</v>
      </c>
      <c r="B295" s="4" t="inlineStr">
        <is>
          <t>土</t>
        </is>
      </c>
      <c r="C295" s="4" t="inlineStr">
        <is>
          <t>平常日</t>
        </is>
      </c>
      <c r="D295" s="21" t="n">
        <v>1266456</v>
      </c>
      <c r="E295" s="6" t="n">
        <v>41</v>
      </c>
      <c r="F295" s="6" t="n">
        <v>24793</v>
      </c>
      <c r="G295" s="22" t="n">
        <v>0.0017</v>
      </c>
      <c r="H295" s="21" t="n">
        <v>30889</v>
      </c>
    </row>
    <row r="296">
      <c r="A296" s="20" t="n">
        <v>46131</v>
      </c>
      <c r="B296" s="4" t="inlineStr">
        <is>
          <t>日</t>
        </is>
      </c>
      <c r="C296" s="4" t="inlineStr">
        <is>
          <t>平常日</t>
        </is>
      </c>
      <c r="D296" s="21" t="n">
        <v>917344</v>
      </c>
      <c r="E296" s="6" t="n">
        <v>34</v>
      </c>
      <c r="F296" s="6" t="n">
        <v>26799</v>
      </c>
      <c r="G296" s="22" t="n">
        <v>0.0013</v>
      </c>
      <c r="H296" s="21" t="n">
        <v>26981</v>
      </c>
    </row>
    <row r="297">
      <c r="A297" s="20" t="n">
        <v>46132</v>
      </c>
      <c r="B297" s="4" t="inlineStr">
        <is>
          <t>月</t>
        </is>
      </c>
      <c r="C297" s="4" t="inlineStr">
        <is>
          <t>5と0のつく日</t>
        </is>
      </c>
      <c r="D297" s="21" t="n">
        <v>1091368</v>
      </c>
      <c r="E297" s="6" t="n">
        <v>41</v>
      </c>
      <c r="F297" s="6" t="n">
        <v>20021</v>
      </c>
      <c r="G297" s="22" t="n">
        <v>0.002</v>
      </c>
      <c r="H297" s="21" t="n">
        <v>26619</v>
      </c>
    </row>
    <row r="298">
      <c r="A298" s="20" t="n">
        <v>46133</v>
      </c>
      <c r="B298" s="4" t="inlineStr">
        <is>
          <t>火</t>
        </is>
      </c>
      <c r="C298" s="4" t="inlineStr">
        <is>
          <t>平常日</t>
        </is>
      </c>
      <c r="D298" s="21" t="n">
        <v>716836</v>
      </c>
      <c r="E298" s="6" t="n">
        <v>23</v>
      </c>
      <c r="F298" s="6" t="n">
        <v>20931</v>
      </c>
      <c r="G298" s="22" t="n">
        <v>0.0011</v>
      </c>
      <c r="H298" s="21" t="n">
        <v>31167</v>
      </c>
    </row>
    <row r="299">
      <c r="A299" s="20" t="n">
        <v>46134</v>
      </c>
      <c r="B299" s="4" t="inlineStr">
        <is>
          <t>水</t>
        </is>
      </c>
      <c r="C299" s="4" t="inlineStr">
        <is>
          <t>平常日</t>
        </is>
      </c>
      <c r="D299" s="21" t="n">
        <v>549236</v>
      </c>
      <c r="E299" s="6" t="n">
        <v>20</v>
      </c>
      <c r="F299" s="6" t="n">
        <v>20025</v>
      </c>
      <c r="G299" s="22" t="n">
        <v>0.001</v>
      </c>
      <c r="H299" s="21" t="n">
        <v>27462</v>
      </c>
    </row>
    <row r="300">
      <c r="A300" s="20" t="n">
        <v>46135</v>
      </c>
      <c r="B300" s="4" t="inlineStr">
        <is>
          <t>木</t>
        </is>
      </c>
      <c r="C300" s="4" t="inlineStr">
        <is>
          <t>平常日</t>
        </is>
      </c>
      <c r="D300" s="21" t="n">
        <v>704098</v>
      </c>
      <c r="E300" s="6" t="n">
        <v>22</v>
      </c>
      <c r="F300" s="6" t="n">
        <v>22203</v>
      </c>
      <c r="G300" s="22" t="n">
        <v>0.001</v>
      </c>
      <c r="H300" s="21" t="n">
        <v>32004</v>
      </c>
    </row>
    <row r="301">
      <c r="A301" s="20" t="n">
        <v>46136</v>
      </c>
      <c r="B301" s="4" t="inlineStr">
        <is>
          <t>金</t>
        </is>
      </c>
      <c r="C301" s="4" t="inlineStr">
        <is>
          <t>平常日</t>
        </is>
      </c>
      <c r="D301" s="21" t="n">
        <v>925172</v>
      </c>
      <c r="E301" s="6" t="n">
        <v>38</v>
      </c>
      <c r="F301" s="6" t="n">
        <v>19547</v>
      </c>
      <c r="G301" s="22" t="n">
        <v>0.0019</v>
      </c>
      <c r="H301" s="21" t="n">
        <v>24347</v>
      </c>
    </row>
    <row r="302">
      <c r="A302" s="20" t="n">
        <v>46137</v>
      </c>
      <c r="B302" s="4" t="inlineStr">
        <is>
          <t>土</t>
        </is>
      </c>
      <c r="C302" s="4" t="inlineStr">
        <is>
          <t>5と0のつく日</t>
        </is>
      </c>
      <c r="D302" s="21" t="n">
        <v>2585080</v>
      </c>
      <c r="E302" s="6" t="n">
        <v>86</v>
      </c>
      <c r="F302" s="6" t="n">
        <v>30195</v>
      </c>
      <c r="G302" s="22" t="n">
        <v>0.0028</v>
      </c>
      <c r="H302" s="21" t="n">
        <v>30059</v>
      </c>
    </row>
    <row r="303">
      <c r="A303" s="20" t="n">
        <v>46138</v>
      </c>
      <c r="B303" s="4" t="inlineStr">
        <is>
          <t>日</t>
        </is>
      </c>
      <c r="C303" s="4" t="inlineStr">
        <is>
          <t>平常日</t>
        </is>
      </c>
      <c r="D303" s="21" t="n">
        <v>2168380</v>
      </c>
      <c r="E303" s="6" t="n">
        <v>75</v>
      </c>
      <c r="F303" s="6" t="n">
        <v>36988</v>
      </c>
      <c r="G303" s="22" t="n">
        <v>0.002</v>
      </c>
      <c r="H303" s="21" t="n">
        <v>28912</v>
      </c>
    </row>
    <row r="304">
      <c r="A304" s="20" t="n">
        <v>46139</v>
      </c>
      <c r="B304" s="4" t="inlineStr">
        <is>
          <t>月</t>
        </is>
      </c>
      <c r="C304" s="4" t="inlineStr">
        <is>
          <t>平常日</t>
        </is>
      </c>
      <c r="D304" s="21" t="n">
        <v>1000608</v>
      </c>
      <c r="E304" s="6" t="n">
        <v>37</v>
      </c>
      <c r="F304" s="6" t="n">
        <v>23252</v>
      </c>
      <c r="G304" s="22" t="n">
        <v>0.0016</v>
      </c>
      <c r="H304" s="21" t="n">
        <v>27043</v>
      </c>
    </row>
    <row r="305">
      <c r="A305" s="20" t="n">
        <v>46140</v>
      </c>
      <c r="B305" s="4" t="inlineStr">
        <is>
          <t>火</t>
        </is>
      </c>
      <c r="C305" s="4" t="inlineStr">
        <is>
          <t>平常日</t>
        </is>
      </c>
      <c r="D305" s="21" t="n">
        <v>1058960</v>
      </c>
      <c r="E305" s="6" t="n">
        <v>30</v>
      </c>
      <c r="F305" s="6" t="n">
        <v>19666</v>
      </c>
      <c r="G305" s="22" t="n">
        <v>0.0015</v>
      </c>
      <c r="H305" s="21" t="n">
        <v>35299</v>
      </c>
    </row>
    <row r="306">
      <c r="A306" s="20" t="n">
        <v>46141</v>
      </c>
      <c r="B306" s="4" t="inlineStr">
        <is>
          <t>水</t>
        </is>
      </c>
      <c r="C306" s="4" t="inlineStr">
        <is>
          <t>平常日</t>
        </is>
      </c>
      <c r="D306" s="21" t="n">
        <v>559600</v>
      </c>
      <c r="E306" s="6" t="n">
        <v>17</v>
      </c>
      <c r="F306" s="6" t="n">
        <v>8791</v>
      </c>
      <c r="G306" s="22" t="n">
        <v>0.0019</v>
      </c>
      <c r="H306" s="21" t="n">
        <v>32918</v>
      </c>
    </row>
    <row r="307">
      <c r="A307" s="20" t="n">
        <v>46142</v>
      </c>
      <c r="B307" s="4" t="inlineStr">
        <is>
          <t>木</t>
        </is>
      </c>
      <c r="C307" s="4" t="inlineStr">
        <is>
          <t>5と0のつく日</t>
        </is>
      </c>
      <c r="D307" s="21" t="n">
        <v>951960</v>
      </c>
      <c r="E307" s="6" t="n">
        <v>28</v>
      </c>
      <c r="F307" s="6" t="n">
        <v>5669</v>
      </c>
      <c r="G307" s="22" t="n">
        <v>0.0049</v>
      </c>
      <c r="H307" s="21" t="n">
        <v>33999</v>
      </c>
    </row>
    <row r="308">
      <c r="A308" s="20" t="n">
        <v>46143</v>
      </c>
      <c r="B308" s="4" t="inlineStr">
        <is>
          <t>金</t>
        </is>
      </c>
      <c r="C308" s="4" t="inlineStr">
        <is>
          <t>ワンダフルデー</t>
        </is>
      </c>
      <c r="D308" s="21" t="n">
        <v>748300</v>
      </c>
      <c r="E308" s="6" t="n">
        <v>26</v>
      </c>
      <c r="F308" s="6" t="n">
        <v>3446</v>
      </c>
      <c r="G308" s="22" t="n">
        <v>0.0075</v>
      </c>
      <c r="H308" s="21" t="n">
        <v>28781</v>
      </c>
    </row>
    <row r="309">
      <c r="A309" s="20" t="n">
        <v>46144</v>
      </c>
      <c r="B309" s="4" t="inlineStr">
        <is>
          <t>土</t>
        </is>
      </c>
      <c r="C309" s="4" t="inlineStr">
        <is>
          <t>平常日</t>
        </is>
      </c>
      <c r="D309" s="21" t="n">
        <v>447900</v>
      </c>
      <c r="E309" s="6" t="n">
        <v>13</v>
      </c>
      <c r="F309" s="6" t="n">
        <v>4287</v>
      </c>
      <c r="G309" s="22" t="n">
        <v>0.003</v>
      </c>
      <c r="H309" s="21" t="n">
        <v>34454</v>
      </c>
    </row>
    <row r="310">
      <c r="A310" s="20" t="n">
        <v>46145</v>
      </c>
      <c r="B310" s="4" t="inlineStr">
        <is>
          <t>日</t>
        </is>
      </c>
      <c r="C310" s="4" t="inlineStr">
        <is>
          <t>平常日</t>
        </is>
      </c>
      <c r="D310" s="21" t="n">
        <v>646760</v>
      </c>
      <c r="E310" s="6" t="n">
        <v>21</v>
      </c>
      <c r="F310" s="6" t="n">
        <v>3791</v>
      </c>
      <c r="G310" s="22" t="n">
        <v>0.005500000000000001</v>
      </c>
      <c r="H310" s="21" t="n">
        <v>30798</v>
      </c>
    </row>
    <row r="311">
      <c r="A311" s="20" t="n">
        <v>46146</v>
      </c>
      <c r="B311" s="4" t="inlineStr">
        <is>
          <t>月</t>
        </is>
      </c>
      <c r="C311" s="4" t="inlineStr">
        <is>
          <t>お買い物マラソン(推定)</t>
        </is>
      </c>
      <c r="D311" s="21" t="n">
        <v>742900</v>
      </c>
      <c r="E311" s="6" t="n">
        <v>23</v>
      </c>
      <c r="F311" s="6" t="n">
        <v>3853</v>
      </c>
      <c r="G311" s="22" t="n">
        <v>0.006</v>
      </c>
      <c r="H311" s="21" t="n">
        <v>32300</v>
      </c>
    </row>
    <row r="312">
      <c r="A312" s="20" t="n">
        <v>46147</v>
      </c>
      <c r="B312" s="4" t="inlineStr">
        <is>
          <t>火</t>
        </is>
      </c>
      <c r="C312" s="4" t="inlineStr">
        <is>
          <t>お買い物マラソン(推定)</t>
        </is>
      </c>
      <c r="D312" s="21" t="n">
        <v>1332540</v>
      </c>
      <c r="E312" s="6" t="n">
        <v>46</v>
      </c>
      <c r="F312" s="6" t="n">
        <v>4227</v>
      </c>
      <c r="G312" s="22" t="n">
        <v>0.0109</v>
      </c>
      <c r="H312" s="21" t="n">
        <v>28968</v>
      </c>
    </row>
    <row r="313">
      <c r="A313" s="20" t="n">
        <v>46148</v>
      </c>
      <c r="B313" s="4" t="inlineStr">
        <is>
          <t>水</t>
        </is>
      </c>
      <c r="C313" s="4" t="inlineStr">
        <is>
          <t>お買い物マラソン(推定)</t>
        </is>
      </c>
      <c r="D313" s="21" t="n">
        <v>988620</v>
      </c>
      <c r="E313" s="6" t="n">
        <v>34</v>
      </c>
      <c r="F313" s="6" t="n">
        <v>3749</v>
      </c>
      <c r="G313" s="22" t="n">
        <v>0.0091</v>
      </c>
      <c r="H313" s="21" t="n">
        <v>29077</v>
      </c>
    </row>
    <row r="314">
      <c r="A314" s="20" t="n">
        <v>46149</v>
      </c>
      <c r="B314" s="4" t="inlineStr">
        <is>
          <t>木</t>
        </is>
      </c>
      <c r="C314" s="4" t="inlineStr">
        <is>
          <t>お買い物マラソン(推定)</t>
        </is>
      </c>
      <c r="D314" s="21" t="n">
        <v>297340</v>
      </c>
      <c r="E314" s="6" t="n">
        <v>12</v>
      </c>
      <c r="F314" s="6" t="n">
        <v>3250</v>
      </c>
      <c r="G314" s="22" t="n">
        <v>0.0037</v>
      </c>
      <c r="H314" s="21" t="n">
        <v>24778</v>
      </c>
    </row>
    <row r="315">
      <c r="A315" s="20" t="n">
        <v>46150</v>
      </c>
      <c r="B315" s="4" t="inlineStr">
        <is>
          <t>金</t>
        </is>
      </c>
      <c r="C315" s="4" t="inlineStr">
        <is>
          <t>お買い物マラソン(推定)</t>
        </is>
      </c>
      <c r="D315" s="21" t="n">
        <v>377780</v>
      </c>
      <c r="E315" s="6" t="n">
        <v>13</v>
      </c>
      <c r="F315" s="6" t="n">
        <v>3093</v>
      </c>
      <c r="G315" s="22" t="n">
        <v>0.0042</v>
      </c>
      <c r="H315" s="21" t="n">
        <v>29060</v>
      </c>
    </row>
    <row r="316">
      <c r="A316" s="20" t="n">
        <v>46151</v>
      </c>
      <c r="B316" s="4" t="inlineStr">
        <is>
          <t>土</t>
        </is>
      </c>
      <c r="C316" s="4" t="inlineStr">
        <is>
          <t>お買い物マラソン(推定)</t>
        </is>
      </c>
      <c r="D316" s="21" t="n">
        <v>491508</v>
      </c>
      <c r="E316" s="6" t="n">
        <v>17</v>
      </c>
      <c r="F316" s="6" t="n">
        <v>7703</v>
      </c>
      <c r="G316" s="22" t="n">
        <v>0.0022</v>
      </c>
      <c r="H316" s="21" t="n">
        <v>28912</v>
      </c>
    </row>
    <row r="317">
      <c r="A317" s="20" t="n">
        <v>46152</v>
      </c>
      <c r="B317" s="4" t="inlineStr">
        <is>
          <t>日</t>
        </is>
      </c>
      <c r="C317" s="4" t="inlineStr">
        <is>
          <t>お買い物マラソン(推定)</t>
        </is>
      </c>
      <c r="D317" s="21" t="n">
        <v>2968216</v>
      </c>
      <c r="E317" s="6" t="n">
        <v>99</v>
      </c>
      <c r="F317" s="6" t="n">
        <v>11747</v>
      </c>
      <c r="G317" s="22" t="n">
        <v>0.008399999999999999</v>
      </c>
      <c r="H317" s="21" t="n">
        <v>29982</v>
      </c>
    </row>
    <row r="318">
      <c r="A318" s="20" t="n">
        <v>46153</v>
      </c>
      <c r="B318" s="4" t="inlineStr">
        <is>
          <t>月</t>
        </is>
      </c>
      <c r="C318" s="4" t="inlineStr">
        <is>
          <t>お買い物マラソン(推定)</t>
        </is>
      </c>
      <c r="D318" s="21" t="n">
        <v>885040</v>
      </c>
      <c r="E318" s="6" t="n">
        <v>30</v>
      </c>
      <c r="F318" s="6" t="n">
        <v>10958</v>
      </c>
      <c r="G318" s="22" t="n">
        <v>0.0027</v>
      </c>
      <c r="H318" s="21" t="n">
        <v>29501</v>
      </c>
    </row>
    <row r="319">
      <c r="A319" s="20" t="n">
        <v>46154</v>
      </c>
      <c r="B319" s="4" t="inlineStr">
        <is>
          <t>火</t>
        </is>
      </c>
      <c r="C319" s="4" t="inlineStr">
        <is>
          <t>平常日</t>
        </is>
      </c>
      <c r="D319" s="21" t="n">
        <v>896920</v>
      </c>
      <c r="E319" s="6" t="n">
        <v>30</v>
      </c>
      <c r="F319" s="6" t="n">
        <v>10923</v>
      </c>
      <c r="G319" s="22" t="n">
        <v>0.0027</v>
      </c>
      <c r="H319" s="21" t="n">
        <v>29897</v>
      </c>
    </row>
    <row r="320">
      <c r="A320" s="20" t="n">
        <v>46155</v>
      </c>
      <c r="B320" s="4" t="inlineStr">
        <is>
          <t>水</t>
        </is>
      </c>
      <c r="C320" s="4" t="inlineStr">
        <is>
          <t>平常日</t>
        </is>
      </c>
      <c r="D320" s="21" t="n">
        <v>731480</v>
      </c>
      <c r="E320" s="6" t="n">
        <v>27</v>
      </c>
      <c r="F320" s="6" t="n">
        <v>17883</v>
      </c>
      <c r="G320" s="22" t="n">
        <v>0.0015</v>
      </c>
      <c r="H320" s="21" t="n">
        <v>27092</v>
      </c>
    </row>
    <row r="321">
      <c r="A321" s="20" t="n">
        <v>46156</v>
      </c>
      <c r="B321" s="4" t="inlineStr">
        <is>
          <t>木</t>
        </is>
      </c>
      <c r="C321" s="4" t="inlineStr">
        <is>
          <t>平常日</t>
        </is>
      </c>
      <c r="D321" s="21" t="n">
        <v>798920</v>
      </c>
      <c r="E321" s="6" t="n">
        <v>26</v>
      </c>
      <c r="F321" s="6" t="n">
        <v>18840</v>
      </c>
      <c r="G321" s="22" t="n">
        <v>0.0014</v>
      </c>
      <c r="H321" s="21" t="n">
        <v>30728</v>
      </c>
    </row>
    <row r="322">
      <c r="A322" s="20" t="n">
        <v>46157</v>
      </c>
      <c r="B322" s="4" t="inlineStr">
        <is>
          <t>金</t>
        </is>
      </c>
      <c r="C322" s="4" t="inlineStr">
        <is>
          <t>5と0のつく日</t>
        </is>
      </c>
      <c r="D322" s="21" t="n">
        <v>1771798</v>
      </c>
      <c r="E322" s="6" t="n">
        <v>60</v>
      </c>
      <c r="F322" s="6" t="n">
        <v>20413</v>
      </c>
      <c r="G322" s="22" t="n">
        <v>0.0029</v>
      </c>
      <c r="H322" s="21" t="n">
        <v>29530</v>
      </c>
    </row>
    <row r="323">
      <c r="A323" s="20" t="n">
        <v>46158</v>
      </c>
      <c r="B323" s="4" t="inlineStr">
        <is>
          <t>土</t>
        </is>
      </c>
      <c r="C323" s="4" t="inlineStr">
        <is>
          <t>平常日</t>
        </is>
      </c>
      <c r="D323" s="21" t="n">
        <v>560180</v>
      </c>
      <c r="E323" s="6" t="n">
        <v>21</v>
      </c>
      <c r="F323" s="6" t="n">
        <v>20745</v>
      </c>
      <c r="G323" s="22" t="n">
        <v>0.001</v>
      </c>
      <c r="H323" s="21" t="n">
        <v>26675</v>
      </c>
    </row>
    <row r="324">
      <c r="A324" s="20" t="n">
        <v>46159</v>
      </c>
      <c r="B324" s="4" t="inlineStr">
        <is>
          <t>日</t>
        </is>
      </c>
      <c r="C324" s="4" t="inlineStr">
        <is>
          <t>平常日</t>
        </is>
      </c>
      <c r="D324" s="21" t="n">
        <v>905660</v>
      </c>
      <c r="E324" s="6" t="n">
        <v>32</v>
      </c>
      <c r="F324" s="6" t="n">
        <v>13091</v>
      </c>
      <c r="G324" s="22" t="n">
        <v>0.0024</v>
      </c>
      <c r="H324" s="21" t="n">
        <v>28302</v>
      </c>
    </row>
    <row r="325">
      <c r="A325" s="20" t="n">
        <v>46160</v>
      </c>
      <c r="B325" s="4" t="inlineStr">
        <is>
          <t>月</t>
        </is>
      </c>
      <c r="C325" s="4" t="inlineStr">
        <is>
          <t>平常日</t>
        </is>
      </c>
      <c r="D325" s="21" t="n">
        <v>481208</v>
      </c>
      <c r="E325" s="6" t="n">
        <v>16</v>
      </c>
      <c r="F325" s="6" t="n">
        <v>13773</v>
      </c>
      <c r="G325" s="22" t="n">
        <v>0.0012</v>
      </c>
      <c r="H325" s="21" t="n">
        <v>30076</v>
      </c>
    </row>
    <row r="326">
      <c r="A326" s="20" t="n">
        <v>46161</v>
      </c>
      <c r="B326" s="4" t="inlineStr">
        <is>
          <t>火</t>
        </is>
      </c>
      <c r="C326" s="4" t="inlineStr">
        <is>
          <t>平常日</t>
        </is>
      </c>
      <c r="D326" s="21" t="n">
        <v>391160</v>
      </c>
      <c r="E326" s="6" t="n">
        <v>14</v>
      </c>
      <c r="F326" s="6" t="n">
        <v>22180</v>
      </c>
      <c r="G326" s="22" t="n">
        <v>0.0005999999999999999</v>
      </c>
      <c r="H326" s="21" t="n">
        <v>27940</v>
      </c>
    </row>
    <row r="327">
      <c r="A327" s="20" t="n">
        <v>46162</v>
      </c>
      <c r="B327" s="4" t="inlineStr">
        <is>
          <t>水</t>
        </is>
      </c>
      <c r="C327" s="4" t="inlineStr">
        <is>
          <t>5と0のつく日</t>
        </is>
      </c>
      <c r="D327" s="21" t="n">
        <v>907300</v>
      </c>
      <c r="E327" s="6" t="n">
        <v>31</v>
      </c>
      <c r="F327" s="6" t="n">
        <v>16966</v>
      </c>
      <c r="G327" s="22" t="n">
        <v>0.0018</v>
      </c>
      <c r="H327" s="21" t="n">
        <v>29268</v>
      </c>
    </row>
    <row r="328">
      <c r="A328" s="20" t="n">
        <v>46163</v>
      </c>
      <c r="B328" s="4" t="inlineStr">
        <is>
          <t>木</t>
        </is>
      </c>
      <c r="C328" s="4" t="inlineStr">
        <is>
          <t>平常日</t>
        </is>
      </c>
      <c r="D328" s="21" t="n">
        <v>520460</v>
      </c>
      <c r="E328" s="6" t="n">
        <v>17</v>
      </c>
      <c r="F328" s="6" t="n">
        <v>13480</v>
      </c>
      <c r="G328" s="22" t="n">
        <v>0.0013</v>
      </c>
      <c r="H328" s="21" t="n">
        <v>30615</v>
      </c>
    </row>
    <row r="329">
      <c r="A329" s="20" t="n">
        <v>46164</v>
      </c>
      <c r="B329" s="4" t="inlineStr">
        <is>
          <t>金</t>
        </is>
      </c>
      <c r="C329" s="4" t="inlineStr">
        <is>
          <t>平常日</t>
        </is>
      </c>
      <c r="D329" s="21" t="n">
        <v>350260</v>
      </c>
      <c r="E329" s="6" t="n">
        <v>12</v>
      </c>
      <c r="F329" s="6" t="n">
        <v>12404</v>
      </c>
      <c r="G329" s="22" t="n">
        <v>0.001</v>
      </c>
      <c r="H329" s="21" t="n">
        <v>29188</v>
      </c>
    </row>
    <row r="330">
      <c r="A330" s="20" t="n">
        <v>46165</v>
      </c>
      <c r="B330" s="4" t="inlineStr">
        <is>
          <t>土</t>
        </is>
      </c>
      <c r="C330" s="4" t="inlineStr">
        <is>
          <t>平常日</t>
        </is>
      </c>
      <c r="D330" s="21" t="n">
        <v>1004540</v>
      </c>
      <c r="E330" s="6" t="n">
        <v>36</v>
      </c>
      <c r="F330" s="6" t="n">
        <v>14194</v>
      </c>
      <c r="G330" s="22" t="n">
        <v>0.0025</v>
      </c>
      <c r="H330" s="21" t="n">
        <v>27904</v>
      </c>
    </row>
    <row r="331">
      <c r="A331" s="20" t="n">
        <v>46166</v>
      </c>
      <c r="B331" s="4" t="inlineStr">
        <is>
          <t>日</t>
        </is>
      </c>
      <c r="C331" s="4" t="inlineStr">
        <is>
          <t>平常日</t>
        </is>
      </c>
      <c r="D331" s="21" t="n">
        <v>1349720</v>
      </c>
      <c r="E331" s="6" t="n">
        <v>42</v>
      </c>
      <c r="F331" s="6" t="n">
        <v>20390</v>
      </c>
      <c r="G331" s="22" t="n">
        <v>0.0021</v>
      </c>
      <c r="H331" s="21" t="n">
        <v>32136</v>
      </c>
    </row>
    <row r="332">
      <c r="A332" s="20" t="n">
        <v>46167</v>
      </c>
      <c r="B332" s="4" t="inlineStr">
        <is>
          <t>月</t>
        </is>
      </c>
      <c r="C332" s="4" t="inlineStr">
        <is>
          <t>5と0のつく日</t>
        </is>
      </c>
      <c r="D332" s="21" t="n">
        <v>2179960</v>
      </c>
      <c r="E332" s="6" t="n">
        <v>71</v>
      </c>
      <c r="F332" s="6" t="n">
        <v>17763</v>
      </c>
      <c r="G332" s="22" t="n">
        <v>0.004</v>
      </c>
      <c r="H332" s="21" t="n">
        <v>30704</v>
      </c>
    </row>
    <row r="333">
      <c r="A333" s="20" t="n">
        <v>46168</v>
      </c>
      <c r="B333" s="4" t="inlineStr">
        <is>
          <t>火</t>
        </is>
      </c>
      <c r="C333" s="4" t="inlineStr">
        <is>
          <t>平常日</t>
        </is>
      </c>
      <c r="D333" s="21" t="n">
        <v>1007280</v>
      </c>
      <c r="E333" s="6" t="n">
        <v>36</v>
      </c>
      <c r="F333" s="6" t="n">
        <v>16586</v>
      </c>
      <c r="G333" s="22" t="n">
        <v>0.0022</v>
      </c>
      <c r="H333" s="21" t="n">
        <v>27980</v>
      </c>
    </row>
    <row r="334">
      <c r="A334" s="20" t="n">
        <v>46169</v>
      </c>
      <c r="B334" s="4" t="inlineStr">
        <is>
          <t>水</t>
        </is>
      </c>
      <c r="C334" s="4" t="inlineStr">
        <is>
          <t>平常日</t>
        </is>
      </c>
      <c r="D334" s="21" t="n">
        <v>428660</v>
      </c>
      <c r="E334" s="6" t="n">
        <v>14</v>
      </c>
      <c r="F334" s="6" t="n">
        <v>13744</v>
      </c>
      <c r="G334" s="22" t="n">
        <v>0.001</v>
      </c>
      <c r="H334" s="21" t="n">
        <v>30619</v>
      </c>
    </row>
    <row r="335">
      <c r="A335" s="20" t="n">
        <v>46170</v>
      </c>
      <c r="B335" s="4" t="inlineStr">
        <is>
          <t>木</t>
        </is>
      </c>
      <c r="C335" s="4" t="inlineStr">
        <is>
          <t>平常日</t>
        </is>
      </c>
      <c r="D335" s="21" t="n">
        <v>659460</v>
      </c>
      <c r="E335" s="6" t="n">
        <v>23</v>
      </c>
      <c r="F335" s="6" t="n">
        <v>7165</v>
      </c>
      <c r="G335" s="22" t="n">
        <v>0.0032</v>
      </c>
      <c r="H335" s="21" t="n">
        <v>28672</v>
      </c>
    </row>
    <row r="336">
      <c r="A336" s="20" t="n">
        <v>46171</v>
      </c>
      <c r="B336" s="4" t="inlineStr">
        <is>
          <t>金</t>
        </is>
      </c>
      <c r="C336" s="4" t="inlineStr">
        <is>
          <t>平常日</t>
        </is>
      </c>
      <c r="D336" s="21" t="n">
        <v>225480</v>
      </c>
      <c r="E336" s="6" t="n">
        <v>8</v>
      </c>
      <c r="F336" s="6" t="n">
        <v>6365</v>
      </c>
      <c r="G336" s="22" t="n">
        <v>0.0013</v>
      </c>
      <c r="H336" s="21" t="n">
        <v>28185</v>
      </c>
    </row>
    <row r="337">
      <c r="A337" s="20" t="n">
        <v>46172</v>
      </c>
      <c r="B337" s="4" t="inlineStr">
        <is>
          <t>土</t>
        </is>
      </c>
      <c r="C337" s="4" t="inlineStr">
        <is>
          <t>5と0のつく日</t>
        </is>
      </c>
      <c r="D337" s="21" t="n">
        <v>640760</v>
      </c>
      <c r="E337" s="6" t="n">
        <v>20</v>
      </c>
      <c r="F337" s="6" t="n">
        <v>4161</v>
      </c>
      <c r="G337" s="22" t="n">
        <v>0.0048</v>
      </c>
      <c r="H337" s="21" t="n">
        <v>32038</v>
      </c>
    </row>
    <row r="338">
      <c r="A338" s="20" t="n">
        <v>46173</v>
      </c>
      <c r="B338" s="4" t="inlineStr">
        <is>
          <t>日</t>
        </is>
      </c>
      <c r="C338" s="4" t="inlineStr">
        <is>
          <t>平常日</t>
        </is>
      </c>
      <c r="D338" s="21" t="n">
        <v>370860</v>
      </c>
      <c r="E338" s="6" t="n">
        <v>13</v>
      </c>
      <c r="F338" s="6" t="n">
        <v>1738</v>
      </c>
      <c r="G338" s="22" t="n">
        <v>0.0075</v>
      </c>
      <c r="H338" s="21" t="n">
        <v>28528</v>
      </c>
    </row>
    <row r="339">
      <c r="A339" s="20" t="n">
        <v>46174</v>
      </c>
      <c r="B339" s="4" t="inlineStr">
        <is>
          <t>月</t>
        </is>
      </c>
      <c r="C339" s="4" t="inlineStr">
        <is>
          <t>ワンダフルデー</t>
        </is>
      </c>
      <c r="D339" s="21" t="n">
        <v>1086600</v>
      </c>
      <c r="E339" s="6" t="n">
        <v>35</v>
      </c>
      <c r="F339" s="6" t="n">
        <v>4579</v>
      </c>
      <c r="G339" s="22" t="n">
        <v>0.0076</v>
      </c>
      <c r="H339" s="21" t="n">
        <v>31046</v>
      </c>
    </row>
    <row r="340">
      <c r="A340" s="20" t="n">
        <v>46175</v>
      </c>
      <c r="B340" s="4" t="inlineStr">
        <is>
          <t>火</t>
        </is>
      </c>
      <c r="C340" s="4" t="inlineStr">
        <is>
          <t>平常日</t>
        </is>
      </c>
      <c r="D340" s="21" t="n">
        <v>343660</v>
      </c>
      <c r="E340" s="6" t="n">
        <v>10</v>
      </c>
      <c r="F340" s="6" t="n">
        <v>10753</v>
      </c>
      <c r="G340" s="22" t="n">
        <v>0.0009</v>
      </c>
      <c r="H340" s="21" t="n">
        <v>34366</v>
      </c>
    </row>
    <row r="341">
      <c r="A341" s="20" t="n">
        <v>46176</v>
      </c>
      <c r="B341" s="4" t="inlineStr">
        <is>
          <t>水</t>
        </is>
      </c>
      <c r="C341" s="4" t="inlineStr">
        <is>
          <t>平常日</t>
        </is>
      </c>
      <c r="D341" s="21" t="n">
        <v>855788</v>
      </c>
      <c r="E341" s="6" t="n">
        <v>29</v>
      </c>
      <c r="F341" s="6" t="n">
        <v>15778</v>
      </c>
      <c r="G341" s="22" t="n">
        <v>0.0018</v>
      </c>
      <c r="H341" s="21" t="n">
        <v>29510</v>
      </c>
    </row>
    <row r="342">
      <c r="A342" s="20" t="n">
        <v>46177</v>
      </c>
      <c r="B342" s="4" t="inlineStr">
        <is>
          <t>木</t>
        </is>
      </c>
      <c r="C342" s="4" t="inlineStr">
        <is>
          <t>スーパーSALE</t>
        </is>
      </c>
      <c r="D342" s="21" t="n">
        <v>1709460</v>
      </c>
      <c r="E342" s="6" t="n">
        <v>57</v>
      </c>
      <c r="F342" s="6" t="n">
        <v>14248</v>
      </c>
      <c r="G342" s="22" t="n">
        <v>0.004</v>
      </c>
      <c r="H342" s="21" t="n">
        <v>29991</v>
      </c>
    </row>
    <row r="343">
      <c r="A343" s="20" t="n">
        <v>46178</v>
      </c>
      <c r="B343" s="4" t="inlineStr">
        <is>
          <t>金</t>
        </is>
      </c>
      <c r="C343" s="4" t="inlineStr">
        <is>
          <t>スーパーSALE</t>
        </is>
      </c>
      <c r="D343" s="21" t="n">
        <v>3101460</v>
      </c>
      <c r="E343" s="6" t="n">
        <v>100</v>
      </c>
      <c r="F343" s="6" t="n">
        <v>27717</v>
      </c>
      <c r="G343" s="22" t="n">
        <v>0.0036</v>
      </c>
      <c r="H343" s="21" t="n">
        <v>31015</v>
      </c>
    </row>
    <row r="344">
      <c r="A344" s="20" t="n">
        <v>46179</v>
      </c>
      <c r="B344" s="4" t="inlineStr">
        <is>
          <t>土</t>
        </is>
      </c>
      <c r="C344" s="4" t="inlineStr">
        <is>
          <t>スーパーSALE</t>
        </is>
      </c>
      <c r="D344" s="21" t="n">
        <v>1150400</v>
      </c>
      <c r="E344" s="6" t="n">
        <v>39</v>
      </c>
      <c r="F344" s="6" t="n">
        <v>26930</v>
      </c>
      <c r="G344" s="22" t="n">
        <v>0.0014</v>
      </c>
      <c r="H344" s="21" t="n">
        <v>29497</v>
      </c>
    </row>
    <row r="345">
      <c r="A345" s="20" t="n">
        <v>46180</v>
      </c>
      <c r="B345" s="4" t="inlineStr">
        <is>
          <t>日</t>
        </is>
      </c>
      <c r="C345" s="4" t="inlineStr">
        <is>
          <t>スーパーSALE</t>
        </is>
      </c>
      <c r="D345" s="21" t="n">
        <v>2185660</v>
      </c>
      <c r="E345" s="6" t="n">
        <v>69</v>
      </c>
      <c r="F345" s="6" t="n">
        <v>23863</v>
      </c>
      <c r="G345" s="22" t="n">
        <v>0.0029</v>
      </c>
      <c r="H345" s="21" t="n">
        <v>31676</v>
      </c>
    </row>
    <row r="346">
      <c r="A346" s="20" t="n">
        <v>46181</v>
      </c>
      <c r="B346" s="4" t="inlineStr">
        <is>
          <t>月</t>
        </is>
      </c>
      <c r="C346" s="4" t="inlineStr">
        <is>
          <t>スーパーSALE</t>
        </is>
      </c>
      <c r="D346" s="21" t="n">
        <v>996720</v>
      </c>
      <c r="E346" s="6" t="n">
        <v>33</v>
      </c>
      <c r="F346" s="6" t="n">
        <v>22856</v>
      </c>
      <c r="G346" s="22" t="n">
        <v>0.0014</v>
      </c>
      <c r="H346" s="21" t="n">
        <v>30204</v>
      </c>
    </row>
    <row r="347">
      <c r="A347" s="20" t="n">
        <v>46182</v>
      </c>
      <c r="B347" s="4" t="inlineStr">
        <is>
          <t>火</t>
        </is>
      </c>
      <c r="C347" s="4" t="inlineStr">
        <is>
          <t>スーパーSALE</t>
        </is>
      </c>
      <c r="D347" s="21" t="n">
        <v>1045336</v>
      </c>
      <c r="E347" s="6" t="n">
        <v>36</v>
      </c>
      <c r="F347" s="6" t="n">
        <v>21848</v>
      </c>
      <c r="G347" s="22" t="n">
        <v>0.0016</v>
      </c>
      <c r="H347" s="21" t="n">
        <v>29037</v>
      </c>
    </row>
    <row r="348">
      <c r="A348" s="20" t="n">
        <v>46183</v>
      </c>
      <c r="B348" s="4" t="inlineStr">
        <is>
          <t>水</t>
        </is>
      </c>
      <c r="C348" s="4" t="inlineStr">
        <is>
          <t>スーパーSALE</t>
        </is>
      </c>
      <c r="D348" s="21" t="n">
        <v>5141928</v>
      </c>
      <c r="E348" s="6" t="n">
        <v>170</v>
      </c>
      <c r="F348" s="6" t="n">
        <v>25413</v>
      </c>
      <c r="G348" s="22" t="n">
        <v>0.0067</v>
      </c>
      <c r="H348" s="21" t="n">
        <v>30247</v>
      </c>
    </row>
    <row r="349">
      <c r="A349" s="20" t="n">
        <v>46184</v>
      </c>
      <c r="B349" s="4" t="inlineStr">
        <is>
          <t>木</t>
        </is>
      </c>
      <c r="C349" s="4" t="inlineStr">
        <is>
          <t>スーパーSALE</t>
        </is>
      </c>
      <c r="D349" s="21" t="n">
        <v>877390</v>
      </c>
      <c r="E349" s="6" t="n">
        <v>28</v>
      </c>
      <c r="F349" s="6" t="n">
        <v>18119</v>
      </c>
      <c r="G349" s="22" t="n">
        <v>0.0015</v>
      </c>
      <c r="H349" s="21" t="n">
        <v>31335</v>
      </c>
    </row>
    <row r="350">
      <c r="A350" s="20" t="n">
        <v>46185</v>
      </c>
      <c r="B350" s="4" t="inlineStr">
        <is>
          <t>金</t>
        </is>
      </c>
      <c r="C350" s="4" t="inlineStr">
        <is>
          <t>平常日</t>
        </is>
      </c>
      <c r="D350" s="21" t="n">
        <v>568620</v>
      </c>
      <c r="E350" s="6" t="n">
        <v>19</v>
      </c>
      <c r="F350" s="6" t="n">
        <v>8393</v>
      </c>
      <c r="G350" s="22" t="n">
        <v>0.0023</v>
      </c>
      <c r="H350" s="21" t="n">
        <v>29927</v>
      </c>
    </row>
    <row r="351">
      <c r="A351" s="20" t="n">
        <v>46186</v>
      </c>
      <c r="B351" s="4" t="inlineStr">
        <is>
          <t>土</t>
        </is>
      </c>
      <c r="C351" s="4" t="inlineStr">
        <is>
          <t>平常日</t>
        </is>
      </c>
      <c r="D351" s="21" t="n">
        <v>496640</v>
      </c>
      <c r="E351" s="6" t="n">
        <v>16</v>
      </c>
      <c r="F351" s="6" t="n">
        <v>9029</v>
      </c>
      <c r="G351" s="22" t="n">
        <v>0.0018</v>
      </c>
      <c r="H351" s="21" t="n">
        <v>31040</v>
      </c>
    </row>
    <row r="352">
      <c r="A352" s="20" t="n">
        <v>46187</v>
      </c>
      <c r="B352" s="4" t="inlineStr">
        <is>
          <t>日</t>
        </is>
      </c>
      <c r="C352" s="4" t="inlineStr">
        <is>
          <t>平常日</t>
        </is>
      </c>
      <c r="D352" s="21" t="n">
        <v>598708</v>
      </c>
      <c r="E352" s="6" t="n">
        <v>20</v>
      </c>
      <c r="F352" s="6" t="n">
        <v>9887</v>
      </c>
      <c r="G352" s="22" t="n">
        <v>0.002</v>
      </c>
      <c r="H352" s="21" t="n">
        <v>29935</v>
      </c>
    </row>
    <row r="353">
      <c r="A353" s="20" t="n">
        <v>46188</v>
      </c>
      <c r="B353" s="4" t="inlineStr">
        <is>
          <t>月</t>
        </is>
      </c>
      <c r="C353" s="4" t="inlineStr">
        <is>
          <t>5と0のつく日</t>
        </is>
      </c>
      <c r="D353" s="21" t="n">
        <v>824060</v>
      </c>
      <c r="E353" s="6" t="n">
        <v>26</v>
      </c>
      <c r="F353" s="6" t="n">
        <v>9146</v>
      </c>
      <c r="G353" s="22" t="n">
        <v>0.0028</v>
      </c>
      <c r="H353" s="21" t="n">
        <v>31695</v>
      </c>
    </row>
    <row r="354">
      <c r="A354" s="20" t="n">
        <v>46189</v>
      </c>
      <c r="B354" s="4" t="inlineStr">
        <is>
          <t>火</t>
        </is>
      </c>
      <c r="C354" s="4" t="inlineStr">
        <is>
          <t>平常日</t>
        </is>
      </c>
      <c r="D354" s="21" t="n">
        <v>450420</v>
      </c>
      <c r="E354" s="6" t="n">
        <v>13</v>
      </c>
      <c r="F354" s="6" t="n">
        <v>8592</v>
      </c>
      <c r="G354" s="22" t="n">
        <v>0.0015</v>
      </c>
      <c r="H354" s="21" t="n">
        <v>34648</v>
      </c>
    </row>
    <row r="355">
      <c r="A355" s="20" t="n">
        <v>46190</v>
      </c>
      <c r="B355" s="4" t="inlineStr">
        <is>
          <t>水</t>
        </is>
      </c>
      <c r="C355" s="4" t="inlineStr">
        <is>
          <t>平常日</t>
        </is>
      </c>
      <c r="D355" s="21" t="n">
        <v>375260</v>
      </c>
      <c r="E355" s="6" t="n">
        <v>10</v>
      </c>
      <c r="F355" s="6" t="n">
        <v>8356</v>
      </c>
      <c r="G355" s="22" t="n">
        <v>0.0012</v>
      </c>
      <c r="H355" s="21" t="n">
        <v>37526</v>
      </c>
    </row>
    <row r="356">
      <c r="A356" s="20" t="n">
        <v>46191</v>
      </c>
      <c r="B356" s="4" t="inlineStr">
        <is>
          <t>木</t>
        </is>
      </c>
      <c r="C356" s="4" t="inlineStr">
        <is>
          <t>平常日</t>
        </is>
      </c>
      <c r="D356" s="21" t="n">
        <v>529310</v>
      </c>
      <c r="E356" s="6" t="n">
        <v>17</v>
      </c>
      <c r="F356" s="6" t="n">
        <v>8337</v>
      </c>
      <c r="G356" s="22" t="n">
        <v>0.002</v>
      </c>
      <c r="H356" s="21" t="n">
        <v>31136</v>
      </c>
    </row>
    <row r="357">
      <c r="A357" s="20" t="n">
        <v>46192</v>
      </c>
      <c r="B357" s="4" t="inlineStr">
        <is>
          <t>金</t>
        </is>
      </c>
      <c r="C357" s="4" t="inlineStr">
        <is>
          <t>平常日</t>
        </is>
      </c>
      <c r="D357" s="21" t="n">
        <v>406660</v>
      </c>
      <c r="E357" s="6" t="n">
        <v>13</v>
      </c>
      <c r="F357" s="6" t="n">
        <v>14630</v>
      </c>
      <c r="G357" s="22" t="n">
        <v>0.0009</v>
      </c>
      <c r="H357" s="21" t="n">
        <v>31282</v>
      </c>
    </row>
    <row r="358">
      <c r="A358" s="20" t="n">
        <v>46193</v>
      </c>
      <c r="B358" s="4" t="inlineStr">
        <is>
          <t>土</t>
        </is>
      </c>
      <c r="C358" s="4" t="inlineStr">
        <is>
          <t>5と0のつく日</t>
        </is>
      </c>
      <c r="D358" s="21" t="n">
        <v>1549160</v>
      </c>
      <c r="E358" s="6" t="n">
        <v>51</v>
      </c>
      <c r="F358" s="6" t="n">
        <v>24625</v>
      </c>
      <c r="G358" s="22" t="n">
        <v>0.0021</v>
      </c>
      <c r="H358" s="21" t="n">
        <v>30376</v>
      </c>
    </row>
    <row r="359">
      <c r="A359" s="20" t="n">
        <v>46194</v>
      </c>
      <c r="B359" s="4" t="inlineStr">
        <is>
          <t>日</t>
        </is>
      </c>
      <c r="C359" s="4" t="inlineStr">
        <is>
          <t>平常日</t>
        </is>
      </c>
      <c r="D359" s="21" t="n">
        <v>1213180</v>
      </c>
      <c r="E359" s="6" t="n">
        <v>41</v>
      </c>
      <c r="F359" s="6" t="n">
        <v>25312</v>
      </c>
      <c r="G359" s="22" t="n">
        <v>0.0016</v>
      </c>
      <c r="H359" s="21" t="n">
        <v>29590</v>
      </c>
    </row>
    <row r="360">
      <c r="A360" s="20" t="n">
        <v>46195</v>
      </c>
      <c r="B360" s="4" t="inlineStr">
        <is>
          <t>月</t>
        </is>
      </c>
      <c r="C360" s="4" t="inlineStr">
        <is>
          <t>平常日</t>
        </is>
      </c>
      <c r="D360" s="21" t="n">
        <v>662480</v>
      </c>
      <c r="E360" s="6" t="n">
        <v>25</v>
      </c>
      <c r="F360" s="6" t="n">
        <v>17306</v>
      </c>
      <c r="G360" s="22" t="n">
        <v>0.0014</v>
      </c>
      <c r="H360" s="21" t="n">
        <v>26499</v>
      </c>
    </row>
    <row r="361">
      <c r="A361" s="20" t="n">
        <v>46196</v>
      </c>
      <c r="B361" s="4" t="inlineStr">
        <is>
          <t>火</t>
        </is>
      </c>
      <c r="C361" s="4" t="inlineStr">
        <is>
          <t>平常日</t>
        </is>
      </c>
      <c r="D361" s="21" t="n">
        <v>896840</v>
      </c>
      <c r="E361" s="6" t="n">
        <v>32</v>
      </c>
      <c r="F361" s="6" t="n">
        <v>15837</v>
      </c>
      <c r="G361" s="22" t="n">
        <v>0.002</v>
      </c>
      <c r="H361" s="21" t="n">
        <v>28026</v>
      </c>
    </row>
    <row r="362">
      <c r="A362" s="20" t="n">
        <v>46197</v>
      </c>
      <c r="B362" s="4" t="inlineStr">
        <is>
          <t>水</t>
        </is>
      </c>
      <c r="C362" s="4" t="inlineStr">
        <is>
          <t>平常日</t>
        </is>
      </c>
      <c r="D362" s="21" t="n">
        <v>683988</v>
      </c>
      <c r="E362" s="6" t="n">
        <v>26</v>
      </c>
      <c r="F362" s="6" t="n">
        <v>18340</v>
      </c>
      <c r="G362" s="22" t="n">
        <v>0.0014</v>
      </c>
      <c r="H362" s="21" t="n">
        <v>26307</v>
      </c>
    </row>
    <row r="363">
      <c r="A363" s="20" t="n">
        <v>46198</v>
      </c>
      <c r="B363" s="4" t="inlineStr">
        <is>
          <t>木</t>
        </is>
      </c>
      <c r="C363" s="4" t="inlineStr">
        <is>
          <t>5と0のつく日</t>
        </is>
      </c>
      <c r="D363" s="21" t="n">
        <v>2200000</v>
      </c>
      <c r="E363" s="6" t="n">
        <v>87</v>
      </c>
      <c r="F363" s="6" t="n">
        <v>23599</v>
      </c>
      <c r="G363" s="22" t="n">
        <v>0.0037</v>
      </c>
      <c r="H363" s="21" t="n">
        <v>25287</v>
      </c>
    </row>
    <row r="364">
      <c r="A364" s="20" t="n">
        <v>46199</v>
      </c>
      <c r="B364" s="4" t="inlineStr">
        <is>
          <t>金</t>
        </is>
      </c>
      <c r="C364" s="4" t="inlineStr">
        <is>
          <t>平常日</t>
        </is>
      </c>
      <c r="D364" s="21" t="n">
        <v>693692</v>
      </c>
      <c r="E364" s="6" t="n">
        <v>33</v>
      </c>
      <c r="F364" s="6" t="n">
        <v>18297</v>
      </c>
      <c r="G364" s="22" t="n">
        <v>0.0018</v>
      </c>
      <c r="H364" s="21" t="n">
        <v>21021</v>
      </c>
    </row>
    <row r="365">
      <c r="A365" s="20" t="n">
        <v>46200</v>
      </c>
      <c r="B365" s="4" t="inlineStr">
        <is>
          <t>土</t>
        </is>
      </c>
      <c r="C365" s="4" t="inlineStr">
        <is>
          <t>平常日</t>
        </is>
      </c>
      <c r="D365" s="21" t="n">
        <v>567268</v>
      </c>
      <c r="E365" s="6" t="n">
        <v>24</v>
      </c>
      <c r="F365" s="6" t="n">
        <v>14681</v>
      </c>
      <c r="G365" s="22" t="n">
        <v>0.0016</v>
      </c>
      <c r="H365" s="21" t="n">
        <v>23636</v>
      </c>
    </row>
    <row r="366">
      <c r="A366" s="20" t="n">
        <v>46201</v>
      </c>
      <c r="B366" s="4" t="inlineStr">
        <is>
          <t>日</t>
        </is>
      </c>
      <c r="C366" s="4" t="inlineStr">
        <is>
          <t>平常日</t>
        </is>
      </c>
      <c r="D366" s="21" t="n">
        <v>940672</v>
      </c>
      <c r="E366" s="6" t="n">
        <v>37</v>
      </c>
      <c r="F366" s="6" t="n">
        <v>16656</v>
      </c>
      <c r="G366" s="22" t="n">
        <v>0.0022</v>
      </c>
      <c r="H366" s="21" t="n">
        <v>25424</v>
      </c>
    </row>
    <row r="367">
      <c r="A367" s="20" t="n">
        <v>46202</v>
      </c>
      <c r="B367" s="4" t="inlineStr">
        <is>
          <t>月</t>
        </is>
      </c>
      <c r="C367" s="4" t="inlineStr">
        <is>
          <t>平常日</t>
        </is>
      </c>
      <c r="D367" s="21" t="n">
        <v>472484</v>
      </c>
      <c r="E367" s="6" t="n">
        <v>18</v>
      </c>
      <c r="F367" s="6" t="n">
        <v>12313</v>
      </c>
      <c r="G367" s="22" t="n">
        <v>0.0015</v>
      </c>
      <c r="H367" s="21" t="n">
        <v>26249</v>
      </c>
    </row>
    <row r="368">
      <c r="A368" s="20" t="n">
        <v>46203</v>
      </c>
      <c r="B368" s="4" t="inlineStr">
        <is>
          <t>火</t>
        </is>
      </c>
      <c r="C368" s="4" t="inlineStr">
        <is>
          <t>5と0のつく日</t>
        </is>
      </c>
      <c r="D368" s="21" t="n">
        <v>808184</v>
      </c>
      <c r="E368" s="6" t="n">
        <v>34</v>
      </c>
      <c r="F368" s="6" t="n">
        <v>10791</v>
      </c>
      <c r="G368" s="22" t="n">
        <v>0.0032</v>
      </c>
      <c r="H368" s="21" t="n">
        <v>23770</v>
      </c>
    </row>
    <row r="369">
      <c r="A369" s="20" t="n">
        <v>46204</v>
      </c>
      <c r="B369" s="4" t="inlineStr">
        <is>
          <t>水</t>
        </is>
      </c>
      <c r="C369" s="4" t="inlineStr">
        <is>
          <t>ワンダフルデー</t>
        </is>
      </c>
      <c r="D369" s="21" t="n">
        <v>1199910</v>
      </c>
      <c r="E369" s="6" t="n">
        <v>43</v>
      </c>
      <c r="F369" s="6" t="n">
        <v>12728</v>
      </c>
      <c r="G369" s="22" t="n">
        <v>0.0034</v>
      </c>
      <c r="H369" s="21" t="n">
        <v>27905</v>
      </c>
    </row>
    <row r="370">
      <c r="A370" s="20" t="n">
        <v>46205</v>
      </c>
      <c r="B370" s="4" t="inlineStr">
        <is>
          <t>木</t>
        </is>
      </c>
      <c r="C370" s="4" t="inlineStr">
        <is>
          <t>平常日</t>
        </is>
      </c>
      <c r="D370" s="21" t="n">
        <v>487238</v>
      </c>
      <c r="E370" s="6" t="n">
        <v>20</v>
      </c>
      <c r="F370" s="6" t="n">
        <v>13793</v>
      </c>
      <c r="G370" s="22" t="n">
        <v>0.0015</v>
      </c>
      <c r="H370" s="21" t="n">
        <v>24362</v>
      </c>
    </row>
    <row r="371">
      <c r="A371" s="20" t="n">
        <v>46206</v>
      </c>
      <c r="B371" s="4" t="inlineStr">
        <is>
          <t>金</t>
        </is>
      </c>
      <c r="C371" s="4" t="inlineStr">
        <is>
          <t>平常日</t>
        </is>
      </c>
      <c r="D371" s="21" t="n">
        <v>694132</v>
      </c>
      <c r="E371" s="6" t="n">
        <v>29</v>
      </c>
      <c r="F371" s="6" t="n">
        <v>18825</v>
      </c>
      <c r="G371" s="22" t="n">
        <v>0.0015</v>
      </c>
      <c r="H371" s="21" t="n">
        <v>23936</v>
      </c>
    </row>
    <row r="372">
      <c r="A372" s="20" t="n">
        <v>46207</v>
      </c>
      <c r="B372" s="4" t="inlineStr">
        <is>
          <t>土</t>
        </is>
      </c>
      <c r="C372" s="4" t="inlineStr">
        <is>
          <t>お買い物マラソン(推定)</t>
        </is>
      </c>
      <c r="D372" s="21" t="n">
        <v>1529936</v>
      </c>
      <c r="E372" s="6" t="n">
        <v>62</v>
      </c>
      <c r="F372" s="6" t="n">
        <v>27362</v>
      </c>
      <c r="G372" s="22" t="n">
        <v>0.0023</v>
      </c>
      <c r="H372" s="21" t="n">
        <v>24676</v>
      </c>
    </row>
    <row r="373">
      <c r="A373" s="20" t="n">
        <v>46208</v>
      </c>
      <c r="B373" s="4" t="inlineStr">
        <is>
          <t>日</t>
        </is>
      </c>
      <c r="C373" s="4" t="inlineStr">
        <is>
          <t>お買い物マラソン(推定)</t>
        </is>
      </c>
      <c r="D373" s="21" t="n">
        <v>4449984</v>
      </c>
      <c r="E373" s="6" t="n">
        <v>202</v>
      </c>
      <c r="F373" s="6" t="n">
        <v>36710</v>
      </c>
      <c r="G373" s="22" t="n">
        <v>0.005500000000000001</v>
      </c>
      <c r="H373" s="21" t="n">
        <v>22030</v>
      </c>
    </row>
    <row r="374">
      <c r="A374" s="20" t="n">
        <v>46209</v>
      </c>
      <c r="B374" s="4" t="inlineStr">
        <is>
          <t>月</t>
        </is>
      </c>
      <c r="C374" s="4" t="inlineStr">
        <is>
          <t>お買い物マラソン(推定)</t>
        </is>
      </c>
      <c r="D374" s="21" t="n">
        <v>1440832</v>
      </c>
      <c r="E374" s="6" t="n">
        <v>58</v>
      </c>
      <c r="F374" s="6" t="n">
        <v>28388</v>
      </c>
      <c r="G374" s="22" t="n">
        <v>0.002</v>
      </c>
      <c r="H374" s="21" t="n">
        <v>24842</v>
      </c>
    </row>
    <row r="375">
      <c r="A375" s="20" t="n">
        <v>46210</v>
      </c>
      <c r="B375" s="4" t="inlineStr">
        <is>
          <t>火</t>
        </is>
      </c>
      <c r="C375" s="4" t="inlineStr">
        <is>
          <t>お買い物マラソン(推定)</t>
        </is>
      </c>
      <c r="D375" s="21" t="n">
        <v>1316512</v>
      </c>
      <c r="E375" s="6" t="n">
        <v>63</v>
      </c>
      <c r="F375" s="6" t="n">
        <v>24658</v>
      </c>
      <c r="G375" s="22" t="n">
        <v>0.0026</v>
      </c>
      <c r="H375" s="21" t="n">
        <v>20897</v>
      </c>
    </row>
    <row r="376">
      <c r="A376" s="20" t="n">
        <v>46211</v>
      </c>
      <c r="B376" s="4" t="inlineStr">
        <is>
          <t>水</t>
        </is>
      </c>
      <c r="C376" s="4" t="inlineStr">
        <is>
          <t>お買い物マラソン(推定)</t>
        </is>
      </c>
      <c r="D376" s="21" t="n">
        <v>1340400</v>
      </c>
      <c r="E376" s="6" t="n">
        <v>86</v>
      </c>
      <c r="F376" s="6" t="n">
        <v>25680</v>
      </c>
      <c r="G376" s="22" t="n">
        <v>0.0033</v>
      </c>
      <c r="H376" s="21" t="n">
        <v>15586</v>
      </c>
    </row>
    <row r="377">
      <c r="A377" s="20" t="n">
        <v>46212</v>
      </c>
      <c r="B377" s="4" t="inlineStr">
        <is>
          <t>木</t>
        </is>
      </c>
      <c r="C377" s="4" t="inlineStr">
        <is>
          <t>お買い物マラソン(推定)</t>
        </is>
      </c>
      <c r="D377" s="21" t="n">
        <v>1483590</v>
      </c>
      <c r="E377" s="6" t="n">
        <v>97</v>
      </c>
      <c r="F377" s="6" t="n">
        <v>28653</v>
      </c>
      <c r="G377" s="22" t="n">
        <v>0.0034</v>
      </c>
      <c r="H377" s="21" t="n">
        <v>15295</v>
      </c>
    </row>
    <row r="378">
      <c r="A378" s="20" t="n">
        <v>46213</v>
      </c>
      <c r="B378" s="4" t="inlineStr">
        <is>
          <t>金</t>
        </is>
      </c>
      <c r="C378" s="4" t="inlineStr">
        <is>
          <t>お買い物マラソン(推定)</t>
        </is>
      </c>
      <c r="D378" s="21" t="n">
        <v>3747378</v>
      </c>
      <c r="E378" s="6" t="n">
        <v>223</v>
      </c>
      <c r="F378" s="6" t="n">
        <v>31918</v>
      </c>
      <c r="G378" s="22" t="n">
        <v>0.006999999999999999</v>
      </c>
      <c r="H378" s="21" t="n">
        <v>16804</v>
      </c>
    </row>
    <row r="379">
      <c r="A379" s="20" t="n">
        <v>46214</v>
      </c>
      <c r="B379" s="4" t="inlineStr">
        <is>
          <t>土</t>
        </is>
      </c>
      <c r="C379" s="4" t="inlineStr">
        <is>
          <t>お買い物マラソン(推定)</t>
        </is>
      </c>
      <c r="D379" s="21" t="n">
        <v>1350780</v>
      </c>
      <c r="E379" s="6" t="n">
        <v>123</v>
      </c>
      <c r="F379" s="6" t="n">
        <v>33618</v>
      </c>
      <c r="G379" s="22" t="n">
        <v>0.0037</v>
      </c>
      <c r="H379" s="21" t="n">
        <v>10982</v>
      </c>
    </row>
    <row r="380">
      <c r="A380" s="20" t="n">
        <v>46215</v>
      </c>
      <c r="B380" s="4" t="inlineStr">
        <is>
          <t>日</t>
        </is>
      </c>
      <c r="C380" s="4" t="inlineStr">
        <is>
          <t>平常日</t>
        </is>
      </c>
      <c r="D380" s="21" t="n">
        <v>1494388</v>
      </c>
      <c r="E380" s="6" t="n">
        <v>135</v>
      </c>
      <c r="F380" s="6" t="n">
        <v>34403</v>
      </c>
      <c r="G380" s="22" t="n">
        <v>0.0039</v>
      </c>
      <c r="H380" s="21" t="n">
        <v>11070</v>
      </c>
    </row>
    <row r="381">
      <c r="A381" s="20" t="n">
        <v>46216</v>
      </c>
      <c r="B381" s="4" t="inlineStr">
        <is>
          <t>月</t>
        </is>
      </c>
      <c r="C381" s="4" t="inlineStr">
        <is>
          <t>平常日</t>
        </is>
      </c>
      <c r="D381" s="21" t="n">
        <v>1467616</v>
      </c>
      <c r="E381" s="6" t="n">
        <v>127</v>
      </c>
      <c r="F381" s="6" t="n">
        <v>26677</v>
      </c>
      <c r="G381" s="22" t="n">
        <v>0.0048</v>
      </c>
      <c r="H381" s="21" t="n">
        <v>11556</v>
      </c>
    </row>
    <row r="382">
      <c r="A382" s="20" t="n">
        <v>46217</v>
      </c>
      <c r="B382" s="4" t="inlineStr">
        <is>
          <t>火</t>
        </is>
      </c>
      <c r="C382" s="4" t="inlineStr">
        <is>
          <t>平常日</t>
        </is>
      </c>
      <c r="D382" s="21" t="n">
        <v>1093978</v>
      </c>
      <c r="E382" s="6" t="n">
        <v>112</v>
      </c>
      <c r="F382" s="6" t="n">
        <v>29801</v>
      </c>
      <c r="G382" s="22" t="n">
        <v>0.0038</v>
      </c>
      <c r="H382" s="21" t="n">
        <v>9768</v>
      </c>
    </row>
    <row r="383">
      <c r="A383" s="20" t="n">
        <v>46218</v>
      </c>
      <c r="B383" s="4" t="inlineStr">
        <is>
          <t>水</t>
        </is>
      </c>
      <c r="C383" s="4" t="inlineStr">
        <is>
          <t>5と0のつく日</t>
        </is>
      </c>
      <c r="D383" s="21" t="n">
        <v>1647756</v>
      </c>
      <c r="E383" s="6" t="n">
        <v>188</v>
      </c>
      <c r="F383" s="6" t="n">
        <v>26858</v>
      </c>
      <c r="G383" s="22" t="n">
        <v>0.006999999999999999</v>
      </c>
      <c r="H383" s="21" t="n">
        <v>8765</v>
      </c>
    </row>
    <row r="384">
      <c r="A384" s="20" t="n">
        <v>46219</v>
      </c>
      <c r="B384" s="4" t="inlineStr">
        <is>
          <t>木</t>
        </is>
      </c>
      <c r="C384" s="4" t="inlineStr">
        <is>
          <t>平常日</t>
        </is>
      </c>
      <c r="D384" s="21" t="n">
        <v>938808</v>
      </c>
      <c r="E384" s="6" t="n">
        <v>130</v>
      </c>
      <c r="F384" s="6" t="n">
        <v>26377</v>
      </c>
      <c r="G384" s="22" t="n">
        <v>0.0049</v>
      </c>
      <c r="H384" s="21" t="n">
        <v>7222</v>
      </c>
    </row>
    <row r="385">
      <c r="A385" s="20" t="n">
        <v>46220</v>
      </c>
      <c r="B385" s="4" t="inlineStr">
        <is>
          <t>金</t>
        </is>
      </c>
      <c r="C385" s="4" t="inlineStr">
        <is>
          <t>平常日</t>
        </is>
      </c>
      <c r="D385" s="21" t="n">
        <v>639296</v>
      </c>
      <c r="E385" s="6" t="n">
        <v>67</v>
      </c>
      <c r="F385" s="6" t="n">
        <v>25215</v>
      </c>
      <c r="G385" s="22" t="n">
        <v>0.0027</v>
      </c>
      <c r="H385" s="21" t="n">
        <v>9542</v>
      </c>
    </row>
    <row r="386">
      <c r="A386" s="20" t="n">
        <v>46221</v>
      </c>
      <c r="B386" s="4" t="inlineStr">
        <is>
          <t>土</t>
        </is>
      </c>
      <c r="C386" s="4" t="inlineStr">
        <is>
          <t>平常日</t>
        </is>
      </c>
      <c r="D386" s="21" t="n">
        <v>1186016</v>
      </c>
      <c r="E386" s="6" t="n">
        <v>53</v>
      </c>
      <c r="F386" s="6" t="n">
        <v>28711</v>
      </c>
      <c r="G386" s="22" t="n">
        <v>0.0018</v>
      </c>
      <c r="H386" s="21" t="n">
        <v>22378</v>
      </c>
    </row>
    <row r="387">
      <c r="A387" s="20" t="n">
        <v>46222</v>
      </c>
      <c r="B387" s="4" t="inlineStr">
        <is>
          <t>日</t>
        </is>
      </c>
      <c r="C387" s="4" t="inlineStr">
        <is>
          <t>平常日</t>
        </is>
      </c>
      <c r="D387" s="21" t="n">
        <v>996380</v>
      </c>
      <c r="E387" s="6" t="n">
        <v>56</v>
      </c>
      <c r="F387" s="6" t="n">
        <v>33828</v>
      </c>
      <c r="G387" s="22" t="n">
        <v>0.0017</v>
      </c>
      <c r="H387" s="21" t="n">
        <v>17793</v>
      </c>
    </row>
    <row r="388">
      <c r="A388" s="20" t="n">
        <v>46223</v>
      </c>
      <c r="B388" s="4" t="inlineStr">
        <is>
          <t>月</t>
        </is>
      </c>
      <c r="C388" s="4" t="inlineStr">
        <is>
          <t>5と0のつく日</t>
        </is>
      </c>
      <c r="D388" s="21" t="n">
        <v>3537200</v>
      </c>
      <c r="E388" s="6" t="n">
        <v>377</v>
      </c>
      <c r="F388" s="6" t="n">
        <v>47596</v>
      </c>
      <c r="G388" s="22" t="n">
        <v>0.007900000000000001</v>
      </c>
      <c r="H388" s="21" t="n">
        <v>9382</v>
      </c>
    </row>
    <row r="389">
      <c r="A389" s="20" t="n">
        <v>46224</v>
      </c>
      <c r="B389" s="4" t="inlineStr">
        <is>
          <t>火</t>
        </is>
      </c>
      <c r="C389" s="4" t="inlineStr">
        <is>
          <t>平常日</t>
        </is>
      </c>
      <c r="D389" s="21" t="n">
        <v>1328152</v>
      </c>
      <c r="E389" s="6" t="n">
        <v>131</v>
      </c>
      <c r="F389" s="6" t="n">
        <v>36180</v>
      </c>
      <c r="G389" s="22" t="n">
        <v>0.0036</v>
      </c>
      <c r="H389" s="21" t="n">
        <v>10139</v>
      </c>
    </row>
    <row r="390">
      <c r="A390" s="20" t="n">
        <v>46225</v>
      </c>
      <c r="B390" s="4" t="inlineStr">
        <is>
          <t>水</t>
        </is>
      </c>
      <c r="C390" s="4" t="inlineStr">
        <is>
          <t>平常日</t>
        </is>
      </c>
      <c r="D390" s="21" t="n">
        <v>1259474</v>
      </c>
      <c r="E390" s="6" t="n">
        <v>101</v>
      </c>
      <c r="F390" s="6" t="n">
        <v>30352</v>
      </c>
      <c r="G390" s="22" t="n">
        <v>0.0033</v>
      </c>
      <c r="H390" s="21" t="n">
        <v>12470</v>
      </c>
    </row>
    <row r="391">
      <c r="A391" s="20" t="n">
        <v>46226</v>
      </c>
      <c r="B391" s="4" t="inlineStr">
        <is>
          <t>木</t>
        </is>
      </c>
      <c r="C391" s="4" t="inlineStr">
        <is>
          <t>平常日</t>
        </is>
      </c>
      <c r="D391" s="21" t="n">
        <v>1512718</v>
      </c>
      <c r="E391" s="6" t="n">
        <v>133</v>
      </c>
      <c r="F391" s="6" t="n">
        <v>30420</v>
      </c>
      <c r="G391" s="22" t="n">
        <v>0.0044</v>
      </c>
      <c r="H391" s="21" t="n">
        <v>11374</v>
      </c>
    </row>
    <row r="392">
      <c r="A392" s="20" t="n">
        <v>46227</v>
      </c>
      <c r="B392" s="4" t="inlineStr">
        <is>
          <t>金</t>
        </is>
      </c>
      <c r="C392" s="4" t="inlineStr">
        <is>
          <t>平常日</t>
        </is>
      </c>
      <c r="D392" s="21" t="n">
        <v>1362790</v>
      </c>
      <c r="E392" s="6" t="n">
        <v>98</v>
      </c>
      <c r="F392" s="6" t="n">
        <v>27343</v>
      </c>
      <c r="G392" s="22" t="n">
        <v>0.0036</v>
      </c>
      <c r="H392" s="21" t="n">
        <v>13906</v>
      </c>
    </row>
    <row r="393">
      <c r="A393" s="20" t="n">
        <v>46228</v>
      </c>
      <c r="B393" s="4" t="inlineStr">
        <is>
          <t>土</t>
        </is>
      </c>
      <c r="C393" s="4" t="inlineStr">
        <is>
          <t>5と0のつく日</t>
        </is>
      </c>
      <c r="D393" s="21" t="n">
        <v>4184608</v>
      </c>
      <c r="E393" s="6" t="n">
        <v>418</v>
      </c>
      <c r="F393" s="6" t="n">
        <v>50730</v>
      </c>
      <c r="G393" s="22" t="n">
        <v>0.008199999999999999</v>
      </c>
      <c r="H393" s="21" t="n">
        <v>10011</v>
      </c>
    </row>
    <row r="394">
      <c r="A394" s="20" t="n">
        <v>46229</v>
      </c>
      <c r="B394" s="4" t="inlineStr">
        <is>
          <t>日</t>
        </is>
      </c>
      <c r="C394" s="4" t="inlineStr">
        <is>
          <t>平常日</t>
        </is>
      </c>
      <c r="D394" s="21" t="n">
        <v>2230822</v>
      </c>
      <c r="E394" s="6" t="n">
        <v>261</v>
      </c>
      <c r="F394" s="6" t="n">
        <v>46371</v>
      </c>
      <c r="G394" s="22" t="n">
        <v>0.005600000000000001</v>
      </c>
      <c r="H394" s="21" t="n">
        <v>8547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4" customWidth="1" min="3" max="3"/>
    <col width="11" customWidth="1" min="4" max="4"/>
    <col width="12" customWidth="1" min="5" max="5"/>
    <col width="11" customWidth="1" min="6" max="6"/>
    <col width="12" customWidth="1" min="7" max="7"/>
    <col width="11" customWidth="1" min="8" max="8"/>
  </cols>
  <sheetData>
    <row r="1">
      <c r="A1" s="1" t="inlineStr">
        <is>
          <t>イベント別 売上統計（平常日=1.00・13か月実績）</t>
        </is>
      </c>
    </row>
    <row r="2">
      <c r="A2" s="8" t="inlineStr">
        <is>
          <t>「どのイベントで売上が高くなるか」の答え。倍率・構成比とも実測。</t>
        </is>
      </c>
    </row>
    <row r="3">
      <c r="A3" s="2" t="inlineStr">
        <is>
          <t>イベント</t>
        </is>
      </c>
      <c r="B3" s="2" t="inlineStr">
        <is>
          <t>日数</t>
        </is>
      </c>
      <c r="C3" s="2" t="inlineStr">
        <is>
          <t>日平均売上</t>
        </is>
      </c>
      <c r="D3" s="2" t="inlineStr">
        <is>
          <t>リフト倍率</t>
        </is>
      </c>
      <c r="E3" s="2" t="inlineStr">
        <is>
          <t>平均客単価</t>
        </is>
      </c>
      <c r="F3" s="2" t="inlineStr">
        <is>
          <t>平均転換率</t>
        </is>
      </c>
      <c r="G3" s="2" t="inlineStr">
        <is>
          <t>平均アクセス</t>
        </is>
      </c>
      <c r="H3" s="2" t="inlineStr">
        <is>
          <t>売上構成比</t>
        </is>
      </c>
    </row>
    <row r="4">
      <c r="A4" s="9" t="inlineStr">
        <is>
          <t>スーパーSALE</t>
        </is>
      </c>
      <c r="B4" s="6">
        <f>COUNTIF('日次データ'!$C$4:$C$394,$A4)</f>
        <v/>
      </c>
      <c r="C4" s="23">
        <f>IFERROR(AVERAGEIFS('日次データ'!$D$4:$D$394,'日次データ'!$C$4:$C$394,$A4),0)</f>
        <v/>
      </c>
      <c r="D4" s="24">
        <f>IFERROR(C4/$C$8,0)</f>
        <v/>
      </c>
      <c r="E4" s="21">
        <f>IFERROR(AVERAGEIFS('日次データ'!$H$4:$H$394,'日次データ'!$C$4:$C$394,$A4),0)</f>
        <v/>
      </c>
      <c r="F4" s="22">
        <f>IFERROR(AVERAGEIFS('日次データ'!$G$4:$G$394,'日次データ'!$C$4:$C$394,$A4),0)</f>
        <v/>
      </c>
      <c r="G4" s="6">
        <f>IFERROR(AVERAGEIFS('日次データ'!$F$4:$F$394,'日次データ'!$C$4:$C$394,$A4),0)</f>
        <v/>
      </c>
      <c r="H4" s="26">
        <f>IFERROR(SUMIFS('日次データ'!$D$4:$D$394,'日次データ'!$C$4:$C$394,$A4)/SUM('日次データ'!$D$4:$D$394),0)</f>
        <v/>
      </c>
    </row>
    <row r="5">
      <c r="A5" s="9" t="inlineStr">
        <is>
          <t>5と0のつく日</t>
        </is>
      </c>
      <c r="B5" s="6">
        <f>COUNTIF('日次データ'!$C$4:$C$394,$A5)</f>
        <v/>
      </c>
      <c r="C5" s="23">
        <f>IFERROR(AVERAGEIFS('日次データ'!$D$4:$D$394,'日次データ'!$C$4:$C$394,$A5),0)</f>
        <v/>
      </c>
      <c r="D5" s="24">
        <f>IFERROR(C5/$C$8,0)</f>
        <v/>
      </c>
      <c r="E5" s="21">
        <f>IFERROR(AVERAGEIFS('日次データ'!$H$4:$H$394,'日次データ'!$C$4:$C$394,$A5),0)</f>
        <v/>
      </c>
      <c r="F5" s="22">
        <f>IFERROR(AVERAGEIFS('日次データ'!$G$4:$G$394,'日次データ'!$C$4:$C$394,$A5),0)</f>
        <v/>
      </c>
      <c r="G5" s="6">
        <f>IFERROR(AVERAGEIFS('日次データ'!$F$4:$F$394,'日次データ'!$C$4:$C$394,$A5),0)</f>
        <v/>
      </c>
      <c r="H5" s="26">
        <f>IFERROR(SUMIFS('日次データ'!$D$4:$D$394,'日次データ'!$C$4:$C$394,$A5)/SUM('日次データ'!$D$4:$D$394),0)</f>
        <v/>
      </c>
    </row>
    <row r="6">
      <c r="A6" s="9" t="inlineStr">
        <is>
          <t>ワンダフルデー</t>
        </is>
      </c>
      <c r="B6" s="6">
        <f>COUNTIF('日次データ'!$C$4:$C$394,$A6)</f>
        <v/>
      </c>
      <c r="C6" s="23">
        <f>IFERROR(AVERAGEIFS('日次データ'!$D$4:$D$394,'日次データ'!$C$4:$C$394,$A6),0)</f>
        <v/>
      </c>
      <c r="D6" s="24">
        <f>IFERROR(C6/$C$8,0)</f>
        <v/>
      </c>
      <c r="E6" s="21">
        <f>IFERROR(AVERAGEIFS('日次データ'!$H$4:$H$394,'日次データ'!$C$4:$C$394,$A6),0)</f>
        <v/>
      </c>
      <c r="F6" s="22">
        <f>IFERROR(AVERAGEIFS('日次データ'!$G$4:$G$394,'日次データ'!$C$4:$C$394,$A6),0)</f>
        <v/>
      </c>
      <c r="G6" s="6">
        <f>IFERROR(AVERAGEIFS('日次データ'!$F$4:$F$394,'日次データ'!$C$4:$C$394,$A6),0)</f>
        <v/>
      </c>
      <c r="H6" s="26">
        <f>IFERROR(SUMIFS('日次データ'!$D$4:$D$394,'日次データ'!$C$4:$C$394,$A6)/SUM('日次データ'!$D$4:$D$394),0)</f>
        <v/>
      </c>
    </row>
    <row r="7">
      <c r="A7" s="9" t="inlineStr">
        <is>
          <t>お買い物マラソン(推定)</t>
        </is>
      </c>
      <c r="B7" s="6">
        <f>COUNTIF('日次データ'!$C$4:$C$394,$A7)</f>
        <v/>
      </c>
      <c r="C7" s="23">
        <f>IFERROR(AVERAGEIFS('日次データ'!$D$4:$D$394,'日次データ'!$C$4:$C$394,$A7),0)</f>
        <v/>
      </c>
      <c r="D7" s="24">
        <f>IFERROR(C7/$C$8,0)</f>
        <v/>
      </c>
      <c r="E7" s="21">
        <f>IFERROR(AVERAGEIFS('日次データ'!$H$4:$H$394,'日次データ'!$C$4:$C$394,$A7),0)</f>
        <v/>
      </c>
      <c r="F7" s="22">
        <f>IFERROR(AVERAGEIFS('日次データ'!$G$4:$G$394,'日次データ'!$C$4:$C$394,$A7),0)</f>
        <v/>
      </c>
      <c r="G7" s="6">
        <f>IFERROR(AVERAGEIFS('日次データ'!$F$4:$F$394,'日次データ'!$C$4:$C$394,$A7),0)</f>
        <v/>
      </c>
      <c r="H7" s="26">
        <f>IFERROR(SUMIFS('日次データ'!$D$4:$D$394,'日次データ'!$C$4:$C$394,$A7)/SUM('日次データ'!$D$4:$D$394),0)</f>
        <v/>
      </c>
    </row>
    <row r="8">
      <c r="A8" s="9" t="inlineStr">
        <is>
          <t>平常日</t>
        </is>
      </c>
      <c r="B8" s="6">
        <f>COUNTIF('日次データ'!$C$4:$C$394,$A8)</f>
        <v/>
      </c>
      <c r="C8" s="21">
        <f>IFERROR(AVERAGEIFS('日次データ'!$D$4:$D$394,'日次データ'!$C$4:$C$394,$A8),0)</f>
        <v/>
      </c>
      <c r="D8" s="27">
        <f>IFERROR(C8/$C$8,0)</f>
        <v/>
      </c>
      <c r="E8" s="21">
        <f>IFERROR(AVERAGEIFS('日次データ'!$H$4:$H$394,'日次データ'!$C$4:$C$394,$A8),0)</f>
        <v/>
      </c>
      <c r="F8" s="22">
        <f>IFERROR(AVERAGEIFS('日次データ'!$G$4:$G$394,'日次データ'!$C$4:$C$394,$A8),0)</f>
        <v/>
      </c>
      <c r="G8" s="6">
        <f>IFERROR(AVERAGEIFS('日次データ'!$F$4:$F$394,'日次データ'!$C$4:$C$394,$A8),0)</f>
        <v/>
      </c>
      <c r="H8" s="26">
        <f>IFERROR(SUMIFS('日次データ'!$D$4:$D$394,'日次データ'!$C$4:$C$394,$A8)/SUM('日次データ'!$D$4:$D$394),0)</f>
        <v/>
      </c>
    </row>
    <row r="9"/>
    <row r="10">
      <c r="A10" s="8" t="inlineStr">
        <is>
          <t>※ お買い物マラソンは開催日程が毎回変わるため、非SALE月の4〜11日を『推定マラソン期間』として集計。</t>
        </is>
      </c>
    </row>
    <row r="11">
      <c r="A11" s="8" t="inlineStr">
        <is>
          <t xml:space="preserve">　 正確なマラソン日程をいただければ、その期間で再集計して精度を上げます。</t>
        </is>
      </c>
    </row>
    <row r="12">
      <c r="A12" s="8" t="inlineStr">
        <is>
          <t>※ イベント日は全391日中167日(43%)だが、売上の58.8%を生む。イベント日の最大化が月商の鍵。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4" customWidth="1" min="4" max="4"/>
  </cols>
  <sheetData>
    <row r="1">
      <c r="A1" s="1" t="inlineStr">
        <is>
          <t>月商推移（13か月）</t>
        </is>
      </c>
    </row>
    <row r="2">
      <c r="A2" s="2" t="inlineStr">
        <is>
          <t>月</t>
        </is>
      </c>
      <c r="B2" s="2" t="inlineStr">
        <is>
          <t>月商</t>
        </is>
      </c>
      <c r="C2" s="2" t="inlineStr">
        <is>
          <t>日数</t>
        </is>
      </c>
      <c r="D2" s="2" t="inlineStr">
        <is>
          <t>日平均</t>
        </is>
      </c>
    </row>
    <row r="3">
      <c r="A3" s="9" t="inlineStr">
        <is>
          <t>2025-07</t>
        </is>
      </c>
      <c r="B3" s="28">
        <f>SUMIFS('日次データ'!$D$4:$D$394,'日次データ'!$A$4:$A$394,"&gt;="&amp;DATE(2025,7,1),'日次データ'!$A$4:$A$394,"&lt;="&amp;DATE(2025,7,31))</f>
        <v/>
      </c>
      <c r="C3" s="15">
        <f>COUNTIFS('日次データ'!$A$4:$A$394,"&gt;="&amp;DATE(2025,7,1),'日次データ'!$A$4:$A$394,"&lt;="&amp;DATE(2025,7,31))</f>
        <v/>
      </c>
      <c r="D3" s="21">
        <f>IFERROR(B3/C3,0)</f>
        <v/>
      </c>
    </row>
    <row r="4">
      <c r="A4" s="9" t="inlineStr">
        <is>
          <t>2025-08</t>
        </is>
      </c>
      <c r="B4" s="28">
        <f>SUMIFS('日次データ'!$D$4:$D$394,'日次データ'!$A$4:$A$394,"&gt;="&amp;DATE(2025,8,1),'日次データ'!$A$4:$A$394,"&lt;="&amp;DATE(2025,8,31))</f>
        <v/>
      </c>
      <c r="C4" s="15">
        <f>COUNTIFS('日次データ'!$A$4:$A$394,"&gt;="&amp;DATE(2025,8,1),'日次データ'!$A$4:$A$394,"&lt;="&amp;DATE(2025,8,31))</f>
        <v/>
      </c>
      <c r="D4" s="21">
        <f>IFERROR(B4/C4,0)</f>
        <v/>
      </c>
    </row>
    <row r="5">
      <c r="A5" s="9" t="inlineStr">
        <is>
          <t>2025-09</t>
        </is>
      </c>
      <c r="B5" s="28">
        <f>SUMIFS('日次データ'!$D$4:$D$394,'日次データ'!$A$4:$A$394,"&gt;="&amp;DATE(2025,9,1),'日次データ'!$A$4:$A$394,"&lt;="&amp;DATE(2025,9,30))</f>
        <v/>
      </c>
      <c r="C5" s="15">
        <f>COUNTIFS('日次データ'!$A$4:$A$394,"&gt;="&amp;DATE(2025,9,1),'日次データ'!$A$4:$A$394,"&lt;="&amp;DATE(2025,9,30))</f>
        <v/>
      </c>
      <c r="D5" s="21">
        <f>IFERROR(B5/C5,0)</f>
        <v/>
      </c>
    </row>
    <row r="6">
      <c r="A6" s="9" t="inlineStr">
        <is>
          <t>2025-10</t>
        </is>
      </c>
      <c r="B6" s="28">
        <f>SUMIFS('日次データ'!$D$4:$D$394,'日次データ'!$A$4:$A$394,"&gt;="&amp;DATE(2025,10,1),'日次データ'!$A$4:$A$394,"&lt;="&amp;DATE(2025,10,31))</f>
        <v/>
      </c>
      <c r="C6" s="15">
        <f>COUNTIFS('日次データ'!$A$4:$A$394,"&gt;="&amp;DATE(2025,10,1),'日次データ'!$A$4:$A$394,"&lt;="&amp;DATE(2025,10,31))</f>
        <v/>
      </c>
      <c r="D6" s="21">
        <f>IFERROR(B6/C6,0)</f>
        <v/>
      </c>
    </row>
    <row r="7">
      <c r="A7" s="9" t="inlineStr">
        <is>
          <t>2025-11</t>
        </is>
      </c>
      <c r="B7" s="28">
        <f>SUMIFS('日次データ'!$D$4:$D$394,'日次データ'!$A$4:$A$394,"&gt;="&amp;DATE(2025,11,1),'日次データ'!$A$4:$A$394,"&lt;="&amp;DATE(2025,11,30))</f>
        <v/>
      </c>
      <c r="C7" s="15">
        <f>COUNTIFS('日次データ'!$A$4:$A$394,"&gt;="&amp;DATE(2025,11,1),'日次データ'!$A$4:$A$394,"&lt;="&amp;DATE(2025,11,30))</f>
        <v/>
      </c>
      <c r="D7" s="21">
        <f>IFERROR(B7/C7,0)</f>
        <v/>
      </c>
    </row>
    <row r="8">
      <c r="A8" s="9" t="inlineStr">
        <is>
          <t>2025-12</t>
        </is>
      </c>
      <c r="B8" s="28">
        <f>SUMIFS('日次データ'!$D$4:$D$394,'日次データ'!$A$4:$A$394,"&gt;="&amp;DATE(2025,12,1),'日次データ'!$A$4:$A$394,"&lt;="&amp;DATE(2025,12,31))</f>
        <v/>
      </c>
      <c r="C8" s="15">
        <f>COUNTIFS('日次データ'!$A$4:$A$394,"&gt;="&amp;DATE(2025,12,1),'日次データ'!$A$4:$A$394,"&lt;="&amp;DATE(2025,12,31))</f>
        <v/>
      </c>
      <c r="D8" s="21">
        <f>IFERROR(B8/C8,0)</f>
        <v/>
      </c>
    </row>
    <row r="9">
      <c r="A9" s="9" t="inlineStr">
        <is>
          <t>2026-01</t>
        </is>
      </c>
      <c r="B9" s="28">
        <f>SUMIFS('日次データ'!$D$4:$D$394,'日次データ'!$A$4:$A$394,"&gt;="&amp;DATE(2026,1,1),'日次データ'!$A$4:$A$394,"&lt;="&amp;DATE(2026,1,31))</f>
        <v/>
      </c>
      <c r="C9" s="15">
        <f>COUNTIFS('日次データ'!$A$4:$A$394,"&gt;="&amp;DATE(2026,1,1),'日次データ'!$A$4:$A$394,"&lt;="&amp;DATE(2026,1,31))</f>
        <v/>
      </c>
      <c r="D9" s="21">
        <f>IFERROR(B9/C9,0)</f>
        <v/>
      </c>
    </row>
    <row r="10">
      <c r="A10" s="9" t="inlineStr">
        <is>
          <t>2026-02</t>
        </is>
      </c>
      <c r="B10" s="28">
        <f>SUMIFS('日次データ'!$D$4:$D$394,'日次データ'!$A$4:$A$394,"&gt;="&amp;DATE(2026,2,1),'日次データ'!$A$4:$A$394,"&lt;="&amp;DATE(2026,2,28))</f>
        <v/>
      </c>
      <c r="C10" s="15">
        <f>COUNTIFS('日次データ'!$A$4:$A$394,"&gt;="&amp;DATE(2026,2,1),'日次データ'!$A$4:$A$394,"&lt;="&amp;DATE(2026,2,28))</f>
        <v/>
      </c>
      <c r="D10" s="21">
        <f>IFERROR(B10/C10,0)</f>
        <v/>
      </c>
    </row>
    <row r="11">
      <c r="A11" s="9" t="inlineStr">
        <is>
          <t>2026-03</t>
        </is>
      </c>
      <c r="B11" s="28">
        <f>SUMIFS('日次データ'!$D$4:$D$394,'日次データ'!$A$4:$A$394,"&gt;="&amp;DATE(2026,3,1),'日次データ'!$A$4:$A$394,"&lt;="&amp;DATE(2026,3,31))</f>
        <v/>
      </c>
      <c r="C11" s="15">
        <f>COUNTIFS('日次データ'!$A$4:$A$394,"&gt;="&amp;DATE(2026,3,1),'日次データ'!$A$4:$A$394,"&lt;="&amp;DATE(2026,3,31))</f>
        <v/>
      </c>
      <c r="D11" s="21">
        <f>IFERROR(B11/C11,0)</f>
        <v/>
      </c>
    </row>
    <row r="12">
      <c r="A12" s="9" t="inlineStr">
        <is>
          <t>2026-04</t>
        </is>
      </c>
      <c r="B12" s="28">
        <f>SUMIFS('日次データ'!$D$4:$D$394,'日次データ'!$A$4:$A$394,"&gt;="&amp;DATE(2026,4,1),'日次データ'!$A$4:$A$394,"&lt;="&amp;DATE(2026,4,30))</f>
        <v/>
      </c>
      <c r="C12" s="15">
        <f>COUNTIFS('日次データ'!$A$4:$A$394,"&gt;="&amp;DATE(2026,4,1),'日次データ'!$A$4:$A$394,"&lt;="&amp;DATE(2026,4,30))</f>
        <v/>
      </c>
      <c r="D12" s="21">
        <f>IFERROR(B12/C12,0)</f>
        <v/>
      </c>
    </row>
    <row r="13">
      <c r="A13" s="9" t="inlineStr">
        <is>
          <t>2026-05</t>
        </is>
      </c>
      <c r="B13" s="28">
        <f>SUMIFS('日次データ'!$D$4:$D$394,'日次データ'!$A$4:$A$394,"&gt;="&amp;DATE(2026,5,1),'日次データ'!$A$4:$A$394,"&lt;="&amp;DATE(2026,5,31))</f>
        <v/>
      </c>
      <c r="C13" s="15">
        <f>COUNTIFS('日次データ'!$A$4:$A$394,"&gt;="&amp;DATE(2026,5,1),'日次データ'!$A$4:$A$394,"&lt;="&amp;DATE(2026,5,31))</f>
        <v/>
      </c>
      <c r="D13" s="21">
        <f>IFERROR(B13/C13,0)</f>
        <v/>
      </c>
    </row>
    <row r="14">
      <c r="A14" s="9" t="inlineStr">
        <is>
          <t>2026-06</t>
        </is>
      </c>
      <c r="B14" s="28">
        <f>SUMIFS('日次データ'!$D$4:$D$394,'日次データ'!$A$4:$A$394,"&gt;="&amp;DATE(2026,6,1),'日次データ'!$A$4:$A$394,"&lt;="&amp;DATE(2026,6,30))</f>
        <v/>
      </c>
      <c r="C14" s="15">
        <f>COUNTIFS('日次データ'!$A$4:$A$394,"&gt;="&amp;DATE(2026,6,1),'日次データ'!$A$4:$A$394,"&lt;="&amp;DATE(2026,6,30))</f>
        <v/>
      </c>
      <c r="D14" s="21">
        <f>IFERROR(B14/C14,0)</f>
        <v/>
      </c>
    </row>
    <row r="15">
      <c r="A15" s="9" t="inlineStr">
        <is>
          <t>2026-07</t>
        </is>
      </c>
      <c r="B15" s="28">
        <f>SUMIFS('日次データ'!$D$4:$D$394,'日次データ'!$A$4:$A$394,"&gt;="&amp;DATE(2026,7,1),'日次データ'!$A$4:$A$394,"&lt;="&amp;DATE(2026,7,31))</f>
        <v/>
      </c>
      <c r="C15" s="15">
        <f>COUNTIFS('日次データ'!$A$4:$A$394,"&gt;="&amp;DATE(2026,7,1),'日次データ'!$A$4:$A$394,"&lt;="&amp;DATE(2026,7,31))</f>
        <v/>
      </c>
      <c r="D15" s="21">
        <f>IFERROR(B15/C15,0)</f>
        <v/>
      </c>
    </row>
    <row r="16">
      <c r="A16" s="8" t="inlineStr">
        <is>
          <t>※2026/07は26日時点（月途中）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3" customWidth="1" min="4" max="4"/>
    <col width="11" customWidth="1" min="5" max="5"/>
  </cols>
  <sheetData>
    <row r="1">
      <c r="A1" s="1" t="inlineStr">
        <is>
          <t>売上TOP20日</t>
        </is>
      </c>
    </row>
    <row r="2">
      <c r="A2" s="2" t="inlineStr">
        <is>
          <t>順位</t>
        </is>
      </c>
      <c r="B2" s="2" t="inlineStr">
        <is>
          <t>日付</t>
        </is>
      </c>
      <c r="C2" s="2" t="inlineStr">
        <is>
          <t>イベント</t>
        </is>
      </c>
      <c r="D2" s="2" t="inlineStr">
        <is>
          <t>売上</t>
        </is>
      </c>
      <c r="E2" s="2" t="inlineStr">
        <is>
          <t>客単価</t>
        </is>
      </c>
    </row>
    <row r="3">
      <c r="A3" s="4" t="n">
        <v>1</v>
      </c>
      <c r="B3" s="20" t="n">
        <v>46183</v>
      </c>
      <c r="C3" s="4" t="inlineStr">
        <is>
          <t>スーパーSALE</t>
        </is>
      </c>
      <c r="D3" s="21" t="n">
        <v>5141928</v>
      </c>
      <c r="E3" s="21" t="n">
        <v>30247</v>
      </c>
    </row>
    <row r="4">
      <c r="A4" s="4" t="n">
        <v>2</v>
      </c>
      <c r="B4" s="20" t="n">
        <v>46208</v>
      </c>
      <c r="C4" s="4" t="inlineStr">
        <is>
          <t>お買い物マラソン(推定)</t>
        </is>
      </c>
      <c r="D4" s="21" t="n">
        <v>4449984</v>
      </c>
      <c r="E4" s="21" t="n">
        <v>22030</v>
      </c>
    </row>
    <row r="5">
      <c r="A5" s="4" t="n">
        <v>3</v>
      </c>
      <c r="B5" s="20" t="n">
        <v>46117</v>
      </c>
      <c r="C5" s="4" t="inlineStr">
        <is>
          <t>お買い物マラソン(推定)</t>
        </is>
      </c>
      <c r="D5" s="21" t="n">
        <v>4252900</v>
      </c>
      <c r="E5" s="21" t="n">
        <v>30378</v>
      </c>
    </row>
    <row r="6">
      <c r="A6" s="4" t="n">
        <v>4</v>
      </c>
      <c r="B6" s="20" t="n">
        <v>46228</v>
      </c>
      <c r="C6" s="4" t="inlineStr">
        <is>
          <t>5と0のつく日</t>
        </is>
      </c>
      <c r="D6" s="21" t="n">
        <v>4184608</v>
      </c>
      <c r="E6" s="21" t="n">
        <v>10011</v>
      </c>
    </row>
    <row r="7">
      <c r="A7" s="4" t="n">
        <v>5</v>
      </c>
      <c r="B7" s="20" t="n">
        <v>46213</v>
      </c>
      <c r="C7" s="4" t="inlineStr">
        <is>
          <t>お買い物マラソン(推定)</t>
        </is>
      </c>
      <c r="D7" s="21" t="n">
        <v>3747378</v>
      </c>
      <c r="E7" s="21" t="n">
        <v>16804</v>
      </c>
    </row>
    <row r="8">
      <c r="A8" s="4" t="n">
        <v>6</v>
      </c>
      <c r="B8" s="20" t="n">
        <v>46223</v>
      </c>
      <c r="C8" s="4" t="inlineStr">
        <is>
          <t>5と0のつく日</t>
        </is>
      </c>
      <c r="D8" s="21" t="n">
        <v>3537200</v>
      </c>
      <c r="E8" s="21" t="n">
        <v>9382</v>
      </c>
    </row>
    <row r="9">
      <c r="A9" s="4" t="n">
        <v>7</v>
      </c>
      <c r="B9" s="20" t="n">
        <v>46086</v>
      </c>
      <c r="C9" s="4" t="inlineStr">
        <is>
          <t>スーパーSALE</t>
        </is>
      </c>
      <c r="D9" s="21" t="n">
        <v>3323780</v>
      </c>
      <c r="E9" s="21" t="n">
        <v>31655</v>
      </c>
    </row>
    <row r="10">
      <c r="A10" s="4" t="n">
        <v>8</v>
      </c>
      <c r="B10" s="20" t="n">
        <v>45905</v>
      </c>
      <c r="C10" s="4" t="inlineStr">
        <is>
          <t>スーパーSALE</t>
        </is>
      </c>
      <c r="D10" s="21" t="n">
        <v>3193777</v>
      </c>
      <c r="E10" s="21" t="n">
        <v>29848</v>
      </c>
    </row>
    <row r="11">
      <c r="A11" s="4" t="n">
        <v>9</v>
      </c>
      <c r="B11" s="20" t="n">
        <v>46178</v>
      </c>
      <c r="C11" s="4" t="inlineStr">
        <is>
          <t>スーパーSALE</t>
        </is>
      </c>
      <c r="D11" s="21" t="n">
        <v>3101460</v>
      </c>
      <c r="E11" s="21" t="n">
        <v>31015</v>
      </c>
    </row>
    <row r="12">
      <c r="A12" s="4" t="n">
        <v>10</v>
      </c>
      <c r="B12" s="20" t="n">
        <v>46152</v>
      </c>
      <c r="C12" s="4" t="inlineStr">
        <is>
          <t>お買い物マラソン(推定)</t>
        </is>
      </c>
      <c r="D12" s="21" t="n">
        <v>2968216</v>
      </c>
      <c r="E12" s="21" t="n">
        <v>29982</v>
      </c>
    </row>
    <row r="13">
      <c r="A13" s="4" t="n">
        <v>11</v>
      </c>
      <c r="B13" s="20" t="n">
        <v>45894</v>
      </c>
      <c r="C13" s="4" t="inlineStr">
        <is>
          <t>5と0のつく日</t>
        </is>
      </c>
      <c r="D13" s="21" t="n">
        <v>2767473</v>
      </c>
      <c r="E13" s="21" t="n">
        <v>27675</v>
      </c>
    </row>
    <row r="14">
      <c r="A14" s="4" t="n">
        <v>12</v>
      </c>
      <c r="B14" s="20" t="n">
        <v>46091</v>
      </c>
      <c r="C14" s="4" t="inlineStr">
        <is>
          <t>スーパーSALE</t>
        </is>
      </c>
      <c r="D14" s="21" t="n">
        <v>2704160</v>
      </c>
      <c r="E14" s="21" t="n">
        <v>28768</v>
      </c>
    </row>
    <row r="15">
      <c r="A15" s="4" t="n">
        <v>13</v>
      </c>
      <c r="B15" s="20" t="n">
        <v>45910</v>
      </c>
      <c r="C15" s="4" t="inlineStr">
        <is>
          <t>スーパーSALE</t>
        </is>
      </c>
      <c r="D15" s="21" t="n">
        <v>2682401</v>
      </c>
      <c r="E15" s="21" t="n">
        <v>29157</v>
      </c>
    </row>
    <row r="16">
      <c r="A16" s="4" t="n">
        <v>14</v>
      </c>
      <c r="B16" s="20" t="n">
        <v>45843</v>
      </c>
      <c r="C16" s="4" t="inlineStr">
        <is>
          <t>お買い物マラソン(推定)</t>
        </is>
      </c>
      <c r="D16" s="21" t="n">
        <v>2668411</v>
      </c>
      <c r="E16" s="21" t="n">
        <v>11755</v>
      </c>
    </row>
    <row r="17">
      <c r="A17" s="4" t="n">
        <v>15</v>
      </c>
      <c r="B17" s="20" t="n">
        <v>46137</v>
      </c>
      <c r="C17" s="4" t="inlineStr">
        <is>
          <t>5と0のつく日</t>
        </is>
      </c>
      <c r="D17" s="21" t="n">
        <v>2585080</v>
      </c>
      <c r="E17" s="21" t="n">
        <v>30059</v>
      </c>
    </row>
    <row r="18">
      <c r="A18" s="4" t="n">
        <v>16</v>
      </c>
      <c r="B18" s="20" t="n">
        <v>46127</v>
      </c>
      <c r="C18" s="4" t="inlineStr">
        <is>
          <t>5と0のつく日</t>
        </is>
      </c>
      <c r="D18" s="21" t="n">
        <v>2456920</v>
      </c>
      <c r="E18" s="21" t="n">
        <v>28905</v>
      </c>
    </row>
    <row r="19">
      <c r="A19" s="4" t="n">
        <v>17</v>
      </c>
      <c r="B19" s="20" t="n">
        <v>46229</v>
      </c>
      <c r="C19" s="4" t="inlineStr">
        <is>
          <t>平常日</t>
        </is>
      </c>
      <c r="D19" s="21" t="n">
        <v>2230822</v>
      </c>
      <c r="E19" s="21" t="n">
        <v>8547</v>
      </c>
    </row>
    <row r="20">
      <c r="A20" s="4" t="n">
        <v>18</v>
      </c>
      <c r="B20" s="20" t="n">
        <v>46047</v>
      </c>
      <c r="C20" s="4" t="inlineStr">
        <is>
          <t>5と0のつく日</t>
        </is>
      </c>
      <c r="D20" s="21" t="n">
        <v>2221400</v>
      </c>
      <c r="E20" s="21" t="n">
        <v>30430</v>
      </c>
    </row>
    <row r="21">
      <c r="A21" s="4" t="n">
        <v>19</v>
      </c>
      <c r="B21" s="20" t="n">
        <v>46198</v>
      </c>
      <c r="C21" s="4" t="inlineStr">
        <is>
          <t>5と0のつく日</t>
        </is>
      </c>
      <c r="D21" s="21" t="n">
        <v>2200000</v>
      </c>
      <c r="E21" s="21" t="n">
        <v>25287</v>
      </c>
    </row>
    <row r="22">
      <c r="A22" s="4" t="n">
        <v>20</v>
      </c>
      <c r="B22" s="20" t="n">
        <v>46180</v>
      </c>
      <c r="C22" s="4" t="inlineStr">
        <is>
          <t>スーパーSALE</t>
        </is>
      </c>
      <c r="D22" s="21" t="n">
        <v>2185660</v>
      </c>
      <c r="E22" s="21" t="n">
        <v>31676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6" t="inlineStr">
        <is>
          <t>楽天イベント別 売上統計（2025/07〜2026/07・13か月）</t>
        </is>
      </c>
    </row>
    <row r="2">
      <c r="A2" s="17" t="inlineStr"/>
    </row>
    <row r="3">
      <c r="A3" s="18" t="inlineStr">
        <is>
          <t>【結論：どのイベントで売上が高くなるか】平常日=1.00に対し</t>
        </is>
      </c>
    </row>
    <row r="4">
      <c r="A4" s="17" t="inlineStr">
        <is>
          <t xml:space="preserve">  1. スーパーSALE      ×2.40（年4回・3/6/9/12月の4〜11日）</t>
        </is>
      </c>
    </row>
    <row r="5">
      <c r="A5" s="17" t="inlineStr">
        <is>
          <t xml:space="preserve">  2. 5と0のつく日      ×2.06（毎月15/20/25/30日 ほか）</t>
        </is>
      </c>
    </row>
    <row r="6">
      <c r="A6" s="17" t="inlineStr">
        <is>
          <t xml:space="preserve">  3. ワンダフルデー     ×1.68（毎月1日）</t>
        </is>
      </c>
    </row>
    <row r="7">
      <c r="A7" s="17" t="inlineStr">
        <is>
          <t xml:space="preserve">  4. お買い物マラソン(推定)×1.64（非SALE月の4〜11日）</t>
        </is>
      </c>
    </row>
    <row r="8">
      <c r="A8" s="17" t="inlineStr"/>
    </row>
    <row r="9">
      <c r="A9" s="18" t="inlineStr">
        <is>
          <t>【売上構成】イベント日は日数では43%だが、売上の58.8%を生む。</t>
        </is>
      </c>
    </row>
    <row r="10">
      <c r="A10" s="17" t="inlineStr">
        <is>
          <t xml:space="preserve">  → 平常日の底上げより、イベント日への広告集中の方が効率が高い。</t>
        </is>
      </c>
    </row>
    <row r="11">
      <c r="A11" s="17" t="inlineStr"/>
    </row>
    <row r="12">
      <c r="A12" s="17" t="inlineStr">
        <is>
          <t>【客単価の傾向】スーパーSALEは客単価も最高(¥28,943)。高単価商品はSALEに寄せると効く。</t>
        </is>
      </c>
    </row>
    <row r="13">
      <c r="A13" s="17" t="inlineStr">
        <is>
          <t>【月商推移】2025秋に一時1,400万台へ落ちたが、2026は完全復活。2026/07は26日で4,392万と過去最高ペース。</t>
        </is>
      </c>
    </row>
    <row r="14">
      <c r="A14" s="17" t="inlineStr"/>
    </row>
    <row r="15">
      <c r="A15" s="19" t="inlineStr">
        <is>
          <t>※ お買い物マラソンは日程が毎回変動。ここでは非SALE月の4〜11日で推定。正確な日程があれば再集計で精度向上。</t>
        </is>
      </c>
    </row>
    <row r="16">
      <c r="A16" s="19" t="inlineStr">
        <is>
          <t>※ 数値はすべて楽天RMSの実データ。イベント別統計シートは日次データからライブ集計。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2026-07-27T14:17:37Z</dcterms:created>
  <dcterms:modified xsi:type="dcterms:W3CDTF">2026-07-27T15:58:55Z</dcterms:modified>
</cp:coreProperties>
</file>