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算まとめ" sheetId="1" state="visible" r:id="rId1"/>
    <sheet name="スーツケース" sheetId="2" state="visible" r:id="rId2"/>
    <sheet name="ハンディファン" sheetId="3" state="visible" r:id="rId3"/>
    <sheet name="グラフ" sheetId="4" state="visible" r:id="rId4"/>
    <sheet name="前提と検算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</font>
    <font>
      <name val="Arial"/>
      <b val="1"/>
      <sz val="12"/>
    </font>
    <font>
      <name val="Arial"/>
      <b val="1"/>
      <color rgb="00C0392B"/>
      <sz val="12"/>
    </font>
    <font>
      <name val="Arial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6E4F0"/>
      </patternFill>
    </fill>
    <fill>
      <patternFill patternType="solid">
        <fgColor rgb="00DDEBD8"/>
      </patternFill>
    </fill>
    <fill>
      <patternFill patternType="solid">
        <fgColor rgb="00D9E1F2"/>
      </patternFill>
    </fill>
    <fill>
      <patternFill patternType="solid">
        <fgColor rgb="00FFE2DD"/>
      </patternFill>
    </fill>
    <fill>
      <patternFill patternType="solid">
        <fgColor rgb="00F4B183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4" fillId="5" borderId="1" pivotButton="0" quotePrefix="0" xfId="0"/>
    <xf numFmtId="164" fontId="4" fillId="5" borderId="1" pivotButton="0" quotePrefix="0" xfId="0"/>
    <xf numFmtId="165" fontId="4" fillId="5" borderId="1" pivotButton="0" quotePrefix="0" xfId="0"/>
    <xf numFmtId="0" fontId="6" fillId="0" borderId="0" pivotButton="0" quotePrefix="0" xfId="0"/>
    <xf numFmtId="164" fontId="6" fillId="6" borderId="0" pivotButton="0" quotePrefix="0" xfId="0"/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164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 wrapText="1"/>
    </xf>
    <xf numFmtId="165" fontId="0" fillId="10" borderId="1" applyAlignment="1" pivotButton="0" quotePrefix="0" xfId="0">
      <alignment horizontal="center" vertical="center" wrapText="1"/>
    </xf>
    <xf numFmtId="164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164" fontId="0" fillId="11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8月 月商：ベース vs 増額後（スーツケース／ハンディファン／合算）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'グラフ'!I1</f>
            </strRef>
          </tx>
          <spPr>
            <a:ln>
              <a:prstDash val="solid"/>
            </a:ln>
          </spPr>
          <cat>
            <numRef>
              <f>'グラフ'!$H$2:$H$4</f>
            </numRef>
          </cat>
          <val>
            <numRef>
              <f>'グラフ'!$I$2:$I$4</f>
            </numRef>
          </val>
        </ser>
        <ser>
          <idx val="1"/>
          <order val="1"/>
          <tx>
            <strRef>
              <f>'グラフ'!J1</f>
            </strRef>
          </tx>
          <spPr>
            <a:ln>
              <a:prstDash val="solid"/>
            </a:ln>
          </spPr>
          <cat>
            <numRef>
              <f>'グラフ'!$H$2:$H$4</f>
            </numRef>
          </cat>
          <val>
            <numRef>
              <f>'グラフ'!$J$2:$J$4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増額後の1日あたり売上（SC/FAN積み上げ・セグメント別)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'グラフ'!I8</f>
            </strRef>
          </tx>
          <spPr>
            <a:ln>
              <a:prstDash val="solid"/>
            </a:ln>
          </spPr>
          <cat>
            <numRef>
              <f>'グラフ'!$H$9:$H$13</f>
            </numRef>
          </cat>
          <val>
            <numRef>
              <f>'グラフ'!$I$9:$I$13</f>
            </numRef>
          </val>
        </ser>
        <ser>
          <idx val="1"/>
          <order val="1"/>
          <tx>
            <strRef>
              <f>'グラフ'!J8</f>
            </strRef>
          </tx>
          <spPr>
            <a:ln>
              <a:prstDash val="solid"/>
            </a:ln>
          </spPr>
          <cat>
            <numRef>
              <f>'グラフ'!$H$9:$H$13</f>
            </numRef>
          </cat>
          <val>
            <numRef>
              <f>'グラフ'!$J$9:$J$13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5" customWidth="1" min="3" max="3"/>
    <col width="17" customWidth="1" min="4" max="4"/>
    <col width="13" customWidth="1" min="5" max="5"/>
  </cols>
  <sheetData>
    <row r="1">
      <c r="A1" s="1" t="inlineStr">
        <is>
          <t>スーツケース × ハンディファン 分解 → 合算（7月ベース・転換率キープ・8月公式カレンダー）</t>
        </is>
      </c>
    </row>
    <row r="2">
      <c r="A2" s="2" t="inlineStr">
        <is>
          <t>分解方法：冬(2026/1-2月=扇風機オフ季)の客単価¥29,500をスーツケース、ファンは価格帯¥3,500と置き、各セグメントの客単価から構成を逆算。</t>
        </is>
      </c>
    </row>
    <row r="4">
      <c r="A4" s="3" t="inlineStr">
        <is>
          <t>区分</t>
        </is>
      </c>
      <c r="B4" s="3" t="inlineStr">
        <is>
          <t>ベース(通常予算)</t>
        </is>
      </c>
      <c r="C4" s="3" t="inlineStr">
        <is>
          <t>増額の追加</t>
        </is>
      </c>
      <c r="D4" s="3" t="inlineStr">
        <is>
          <t>増額後</t>
        </is>
      </c>
      <c r="E4" s="3" t="inlineStr">
        <is>
          <t>構成比(増額後)</t>
        </is>
      </c>
    </row>
    <row r="5">
      <c r="A5" s="4" t="inlineStr">
        <is>
          <t>スーツケース</t>
        </is>
      </c>
      <c r="B5" s="5" t="n">
        <v>44264237</v>
      </c>
      <c r="C5" s="5" t="n">
        <v>11801737</v>
      </c>
      <c r="D5" s="5" t="n">
        <v>56065974</v>
      </c>
      <c r="E5" s="6" t="n">
        <v>0.8396715565658697</v>
      </c>
    </row>
    <row r="6">
      <c r="A6" s="7" t="inlineStr">
        <is>
          <t>ハンディファン</t>
        </is>
      </c>
      <c r="B6" s="8" t="n">
        <v>8742298</v>
      </c>
      <c r="C6" s="8" t="n">
        <v>1963043</v>
      </c>
      <c r="D6" s="8" t="n">
        <v>10705341</v>
      </c>
      <c r="E6" s="9" t="n">
        <v>0.1603284434341304</v>
      </c>
    </row>
    <row r="7">
      <c r="A7" s="10" t="inlineStr">
        <is>
          <t>合算</t>
        </is>
      </c>
      <c r="B7" s="11" t="n">
        <v>53006535</v>
      </c>
      <c r="C7" s="11" t="n">
        <v>13764780</v>
      </c>
      <c r="D7" s="11" t="n">
        <v>66771315</v>
      </c>
      <c r="E7" s="12" t="n">
        <v>1</v>
      </c>
    </row>
    <row r="9">
      <c r="A9" s="13" t="inlineStr">
        <is>
          <t>差額（増額-通常）</t>
        </is>
      </c>
      <c r="B9" s="14" t="n">
        <v>13764780</v>
      </c>
    </row>
    <row r="11">
      <c r="A11" s="2" t="inlineStr">
        <is>
          <t>スーツケース：ベース¥44,264,237 → 増額後¥56,065,974（+¥11,801,737）＝売上の約84%を稼ぐ主力。</t>
        </is>
      </c>
    </row>
    <row r="12">
      <c r="A12" s="2" t="inlineStr">
        <is>
          <t>ハンディファン：ベース¥8,742,298 → 増額後¥10,705,341（+¥1,963,043）。5と0・かぶり日に集中して売れる（数量型）。</t>
        </is>
      </c>
    </row>
    <row r="13">
      <c r="A13" s="2" t="inlineStr">
        <is>
          <t>在庫の目安：スーツケースは高単価のため在庫1個の欠品損失が大。かぶり日3日はSC在庫を最優先で厚く。</t>
        </is>
      </c>
    </row>
    <row r="14">
      <c r="A14" s="2" t="inlineStr">
        <is>
          <t>※商品別の正確な分解はRMS「商品別売上CSV」で確定可能。本表は客単価からの逆算モデル（前提と検算シート参照）。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10" customWidth="1" min="3" max="3"/>
    <col width="14" customWidth="1" min="4" max="4"/>
    <col width="14" customWidth="1" min="5" max="5"/>
    <col width="15" customWidth="1" min="6" max="6"/>
    <col width="15" customWidth="1" min="7" max="7"/>
  </cols>
  <sheetData>
    <row r="1">
      <c r="A1" s="1" t="inlineStr">
        <is>
          <t>スーツケース 8月内訳（7月ベース・転換率キープ）</t>
        </is>
      </c>
    </row>
    <row r="3">
      <c r="A3" s="3" t="inlineStr">
        <is>
          <t>セグメント</t>
        </is>
      </c>
      <c r="B3" s="3" t="inlineStr">
        <is>
          <t>日数</t>
        </is>
      </c>
      <c r="C3" s="3" t="inlineStr">
        <is>
          <t>売上比率</t>
        </is>
      </c>
      <c r="D3" s="3" t="inlineStr">
        <is>
          <t>ペース 売上/日</t>
        </is>
      </c>
      <c r="E3" s="3" t="inlineStr">
        <is>
          <t>増額の追加/日</t>
        </is>
      </c>
      <c r="F3" s="3" t="inlineStr">
        <is>
          <t>月間ベース</t>
        </is>
      </c>
      <c r="G3" s="3" t="inlineStr">
        <is>
          <t>月間 増額後</t>
        </is>
      </c>
    </row>
    <row r="4">
      <c r="A4" s="15" t="inlineStr">
        <is>
          <t>かぶり日（8/5・10・25）</t>
        </is>
      </c>
      <c r="B4" s="16" t="n">
        <v>3</v>
      </c>
      <c r="C4" s="17" t="n">
        <v>0.9287281051590466</v>
      </c>
      <c r="D4" s="18" t="n">
        <v>3806560</v>
      </c>
      <c r="E4" s="18" t="n">
        <v>1109331</v>
      </c>
      <c r="F4" s="18" t="n">
        <v>11419680</v>
      </c>
      <c r="G4" s="18" t="n">
        <v>14747673</v>
      </c>
    </row>
    <row r="5">
      <c r="A5" s="19" t="inlineStr">
        <is>
          <t>5と0単独（8/15・20・30）</t>
        </is>
      </c>
      <c r="B5" s="20" t="n">
        <v>3</v>
      </c>
      <c r="C5" s="21" t="n">
        <v>0.7180025178346622</v>
      </c>
      <c r="D5" s="22" t="n">
        <v>2242457</v>
      </c>
      <c r="E5" s="22" t="n">
        <v>537398</v>
      </c>
      <c r="F5" s="22" t="n">
        <v>6727371</v>
      </c>
      <c r="G5" s="22" t="n">
        <v>8339565</v>
      </c>
    </row>
    <row r="6">
      <c r="A6" s="23" t="inlineStr">
        <is>
          <t>ワンダフルデー（8/1）</t>
        </is>
      </c>
      <c r="B6" s="24" t="n">
        <v>1</v>
      </c>
      <c r="C6" s="25" t="n">
        <v>0.9923056248535553</v>
      </c>
      <c r="D6" s="26" t="n">
        <v>1190677</v>
      </c>
      <c r="E6" s="26" t="n">
        <v>935479</v>
      </c>
      <c r="F6" s="26" t="n">
        <v>1190677</v>
      </c>
      <c r="G6" s="26" t="n">
        <v>2126156</v>
      </c>
    </row>
    <row r="7">
      <c r="A7" s="27" t="inlineStr">
        <is>
          <t>マラソン通常（7日）</t>
        </is>
      </c>
      <c r="B7" s="28" t="n">
        <v>7</v>
      </c>
      <c r="C7" s="29" t="n">
        <v>0.9051352432600627</v>
      </c>
      <c r="D7" s="30" t="n">
        <v>1276550</v>
      </c>
      <c r="E7" s="30" t="n">
        <v>454938</v>
      </c>
      <c r="F7" s="30" t="n">
        <v>8935850</v>
      </c>
      <c r="G7" s="30" t="n">
        <v>12120416</v>
      </c>
    </row>
    <row r="8">
      <c r="A8" s="31" t="inlineStr">
        <is>
          <t>平日（17日）</t>
        </is>
      </c>
      <c r="B8" s="32" t="n">
        <v>17</v>
      </c>
      <c r="C8" s="33" t="n">
        <v>0.7889369509320764</v>
      </c>
      <c r="D8" s="34" t="n">
        <v>940627</v>
      </c>
      <c r="E8" s="34" t="n">
        <v>161265</v>
      </c>
      <c r="F8" s="34" t="n">
        <v>15990659</v>
      </c>
      <c r="G8" s="34" t="n">
        <v>18732164</v>
      </c>
    </row>
    <row r="9">
      <c r="A9" s="10" t="inlineStr">
        <is>
          <t>合計</t>
        </is>
      </c>
      <c r="B9" s="10" t="n"/>
      <c r="C9" s="10" t="n"/>
      <c r="D9" s="10" t="n"/>
      <c r="E9" s="10" t="n"/>
      <c r="F9" s="11" t="n">
        <v>44264237</v>
      </c>
      <c r="G9" s="11" t="n">
        <v>56065974</v>
      </c>
    </row>
    <row r="11">
      <c r="A11" s="35" t="inlineStr">
        <is>
          <t>月間ベース ¥44,264,237 → 増額後 ¥56,065,974（差額 +¥11,801,737）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10" customWidth="1" min="3" max="3"/>
    <col width="14" customWidth="1" min="4" max="4"/>
    <col width="14" customWidth="1" min="5" max="5"/>
    <col width="15" customWidth="1" min="6" max="6"/>
    <col width="15" customWidth="1" min="7" max="7"/>
  </cols>
  <sheetData>
    <row r="1">
      <c r="A1" s="1" t="inlineStr">
        <is>
          <t>ハンディファン 8月内訳（7月ベース・転換率キープ）</t>
        </is>
      </c>
    </row>
    <row r="3">
      <c r="A3" s="3" t="inlineStr">
        <is>
          <t>セグメント</t>
        </is>
      </c>
      <c r="B3" s="3" t="inlineStr">
        <is>
          <t>日数</t>
        </is>
      </c>
      <c r="C3" s="3" t="inlineStr">
        <is>
          <t>売上比率</t>
        </is>
      </c>
      <c r="D3" s="3" t="inlineStr">
        <is>
          <t>ペース 売上/日</t>
        </is>
      </c>
      <c r="E3" s="3" t="inlineStr">
        <is>
          <t>増額の追加/日</t>
        </is>
      </c>
      <c r="F3" s="3" t="inlineStr">
        <is>
          <t>月間ベース</t>
        </is>
      </c>
      <c r="G3" s="3" t="inlineStr">
        <is>
          <t>月間 増額後</t>
        </is>
      </c>
    </row>
    <row r="4">
      <c r="A4" s="15" t="inlineStr">
        <is>
          <t>かぶり日（8/5・10・25）</t>
        </is>
      </c>
      <c r="B4" s="16" t="n">
        <v>3</v>
      </c>
      <c r="C4" s="17" t="n">
        <v>0.07127189484095342</v>
      </c>
      <c r="D4" s="18" t="n">
        <v>292121</v>
      </c>
      <c r="E4" s="18" t="n">
        <v>85132</v>
      </c>
      <c r="F4" s="18" t="n">
        <v>876363</v>
      </c>
      <c r="G4" s="18" t="n">
        <v>1131759</v>
      </c>
    </row>
    <row r="5">
      <c r="A5" s="19" t="inlineStr">
        <is>
          <t>5と0単独（8/15・20・30）</t>
        </is>
      </c>
      <c r="B5" s="20" t="n">
        <v>3</v>
      </c>
      <c r="C5" s="21" t="n">
        <v>0.2819974821653378</v>
      </c>
      <c r="D5" s="22" t="n">
        <v>880731</v>
      </c>
      <c r="E5" s="22" t="n">
        <v>211065</v>
      </c>
      <c r="F5" s="22" t="n">
        <v>2642193</v>
      </c>
      <c r="G5" s="22" t="n">
        <v>3275388</v>
      </c>
    </row>
    <row r="6">
      <c r="A6" s="23" t="inlineStr">
        <is>
          <t>ワンダフルデー（8/1）</t>
        </is>
      </c>
      <c r="B6" s="24" t="n">
        <v>1</v>
      </c>
      <c r="C6" s="25" t="n">
        <v>0.007694375146444665</v>
      </c>
      <c r="D6" s="26" t="n">
        <v>9233</v>
      </c>
      <c r="E6" s="26" t="n">
        <v>7254</v>
      </c>
      <c r="F6" s="26" t="n">
        <v>9233</v>
      </c>
      <c r="G6" s="26" t="n">
        <v>16487</v>
      </c>
    </row>
    <row r="7">
      <c r="A7" s="27" t="inlineStr">
        <is>
          <t>マラソン通常（7日）</t>
        </is>
      </c>
      <c r="B7" s="28" t="n">
        <v>7</v>
      </c>
      <c r="C7" s="29" t="n">
        <v>0.09486475673993733</v>
      </c>
      <c r="D7" s="30" t="n">
        <v>133792</v>
      </c>
      <c r="E7" s="30" t="n">
        <v>47681</v>
      </c>
      <c r="F7" s="30" t="n">
        <v>936544</v>
      </c>
      <c r="G7" s="30" t="n">
        <v>1270311</v>
      </c>
    </row>
    <row r="8">
      <c r="A8" s="31" t="inlineStr">
        <is>
          <t>平日（17日）</t>
        </is>
      </c>
      <c r="B8" s="32" t="n">
        <v>17</v>
      </c>
      <c r="C8" s="33" t="n">
        <v>0.2110630490679236</v>
      </c>
      <c r="D8" s="34" t="n">
        <v>251645</v>
      </c>
      <c r="E8" s="34" t="n">
        <v>43143</v>
      </c>
      <c r="F8" s="34" t="n">
        <v>4277965</v>
      </c>
      <c r="G8" s="34" t="n">
        <v>5011396</v>
      </c>
    </row>
    <row r="9">
      <c r="A9" s="10" t="inlineStr">
        <is>
          <t>合計</t>
        </is>
      </c>
      <c r="B9" s="10" t="n"/>
      <c r="C9" s="10" t="n"/>
      <c r="D9" s="10" t="n"/>
      <c r="E9" s="10" t="n"/>
      <c r="F9" s="11" t="n">
        <v>8742298</v>
      </c>
      <c r="G9" s="11" t="n">
        <v>10705341</v>
      </c>
    </row>
    <row r="11">
      <c r="A11" s="35" t="inlineStr">
        <is>
          <t>月間ベース ¥8,742,298 → 増額後 ¥10,705,341（差額 +¥1,963,043）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グラフ</t>
        </is>
      </c>
      <c r="H1" t="inlineStr">
        <is>
          <t>区分</t>
        </is>
      </c>
      <c r="I1" t="inlineStr">
        <is>
          <t>ベース</t>
        </is>
      </c>
      <c r="J1" t="inlineStr">
        <is>
          <t>増額後</t>
        </is>
      </c>
    </row>
    <row r="2">
      <c r="H2" t="inlineStr">
        <is>
          <t>スーツケース</t>
        </is>
      </c>
      <c r="I2" t="n">
        <v>44264237</v>
      </c>
      <c r="J2" t="n">
        <v>56065974</v>
      </c>
    </row>
    <row r="3">
      <c r="H3" t="inlineStr">
        <is>
          <t>ハンディファン</t>
        </is>
      </c>
      <c r="I3" t="n">
        <v>8742298</v>
      </c>
      <c r="J3" t="n">
        <v>10705341</v>
      </c>
    </row>
    <row r="4">
      <c r="H4" t="inlineStr">
        <is>
          <t>合算</t>
        </is>
      </c>
      <c r="I4" t="n">
        <v>53006535</v>
      </c>
      <c r="J4" t="n">
        <v>66771315</v>
      </c>
    </row>
    <row r="8">
      <c r="H8" t="inlineStr">
        <is>
          <t>セグメント</t>
        </is>
      </c>
      <c r="I8" t="inlineStr">
        <is>
          <t>スーツケース/日</t>
        </is>
      </c>
      <c r="J8" t="inlineStr">
        <is>
          <t>ハンディファン/日</t>
        </is>
      </c>
    </row>
    <row r="9">
      <c r="H9" t="inlineStr">
        <is>
          <t>かぶり日</t>
        </is>
      </c>
      <c r="I9" t="n">
        <v>4915891</v>
      </c>
      <c r="J9" t="n">
        <v>377253</v>
      </c>
    </row>
    <row r="10">
      <c r="H10" t="inlineStr">
        <is>
          <t>5と0単独</t>
        </is>
      </c>
      <c r="I10" t="n">
        <v>2779855</v>
      </c>
      <c r="J10" t="n">
        <v>1091796</v>
      </c>
    </row>
    <row r="11">
      <c r="H11" t="inlineStr">
        <is>
          <t>ワンダフル</t>
        </is>
      </c>
      <c r="I11" t="n">
        <v>2126156</v>
      </c>
      <c r="J11" t="n">
        <v>16487</v>
      </c>
    </row>
    <row r="12">
      <c r="H12" t="inlineStr">
        <is>
          <t>マラソン通常</t>
        </is>
      </c>
      <c r="I12" t="n">
        <v>1731488</v>
      </c>
      <c r="J12" t="n">
        <v>181473</v>
      </c>
    </row>
    <row r="13">
      <c r="H13" t="inlineStr">
        <is>
          <t>平日</t>
        </is>
      </c>
      <c r="I13" t="n">
        <v>1101892</v>
      </c>
      <c r="J13" t="n">
        <v>294788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35" t="inlineStr">
        <is>
          <t>分解モデルの前提</t>
        </is>
      </c>
    </row>
    <row r="2">
      <c r="A2" s="36" t="inlineStr">
        <is>
          <t xml:space="preserve">  ・スーツケース客単価 = ¥29,500（2026年1-2月実績。扇風機が売れない季節＝スーツケースの素の客単価）</t>
        </is>
      </c>
    </row>
    <row r="3">
      <c r="A3" s="36" t="inlineStr">
        <is>
          <t xml:space="preserve">  ・ハンディファン客単価 = ¥3,500（首振り/スケルトン等の価格帯。仮定値）</t>
        </is>
      </c>
    </row>
    <row r="4">
      <c r="A4" s="36" t="inlineStr">
        <is>
          <t xml:space="preserve">  ・各セグメントの7月客単価から SC/FAN の注文構成を逆算 → 売上を分解</t>
        </is>
      </c>
    </row>
    <row r="5">
      <c r="A5" s="36" t="inlineStr">
        <is>
          <t xml:space="preserve">  ・増額分（平日+5千/イベント+1万）も同じ構成比で分解（メタの商品配分で意図的に傾けることは可能）</t>
        </is>
      </c>
    </row>
    <row r="6">
      <c r="A6" s="36" t="inlineStr"/>
    </row>
    <row r="7">
      <c r="A7" s="35" t="inlineStr">
        <is>
          <t>検算（合算＝7月ベース版と完全一致）</t>
        </is>
      </c>
    </row>
    <row r="8">
      <c r="A8" s="36" t="inlineStr">
        <is>
          <t xml:space="preserve">  ・ベース合算 ¥53,006,535 ＝ 7月ベース版の通常予算と一致</t>
        </is>
      </c>
    </row>
    <row r="9">
      <c r="A9" s="36" t="inlineStr">
        <is>
          <t xml:space="preserve">  ・増額後合算 ¥66,771,315 ＝ 7月ベース版の増額後と一致</t>
        </is>
      </c>
    </row>
    <row r="10">
      <c r="A10" s="36" t="inlineStr">
        <is>
          <t xml:space="preserve">  ・SC+FAN = 合算（各セグメント・各行で厳密に一致するよう分解）</t>
        </is>
      </c>
    </row>
    <row r="11">
      <c r="A11" s="36" t="inlineStr"/>
    </row>
    <row r="12">
      <c r="A12" s="35" t="inlineStr">
        <is>
          <t>精度を上げるには</t>
        </is>
      </c>
    </row>
    <row r="13">
      <c r="A13" s="36" t="inlineStr">
        <is>
          <t xml:space="preserve">  ・RMS「商品別売上CSV」（商品管理番号別の売上・件数）があれば、モデルではなく実数で分解できます。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2026-07-27T15:09:03Z</dcterms:created>
  <dcterms:modified xsi:type="dcterms:W3CDTF">2026-07-27T15:09:03Z</dcterms:modified>
</cp:coreProperties>
</file>