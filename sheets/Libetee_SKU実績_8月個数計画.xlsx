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月SKU実績" sheetId="1" state="visible" r:id="rId1"/>
    <sheet name="多機能PC_カラーサイズ別" sheetId="2" state="visible" r:id="rId2"/>
    <sheet name="8月個数計画" sheetId="3" state="visible" r:id="rId3"/>
    <sheet name="グラ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DDEBD8"/>
      </patternFill>
    </fill>
    <fill>
      <patternFill patternType="solid">
        <fgColor rgb="00F2F2F2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3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3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3" fillId="0" borderId="0" pivotButton="0" quotePrefix="0" xfId="0"/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0" fontId="3" fillId="6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165" fontId="4" fillId="3" borderId="1" pivotButton="0" quotePrefix="0" xfId="0"/>
    <xf numFmtId="165" fontId="0" fillId="3" borderId="1" pivotButton="0" quotePrefix="0" xfId="0"/>
    <xf numFmtId="165" fontId="0" fillId="6" borderId="1" pivotButton="0" quotePrefix="0" xfId="0"/>
    <xf numFmtId="165" fontId="4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7月 商品別販売個数（実績）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'グラフ'!$H$2:$H$8</f>
            </numRef>
          </cat>
          <val>
            <numRef>
              <f>'グラフ'!$I$2:$I$8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30" customWidth="1" min="5" max="5"/>
  </cols>
  <sheetData>
    <row r="1">
      <c r="A1" s="1" t="inlineStr">
        <is>
          <t>7月 SKU別売上 実績（2026/7/1〜7/28・税込）</t>
        </is>
      </c>
    </row>
    <row r="3">
      <c r="A3" s="2" t="inlineStr">
        <is>
          <t>商品</t>
        </is>
      </c>
      <c r="B3" s="2" t="inlineStr">
        <is>
          <t>販売個数</t>
        </is>
      </c>
      <c r="C3" s="2" t="inlineStr">
        <is>
          <t>売上(税込)</t>
        </is>
      </c>
      <c r="D3" s="2" t="inlineStr">
        <is>
          <t>実効単価</t>
        </is>
      </c>
      <c r="E3" s="2" t="inlineStr">
        <is>
          <t>備考</t>
        </is>
      </c>
    </row>
    <row r="4">
      <c r="A4" s="3" t="inlineStr">
        <is>
          <t>多機能PC</t>
        </is>
      </c>
      <c r="B4" s="4" t="n">
        <v>1079</v>
      </c>
      <c r="C4" s="5" t="n">
        <v>35830200</v>
      </c>
      <c r="D4" s="5" t="n">
        <v>33207</v>
      </c>
      <c r="E4" s="6" t="inlineStr">
        <is>
          <t>スーツケース売上の94%。主力中の主力</t>
        </is>
      </c>
    </row>
    <row r="5">
      <c r="A5" s="3" t="inlineStr">
        <is>
          <t>ノーマルアルミ(クラシック)</t>
        </is>
      </c>
      <c r="B5" s="4" t="n">
        <v>32</v>
      </c>
      <c r="C5" s="5" t="n">
        <v>1410260</v>
      </c>
      <c r="D5" s="5" t="n">
        <v>44071</v>
      </c>
      <c r="E5" s="6" t="inlineStr"/>
    </row>
    <row r="6">
      <c r="A6" s="3" t="inlineStr">
        <is>
          <t>多機能アルミ(フルアルミ)</t>
        </is>
      </c>
      <c r="B6" s="4" t="n">
        <v>14</v>
      </c>
      <c r="C6" s="5" t="n">
        <v>779200</v>
      </c>
      <c r="D6" s="5" t="n">
        <v>55657</v>
      </c>
      <c r="E6" s="6" t="inlineStr"/>
    </row>
    <row r="7">
      <c r="A7" s="3" t="inlineStr">
        <is>
          <t>アウトドアSC</t>
        </is>
      </c>
      <c r="B7" s="4" t="n">
        <v>1</v>
      </c>
      <c r="C7" s="5" t="n">
        <v>39800</v>
      </c>
      <c r="D7" s="5" t="n">
        <v>39800</v>
      </c>
      <c r="E7" s="6" t="inlineStr"/>
    </row>
    <row r="8">
      <c r="A8" s="7" t="inlineStr">
        <is>
          <t>首振り(3Way冷却)</t>
        </is>
      </c>
      <c r="B8" s="8" t="n">
        <v>1577</v>
      </c>
      <c r="C8" s="9" t="n">
        <v>7743440</v>
      </c>
      <c r="D8" s="9" t="n">
        <v>4910</v>
      </c>
      <c r="E8" s="10" t="inlineStr">
        <is>
          <t>ファンの54%</t>
        </is>
      </c>
    </row>
    <row r="9">
      <c r="A9" s="7" t="inlineStr">
        <is>
          <t>スケルトン</t>
        </is>
      </c>
      <c r="B9" s="8" t="n">
        <v>717</v>
      </c>
      <c r="C9" s="9" t="n">
        <v>4124740</v>
      </c>
      <c r="D9" s="9" t="n">
        <v>5753</v>
      </c>
      <c r="E9" s="10" t="inlineStr"/>
    </row>
    <row r="10">
      <c r="A10" s="7" t="inlineStr">
        <is>
          <t>クリップ</t>
        </is>
      </c>
      <c r="B10" s="8" t="n">
        <v>551</v>
      </c>
      <c r="C10" s="9" t="n">
        <v>1256280</v>
      </c>
      <c r="D10" s="9" t="n">
        <v>2280</v>
      </c>
      <c r="E10" s="10" t="inlineStr"/>
    </row>
    <row r="11">
      <c r="A11" s="7" t="inlineStr">
        <is>
          <t>ミニファン</t>
        </is>
      </c>
      <c r="B11" s="8" t="n">
        <v>88</v>
      </c>
      <c r="C11" s="9" t="n">
        <v>165440</v>
      </c>
      <c r="D11" s="9" t="n">
        <v>1880</v>
      </c>
      <c r="E11" s="10" t="inlineStr"/>
    </row>
    <row r="12">
      <c r="A12" s="11" t="inlineStr">
        <is>
          <t>ツヤリス</t>
        </is>
      </c>
      <c r="B12" s="12" t="n">
        <v>24</v>
      </c>
      <c r="C12" s="13" t="n">
        <v>215520</v>
      </c>
      <c r="D12" s="13" t="n">
        <v>8980</v>
      </c>
      <c r="E12" s="14" t="inlineStr"/>
    </row>
    <row r="13">
      <c r="A13" s="11" t="inlineStr">
        <is>
          <t>圧縮バッグ(セット)</t>
        </is>
      </c>
      <c r="B13" s="12" t="n">
        <v>17</v>
      </c>
      <c r="C13" s="13" t="n">
        <v>50660</v>
      </c>
      <c r="D13" s="13" t="n">
        <v>2980</v>
      </c>
      <c r="E13" s="14" t="inlineStr">
        <is>
          <t>★SCとセットで1000円OFF：既に17セット/月</t>
        </is>
      </c>
    </row>
    <row r="14">
      <c r="A14" s="11" t="inlineStr">
        <is>
          <t>圧縮バッグ</t>
        </is>
      </c>
      <c r="B14" s="12" t="n">
        <v>13</v>
      </c>
      <c r="C14" s="13" t="n">
        <v>51740</v>
      </c>
      <c r="D14" s="13" t="n">
        <v>3980</v>
      </c>
      <c r="E14" s="14" t="inlineStr"/>
    </row>
    <row r="15">
      <c r="A15" s="11" t="inlineStr">
        <is>
          <t>洗顔ブラシ</t>
        </is>
      </c>
      <c r="B15" s="12" t="n">
        <v>20</v>
      </c>
      <c r="C15" s="13" t="n">
        <v>75600</v>
      </c>
      <c r="D15" s="13" t="n">
        <v>3780</v>
      </c>
      <c r="E15" s="14" t="inlineStr"/>
    </row>
    <row r="16">
      <c r="A16" s="11" t="inlineStr">
        <is>
          <t>レンタル</t>
        </is>
      </c>
      <c r="B16" s="12" t="n">
        <v>7</v>
      </c>
      <c r="C16" s="13" t="n">
        <v>32860</v>
      </c>
      <c r="D16" s="13" t="n">
        <v>4694</v>
      </c>
      <c r="E16" s="14" t="inlineStr"/>
    </row>
    <row r="17">
      <c r="A17" s="11" t="inlineStr">
        <is>
          <t>モバイルバッテリー</t>
        </is>
      </c>
      <c r="B17" s="12" t="n">
        <v>14</v>
      </c>
      <c r="C17" s="13" t="n">
        <v>17920</v>
      </c>
      <c r="D17" s="13" t="n">
        <v>1280</v>
      </c>
      <c r="E17" s="14" t="inlineStr"/>
    </row>
    <row r="18">
      <c r="A18" s="15" t="inlineStr">
        <is>
          <t>スーツケース計</t>
        </is>
      </c>
      <c r="B18" s="16" t="n">
        <v>1126</v>
      </c>
      <c r="C18" s="17" t="n">
        <v>38059460</v>
      </c>
      <c r="D18" s="17" t="n">
        <v>33801</v>
      </c>
      <c r="E18" s="15" t="n"/>
    </row>
    <row r="19">
      <c r="A19" s="18" t="inlineStr">
        <is>
          <t>ハンディファン計</t>
        </is>
      </c>
      <c r="B19" s="19" t="n">
        <v>2933</v>
      </c>
      <c r="C19" s="20" t="n">
        <v>13289900</v>
      </c>
      <c r="D19" s="20" t="n">
        <v>4531</v>
      </c>
      <c r="E19" s="18" t="n"/>
    </row>
    <row r="21">
      <c r="A21" s="21" t="inlineStr">
        <is>
          <t>税整合：SKU計(税込)¥51,793,660 ÷1.1 = ¥47.1M(税抜) ≒ 日次レポート(税抜)と一致。分析全体の裏付けが取れた。</t>
        </is>
      </c>
    </row>
    <row r="22">
      <c r="A22" s="21" t="inlineStr">
        <is>
          <t>発見①：スーツケースは実は多機能PCがほぼ全て（個数の95.8%）。前回の広告費ベース仮定(74%)を訂正。</t>
        </is>
      </c>
    </row>
    <row r="23">
      <c r="A23" s="21" t="inlineStr">
        <is>
          <t>発見②：ファンの実効単価は¥4,531と想定(¥3,500)より高い＝ファンの貢献も上方修正。</t>
        </is>
      </c>
    </row>
    <row r="24">
      <c r="A24" s="21" t="inlineStr">
        <is>
          <t>発見③：圧縮バッグのSCセット(1000円OFF)が既に月17セット売れている→セット割戦略の実績あり。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26" customWidth="1" min="4" max="4"/>
  </cols>
  <sheetData>
    <row r="1">
      <c r="A1" s="1" t="inlineStr">
        <is>
          <t>多機能PC カラー・サイズ別実績（7月・上位）</t>
        </is>
      </c>
    </row>
    <row r="3">
      <c r="A3" s="2" t="inlineStr">
        <is>
          <t>SKU(カラー×サイズ)</t>
        </is>
      </c>
      <c r="B3" s="2" t="inlineStr">
        <is>
          <t>個数</t>
        </is>
      </c>
      <c r="C3" s="2" t="inlineStr">
        <is>
          <t>売上(税込)</t>
        </is>
      </c>
      <c r="D3" s="2" t="inlineStr">
        <is>
          <t>メモ</t>
        </is>
      </c>
    </row>
    <row r="4">
      <c r="A4" s="22" t="inlineStr">
        <is>
          <t>マットブラック × S</t>
        </is>
      </c>
      <c r="B4" s="23" t="n">
        <v>203</v>
      </c>
      <c r="C4" s="24" t="n">
        <v>5919400</v>
      </c>
      <c r="D4" s="25" t="inlineStr">
        <is>
          <t>★絶対戦略在庫。全SCの18%</t>
        </is>
      </c>
    </row>
    <row r="5">
      <c r="A5" s="26" t="inlineStr">
        <is>
          <t>マットシルバー × S</t>
        </is>
      </c>
      <c r="B5" s="27" t="n">
        <v>124</v>
      </c>
      <c r="C5" s="28" t="n">
        <v>3642200</v>
      </c>
      <c r="D5" s="29" t="inlineStr"/>
    </row>
    <row r="6">
      <c r="A6" s="26" t="inlineStr">
        <is>
          <t>エナメルシルバー × S</t>
        </is>
      </c>
      <c r="B6" s="27" t="n">
        <v>110</v>
      </c>
      <c r="C6" s="28" t="n">
        <v>3225000</v>
      </c>
      <c r="D6" s="29" t="inlineStr"/>
    </row>
    <row r="7">
      <c r="A7" s="26" t="inlineStr">
        <is>
          <t>マットブラック × M</t>
        </is>
      </c>
      <c r="B7" s="27" t="n">
        <v>97</v>
      </c>
      <c r="C7" s="28" t="n">
        <v>3505600</v>
      </c>
      <c r="D7" s="29" t="inlineStr"/>
    </row>
    <row r="8">
      <c r="A8" s="26" t="inlineStr">
        <is>
          <t>マットシルバー × M</t>
        </is>
      </c>
      <c r="B8" s="27" t="n">
        <v>75</v>
      </c>
      <c r="C8" s="28" t="n">
        <v>2718000</v>
      </c>
      <c r="D8" s="29" t="inlineStr"/>
    </row>
    <row r="9">
      <c r="A9" s="26" t="inlineStr">
        <is>
          <t>マットホワイト × S</t>
        </is>
      </c>
      <c r="B9" s="27" t="n">
        <v>69</v>
      </c>
      <c r="C9" s="28" t="n">
        <v>2028200</v>
      </c>
      <c r="D9" s="29" t="inlineStr"/>
    </row>
    <row r="10">
      <c r="A10" s="26" t="inlineStr">
        <is>
          <t>マットホワイト × M</t>
        </is>
      </c>
      <c r="B10" s="27" t="n">
        <v>51</v>
      </c>
      <c r="C10" s="28" t="n">
        <v>1856800</v>
      </c>
      <c r="D10" s="29" t="inlineStr"/>
    </row>
    <row r="11">
      <c r="A11" s="26" t="inlineStr">
        <is>
          <t>マットシルバー × L</t>
        </is>
      </c>
      <c r="B11" s="27" t="n">
        <v>39</v>
      </c>
      <c r="C11" s="28" t="n">
        <v>1681200</v>
      </c>
      <c r="D11" s="29" t="inlineStr"/>
    </row>
    <row r="12">
      <c r="A12" s="26" t="inlineStr">
        <is>
          <t>エナメルカーキ × M</t>
        </is>
      </c>
      <c r="B12" s="27" t="n">
        <v>42</v>
      </c>
      <c r="C12" s="28" t="n">
        <v>1522600</v>
      </c>
      <c r="D12" s="29" t="inlineStr"/>
    </row>
    <row r="13">
      <c r="A13" s="26" t="inlineStr">
        <is>
          <t>マットグレー × L</t>
        </is>
      </c>
      <c r="B13" s="27" t="n">
        <v>32</v>
      </c>
      <c r="C13" s="28" t="n">
        <v>1391600</v>
      </c>
      <c r="D13" s="29" t="inlineStr"/>
    </row>
    <row r="15">
      <c r="A15" s="30" t="inlineStr">
        <is>
          <t>サイズ構成（多機能PC）: S 57%（616個）／ M 31%（334個）／ L 11%（123個）</t>
        </is>
      </c>
    </row>
    <row r="16">
      <c r="A16" s="21" t="inlineStr">
        <is>
          <t>カラーはマット系（黒・シルバー・白）で7割。エナメル系は2割強。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28" customWidth="1" min="6" max="6"/>
  </cols>
  <sheetData>
    <row r="1">
      <c r="A1" s="1" t="inlineStr">
        <is>
          <t>8月 販売個数計画（実SKU構成比×増額プラン）</t>
        </is>
      </c>
    </row>
    <row r="2">
      <c r="A2" s="21" t="inlineStr">
        <is>
          <t>SC個数＝シナリオ売上÷実効単価¥30,728(税抜)。構成比は7月実績。FANは7月ペース据え置き(31日換算)。</t>
        </is>
      </c>
    </row>
    <row r="4">
      <c r="A4" s="2" t="inlineStr">
        <is>
          <t>商品</t>
        </is>
      </c>
      <c r="B4" s="2" t="inlineStr">
        <is>
          <t>構成比
(7月実績)</t>
        </is>
      </c>
      <c r="C4" s="2" t="inlineStr">
        <is>
          <t>8月個数
(増額前)</t>
        </is>
      </c>
      <c r="D4" s="2" t="inlineStr">
        <is>
          <t>8月個数
(増額後)</t>
        </is>
      </c>
      <c r="E4" s="2" t="inlineStr">
        <is>
          <t>在庫目安</t>
        </is>
      </c>
      <c r="F4" s="2" t="inlineStr">
        <is>
          <t>メモ</t>
        </is>
      </c>
    </row>
    <row r="5">
      <c r="A5" s="15" t="inlineStr">
        <is>
          <t>スーツケース計</t>
        </is>
      </c>
      <c r="B5" s="31" t="n">
        <v>1</v>
      </c>
      <c r="C5" s="16" t="n">
        <v>1237</v>
      </c>
      <c r="D5" s="16" t="n">
        <v>1781</v>
      </c>
      <c r="E5" s="16" t="n">
        <v>2137</v>
      </c>
      <c r="F5" s="15" t="inlineStr">
        <is>
          <t>かぶり日3日だけで約480個(増額後)</t>
        </is>
      </c>
    </row>
    <row r="6">
      <c r="A6" s="3" t="inlineStr">
        <is>
          <t xml:space="preserve">  多機能PC</t>
        </is>
      </c>
      <c r="B6" s="32" t="n">
        <v>0.9582593250444049</v>
      </c>
      <c r="C6" s="4" t="n">
        <v>1185</v>
      </c>
      <c r="D6" s="4" t="n">
        <v>1707</v>
      </c>
      <c r="E6" s="4" t="n">
        <v>2048</v>
      </c>
      <c r="F6" s="6" t="inlineStr">
        <is>
          <t>S:M:L≒57:31:11で発注</t>
        </is>
      </c>
    </row>
    <row r="7">
      <c r="A7" s="22" t="inlineStr">
        <is>
          <t xml:space="preserve">    うち マットブラックS</t>
        </is>
      </c>
      <c r="B7" s="33" t="n">
        <v>0.181</v>
      </c>
      <c r="C7" s="23" t="n">
        <v>224</v>
      </c>
      <c r="D7" s="23" t="n">
        <v>322</v>
      </c>
      <c r="E7" s="23" t="n">
        <v>419</v>
      </c>
      <c r="F7" s="25" t="inlineStr">
        <is>
          <t>★最重要SKU。安全率1.3</t>
        </is>
      </c>
    </row>
    <row r="8">
      <c r="A8" s="3" t="inlineStr">
        <is>
          <t xml:space="preserve">  ノーマルアルミ(クラシック)</t>
        </is>
      </c>
      <c r="B8" s="32" t="n">
        <v>0.02841918294849023</v>
      </c>
      <c r="C8" s="4" t="n">
        <v>35</v>
      </c>
      <c r="D8" s="4" t="n">
        <v>51</v>
      </c>
      <c r="E8" s="4" t="n">
        <v>61</v>
      </c>
      <c r="F8" s="6" t="inlineStr"/>
    </row>
    <row r="9">
      <c r="A9" s="3" t="inlineStr">
        <is>
          <t xml:space="preserve">  多機能アルミ(フルアルミ)</t>
        </is>
      </c>
      <c r="B9" s="32" t="n">
        <v>0.01243339253996448</v>
      </c>
      <c r="C9" s="4" t="n">
        <v>15</v>
      </c>
      <c r="D9" s="4" t="n">
        <v>22</v>
      </c>
      <c r="E9" s="4" t="n">
        <v>26</v>
      </c>
      <c r="F9" s="6" t="inlineStr"/>
    </row>
    <row r="10">
      <c r="A10" s="18" t="inlineStr">
        <is>
          <t>ハンディファン計</t>
        </is>
      </c>
      <c r="B10" s="34" t="n">
        <v>1</v>
      </c>
      <c r="C10" s="19" t="n">
        <v>3247</v>
      </c>
      <c r="D10" s="19" t="n">
        <v>3247</v>
      </c>
      <c r="E10" s="19" t="n">
        <v>3572</v>
      </c>
      <c r="F10" s="18" t="inlineStr">
        <is>
          <t>アクセス据え置き。8月後半の需要減に注意</t>
        </is>
      </c>
    </row>
    <row r="11">
      <c r="A11" s="7" t="inlineStr">
        <is>
          <t xml:space="preserve">  首振り(3Way冷却)</t>
        </is>
      </c>
      <c r="B11" s="35" t="n">
        <v>0.5377</v>
      </c>
      <c r="C11" s="8" t="n">
        <v>1746</v>
      </c>
      <c r="D11" s="8" t="n">
        <v>1746</v>
      </c>
      <c r="E11" s="8" t="n">
        <v>1921</v>
      </c>
      <c r="F11" s="10" t="inlineStr"/>
    </row>
    <row r="12">
      <c r="A12" s="7" t="inlineStr">
        <is>
          <t xml:space="preserve">  スケルトン</t>
        </is>
      </c>
      <c r="B12" s="35" t="n">
        <v>0.2445</v>
      </c>
      <c r="C12" s="8" t="n">
        <v>794</v>
      </c>
      <c r="D12" s="8" t="n">
        <v>794</v>
      </c>
      <c r="E12" s="8" t="n">
        <v>873</v>
      </c>
      <c r="F12" s="10" t="inlineStr"/>
    </row>
    <row r="13">
      <c r="A13" s="7" t="inlineStr">
        <is>
          <t xml:space="preserve">  クリップ</t>
        </is>
      </c>
      <c r="B13" s="35" t="n">
        <v>0.1879</v>
      </c>
      <c r="C13" s="8" t="n">
        <v>610</v>
      </c>
      <c r="D13" s="8" t="n">
        <v>610</v>
      </c>
      <c r="E13" s="8" t="n">
        <v>671</v>
      </c>
      <c r="F13" s="10" t="inlineStr"/>
    </row>
    <row r="14">
      <c r="A14" s="7" t="inlineStr">
        <is>
          <t xml:space="preserve">  ミニファン</t>
        </is>
      </c>
      <c r="B14" s="35" t="n">
        <v>0.03</v>
      </c>
      <c r="C14" s="8" t="n">
        <v>97</v>
      </c>
      <c r="D14" s="8" t="n">
        <v>97</v>
      </c>
      <c r="E14" s="8" t="n">
        <v>107</v>
      </c>
      <c r="F14" s="10" t="inlineStr"/>
    </row>
    <row r="16">
      <c r="A16" s="21" t="inlineStr">
        <is>
          <t>スーツケース 増額前1,237個 → 増額後1,781個（+544個）。実効単価が想定より高く、前回試算(1,855個)から個数は微減。</t>
        </is>
      </c>
    </row>
    <row r="17">
      <c r="A17" s="21" t="inlineStr">
        <is>
          <t>★マットブラックSだけで8月約320個(増額後)。ここを切らすと山が崩れる——在庫目安420個。</t>
        </is>
      </c>
    </row>
    <row r="18">
      <c r="A18" s="21" t="inlineStr">
        <is>
          <t>かぶり日(8/5・10・25)は1日あたりSC約160個出る計算。マラソン②(8/24〜)分の入庫は8月中旬まで必須。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商品</t>
        </is>
      </c>
      <c r="I1" t="inlineStr">
        <is>
          <t>7月個数</t>
        </is>
      </c>
    </row>
    <row r="2">
      <c r="H2" t="inlineStr">
        <is>
          <t>多機能PC</t>
        </is>
      </c>
      <c r="I2" t="n">
        <v>1079</v>
      </c>
    </row>
    <row r="3">
      <c r="H3" t="inlineStr">
        <is>
          <t>首振り</t>
        </is>
      </c>
      <c r="I3" t="n">
        <v>1577</v>
      </c>
    </row>
    <row r="4">
      <c r="H4" t="inlineStr">
        <is>
          <t>スケルトン</t>
        </is>
      </c>
      <c r="I4" t="n">
        <v>717</v>
      </c>
    </row>
    <row r="5">
      <c r="H5" t="inlineStr">
        <is>
          <t>クリップ</t>
        </is>
      </c>
      <c r="I5" t="n">
        <v>551</v>
      </c>
    </row>
    <row r="6">
      <c r="H6" t="inlineStr">
        <is>
          <t>ミニファン</t>
        </is>
      </c>
      <c r="I6" t="n">
        <v>88</v>
      </c>
    </row>
    <row r="7">
      <c r="H7" t="inlineStr">
        <is>
          <t>ノーマルアルミ</t>
        </is>
      </c>
      <c r="I7" t="n">
        <v>32</v>
      </c>
    </row>
    <row r="8">
      <c r="H8" t="inlineStr">
        <is>
          <t>多機能アルミ</t>
        </is>
      </c>
      <c r="I8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2026-07-27T15:31:39Z</dcterms:created>
  <dcterms:modified xsi:type="dcterms:W3CDTF">2026-07-27T15:31:39Z</dcterms:modified>
</cp:coreProperties>
</file>