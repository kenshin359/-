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入力" sheetId="1" state="visible" r:id="rId1"/>
    <sheet name="日別サマリー" sheetId="2" state="visible" r:id="rId2"/>
    <sheet name="商品別サマリー" sheetId="3" state="visible" r:id="rId3"/>
    <sheet name="媒体別サマリー" sheetId="4" state="visible" r:id="rId4"/>
    <sheet name="ダッシュボード" sheetId="5" state="visible" r:id="rId5"/>
    <sheet name="使い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/mm/dd"/>
    <numFmt numFmtId="166" formatCode="¥#,##0"/>
    <numFmt numFmtId="167" formatCode="#,##0.0"/>
    <numFmt numFmtId="168" formatCode="#,##0.0;[RED]-#,##0.0"/>
    <numFmt numFmtId="169" formatCode="0.00&quot;x&quot;"/>
    <numFmt numFmtId="170" formatCode="yyyy&quot;年&quot;m&quot;月&quot;"/>
    <numFmt numFmtId="171" formatCode="#,##0&quot;日&quot;"/>
    <numFmt numFmtId="172" formatCode="0.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  <color rgb="00008000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7CC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pivotButton="0" quotePrefix="0" xfId="0"/>
    <xf numFmtId="166" fontId="5" fillId="3" borderId="1" pivotButton="0" quotePrefix="0" xfId="0"/>
    <xf numFmtId="10" fontId="5" fillId="3" borderId="1" pivotButton="0" quotePrefix="0" xfId="0"/>
    <xf numFmtId="3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6" fontId="4" fillId="0" borderId="1" pivotButton="0" quotePrefix="0" xfId="0"/>
    <xf numFmtId="169" fontId="4" fillId="0" borderId="1" pivotButton="0" quotePrefix="0" xfId="0"/>
    <xf numFmtId="0" fontId="6" fillId="0" borderId="0" pivotButton="0" quotePrefix="0" xfId="0"/>
    <xf numFmtId="170" fontId="5" fillId="3" borderId="1" pivotButton="0" quotePrefix="0" xfId="0"/>
    <xf numFmtId="0" fontId="6" fillId="4" borderId="1" pivotButton="0" quotePrefix="0" xfId="0"/>
    <xf numFmtId="166" fontId="6" fillId="4" borderId="1" pivotButton="0" quotePrefix="0" xfId="0"/>
    <xf numFmtId="3" fontId="6" fillId="4" borderId="1" pivotButton="0" quotePrefix="0" xfId="0"/>
    <xf numFmtId="167" fontId="6" fillId="4" borderId="1" pivotButton="0" quotePrefix="0" xfId="0"/>
    <xf numFmtId="169" fontId="6" fillId="4" borderId="1" pivotButton="0" quotePrefix="0" xfId="0"/>
    <xf numFmtId="0" fontId="7" fillId="0" borderId="1" pivotButton="0" quotePrefix="0" xfId="0"/>
    <xf numFmtId="0" fontId="6" fillId="0" borderId="1" pivotButton="0" quotePrefix="0" xfId="0"/>
    <xf numFmtId="0" fontId="8" fillId="5" borderId="0" pivotButton="0" quotePrefix="0" xfId="0"/>
    <xf numFmtId="0" fontId="0" fillId="5" borderId="0" pivotButton="0" quotePrefix="0" xfId="0"/>
    <xf numFmtId="171" fontId="4" fillId="0" borderId="1" pivotButton="0" quotePrefix="0" xfId="0"/>
    <xf numFmtId="172" fontId="4" fillId="0" borderId="1" pivotButton="0" quotePrefix="0" xfId="0"/>
    <xf numFmtId="0" fontId="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2" customWidth="1" min="5" max="5"/>
    <col width="11" customWidth="1" min="6" max="6"/>
    <col width="11" customWidth="1" min="7" max="7"/>
    <col width="9" customWidth="1" min="8" max="8"/>
    <col width="11" customWidth="1" min="9" max="9"/>
    <col width="12" customWidth="1" min="10" max="10"/>
    <col width="12" customWidth="1" min="11" max="11"/>
    <col width="13" customWidth="1" min="12" max="12"/>
    <col width="10" customWidth="1" min="13" max="13"/>
    <col width="14" customWidth="1" min="14" max="14"/>
    <col width="8" customWidth="1" min="15" max="15"/>
  </cols>
  <sheetData>
    <row r="1">
      <c r="A1" s="1" t="inlineStr">
        <is>
          <t>Libetee 日次入力（広告費 → 売上予想）</t>
        </is>
      </c>
    </row>
    <row r="2">
      <c r="A2" s="2" t="inlineStr">
        <is>
          <t>毎日、1行＝その日・その商品・その媒体。青字セル（黄色）だけ入力。上の3日分はサンプルです。</t>
        </is>
      </c>
    </row>
    <row r="3" ht="30" customHeight="1">
      <c r="A3" s="3" t="inlineStr">
        <is>
          <t>日付</t>
        </is>
      </c>
      <c r="B3" s="3" t="inlineStr">
        <is>
          <t>アカウント</t>
        </is>
      </c>
      <c r="C3" s="3" t="inlineStr">
        <is>
          <t>商品/ブランド</t>
        </is>
      </c>
      <c r="D3" s="3" t="inlineStr">
        <is>
          <t>媒体</t>
        </is>
      </c>
      <c r="E3" s="3" t="inlineStr">
        <is>
          <t>広告費</t>
        </is>
      </c>
      <c r="F3" s="3" t="inlineStr">
        <is>
          <t>CPA
(獲得単価)</t>
        </is>
      </c>
      <c r="G3" s="3" t="inlineStr">
        <is>
          <t>アクセス単価</t>
        </is>
      </c>
      <c r="H3" s="3" t="inlineStr">
        <is>
          <t>予想
転換率</t>
        </is>
      </c>
      <c r="I3" s="3" t="inlineStr">
        <is>
          <t>客単価</t>
        </is>
      </c>
      <c r="J3" s="3" t="inlineStr">
        <is>
          <t>予想
アクセス数</t>
        </is>
      </c>
      <c r="K3" s="3" t="inlineStr">
        <is>
          <t>予想獲得数
(CPA基準)</t>
        </is>
      </c>
      <c r="L3" s="3" t="inlineStr">
        <is>
          <t>予想獲得数
(ｱｸｾｽ×CVR)</t>
        </is>
      </c>
      <c r="M3" s="3" t="inlineStr">
        <is>
          <t>整合差異</t>
        </is>
      </c>
      <c r="N3" s="3" t="inlineStr">
        <is>
          <t>予想売上</t>
        </is>
      </c>
      <c r="O3" s="3" t="inlineStr">
        <is>
          <t>ROAS</t>
        </is>
      </c>
    </row>
    <row r="4">
      <c r="A4" s="4" t="n">
        <v>46204</v>
      </c>
      <c r="B4" s="5" t="inlineStr">
        <is>
          <t>メタアカウント</t>
        </is>
      </c>
      <c r="C4" s="5" t="inlineStr">
        <is>
          <t>スーツケース（トラベル）</t>
        </is>
      </c>
      <c r="D4" s="6" t="inlineStr">
        <is>
          <t>Amazon</t>
        </is>
      </c>
      <c r="E4" s="7" t="n">
        <v>300000</v>
      </c>
      <c r="F4" s="7" t="n">
        <v>6000</v>
      </c>
      <c r="G4" s="7" t="n">
        <v>60</v>
      </c>
      <c r="H4" s="8" t="n">
        <v>0.01</v>
      </c>
      <c r="I4" s="7" t="n">
        <v>15000</v>
      </c>
      <c r="J4" s="9">
        <f>IFERROR(E4/G4,0)</f>
        <v/>
      </c>
      <c r="K4" s="10">
        <f>IFERROR(E4/F4,0)</f>
        <v/>
      </c>
      <c r="L4" s="10">
        <f>J4*H4</f>
        <v/>
      </c>
      <c r="M4" s="11">
        <f>K4-L4</f>
        <v/>
      </c>
      <c r="N4" s="12">
        <f>K4*I4</f>
        <v/>
      </c>
      <c r="O4" s="13">
        <f>IFERROR(N4/E4,0)</f>
        <v/>
      </c>
    </row>
    <row r="5">
      <c r="A5" s="4" t="n">
        <v>46204</v>
      </c>
      <c r="B5" s="5" t="inlineStr">
        <is>
          <t>メタアカウント</t>
        </is>
      </c>
      <c r="C5" s="5" t="inlineStr">
        <is>
          <t>スーツケース（トラベル）</t>
        </is>
      </c>
      <c r="D5" s="6" t="inlineStr">
        <is>
          <t>楽天</t>
        </is>
      </c>
      <c r="E5" s="7" t="n">
        <v>250000</v>
      </c>
      <c r="F5" s="7" t="n">
        <v>8000</v>
      </c>
      <c r="G5" s="7" t="n">
        <v>70</v>
      </c>
      <c r="H5" s="8" t="n">
        <v>0.006</v>
      </c>
      <c r="I5" s="7" t="n">
        <v>15000</v>
      </c>
      <c r="J5" s="9">
        <f>IFERROR(E5/G5,0)</f>
        <v/>
      </c>
      <c r="K5" s="10">
        <f>IFERROR(E5/F5,0)</f>
        <v/>
      </c>
      <c r="L5" s="10">
        <f>J5*H5</f>
        <v/>
      </c>
      <c r="M5" s="11">
        <f>K5-L5</f>
        <v/>
      </c>
      <c r="N5" s="12">
        <f>K5*I5</f>
        <v/>
      </c>
      <c r="O5" s="13">
        <f>IFERROR(N5/E5,0)</f>
        <v/>
      </c>
    </row>
    <row r="6">
      <c r="A6" s="4" t="n">
        <v>46204</v>
      </c>
      <c r="B6" s="5" t="inlineStr">
        <is>
          <t>メタアカウント</t>
        </is>
      </c>
      <c r="C6" s="5" t="inlineStr">
        <is>
          <t>スーツケース（トラベル）</t>
        </is>
      </c>
      <c r="D6" s="6" t="inlineStr">
        <is>
          <t>自社サイト</t>
        </is>
      </c>
      <c r="E6" s="7" t="n">
        <v>150000</v>
      </c>
      <c r="F6" s="7" t="n">
        <v>7000</v>
      </c>
      <c r="G6" s="7" t="n">
        <v>55</v>
      </c>
      <c r="H6" s="8" t="n">
        <v>0.012</v>
      </c>
      <c r="I6" s="7" t="n">
        <v>16000</v>
      </c>
      <c r="J6" s="9">
        <f>IFERROR(E6/G6,0)</f>
        <v/>
      </c>
      <c r="K6" s="10">
        <f>IFERROR(E6/F6,0)</f>
        <v/>
      </c>
      <c r="L6" s="10">
        <f>J6*H6</f>
        <v/>
      </c>
      <c r="M6" s="11">
        <f>K6-L6</f>
        <v/>
      </c>
      <c r="N6" s="12">
        <f>K6*I6</f>
        <v/>
      </c>
      <c r="O6" s="13">
        <f>IFERROR(N6/E6,0)</f>
        <v/>
      </c>
    </row>
    <row r="7">
      <c r="A7" s="4" t="n">
        <v>46204</v>
      </c>
      <c r="B7" s="5" t="inlineStr">
        <is>
          <t>メタアカウント</t>
        </is>
      </c>
      <c r="C7" s="5" t="inlineStr">
        <is>
          <t>スーツケース（カタログ）</t>
        </is>
      </c>
      <c r="D7" s="6" t="inlineStr">
        <is>
          <t>Amazon</t>
        </is>
      </c>
      <c r="E7" s="7" t="n">
        <v>200000</v>
      </c>
      <c r="F7" s="7" t="n">
        <v>6500</v>
      </c>
      <c r="G7" s="7" t="n">
        <v>65</v>
      </c>
      <c r="H7" s="8" t="n">
        <v>0.008999999999999999</v>
      </c>
      <c r="I7" s="7" t="n">
        <v>14000</v>
      </c>
      <c r="J7" s="9">
        <f>IFERROR(E7/G7,0)</f>
        <v/>
      </c>
      <c r="K7" s="10">
        <f>IFERROR(E7/F7,0)</f>
        <v/>
      </c>
      <c r="L7" s="10">
        <f>J7*H7</f>
        <v/>
      </c>
      <c r="M7" s="11">
        <f>K7-L7</f>
        <v/>
      </c>
      <c r="N7" s="12">
        <f>K7*I7</f>
        <v/>
      </c>
      <c r="O7" s="13">
        <f>IFERROR(N7/E7,0)</f>
        <v/>
      </c>
    </row>
    <row r="8">
      <c r="A8" s="4" t="n">
        <v>46204</v>
      </c>
      <c r="B8" s="5" t="inlineStr">
        <is>
          <t>メタアカウント</t>
        </is>
      </c>
      <c r="C8" s="5" t="inlineStr">
        <is>
          <t>スーツケース（カタログ）</t>
        </is>
      </c>
      <c r="D8" s="6" t="inlineStr">
        <is>
          <t>楽天</t>
        </is>
      </c>
      <c r="E8" s="7" t="n">
        <v>180000</v>
      </c>
      <c r="F8" s="7" t="n">
        <v>8500</v>
      </c>
      <c r="G8" s="7" t="n">
        <v>75</v>
      </c>
      <c r="H8" s="8" t="n">
        <v>0.005</v>
      </c>
      <c r="I8" s="7" t="n">
        <v>14000</v>
      </c>
      <c r="J8" s="9">
        <f>IFERROR(E8/G8,0)</f>
        <v/>
      </c>
      <c r="K8" s="10">
        <f>IFERROR(E8/F8,0)</f>
        <v/>
      </c>
      <c r="L8" s="10">
        <f>J8*H8</f>
        <v/>
      </c>
      <c r="M8" s="11">
        <f>K8-L8</f>
        <v/>
      </c>
      <c r="N8" s="12">
        <f>K8*I8</f>
        <v/>
      </c>
      <c r="O8" s="13">
        <f>IFERROR(N8/E8,0)</f>
        <v/>
      </c>
    </row>
    <row r="9">
      <c r="A9" s="4" t="n">
        <v>46204</v>
      </c>
      <c r="B9" s="5" t="inlineStr">
        <is>
          <t>メタアカウント</t>
        </is>
      </c>
      <c r="C9" s="5" t="inlineStr">
        <is>
          <t>スーツケース（カタログ）</t>
        </is>
      </c>
      <c r="D9" s="6" t="inlineStr">
        <is>
          <t>自社サイト</t>
        </is>
      </c>
      <c r="E9" s="7" t="n">
        <v>120000</v>
      </c>
      <c r="F9" s="7" t="n">
        <v>7200</v>
      </c>
      <c r="G9" s="7" t="n">
        <v>58</v>
      </c>
      <c r="H9" s="8" t="n">
        <v>0.011</v>
      </c>
      <c r="I9" s="7" t="n">
        <v>15000</v>
      </c>
      <c r="J9" s="9">
        <f>IFERROR(E9/G9,0)</f>
        <v/>
      </c>
      <c r="K9" s="10">
        <f>IFERROR(E9/F9,0)</f>
        <v/>
      </c>
      <c r="L9" s="10">
        <f>J9*H9</f>
        <v/>
      </c>
      <c r="M9" s="11">
        <f>K9-L9</f>
        <v/>
      </c>
      <c r="N9" s="12">
        <f>K9*I9</f>
        <v/>
      </c>
      <c r="O9" s="13">
        <f>IFERROR(N9/E9,0)</f>
        <v/>
      </c>
    </row>
    <row r="10">
      <c r="A10" s="4" t="n">
        <v>46204</v>
      </c>
      <c r="B10" s="5" t="inlineStr">
        <is>
          <t>ハンディファンアカウント</t>
        </is>
      </c>
      <c r="C10" s="5" t="inlineStr">
        <is>
          <t>ガジェティ</t>
        </is>
      </c>
      <c r="D10" s="6" t="inlineStr">
        <is>
          <t>Amazon</t>
        </is>
      </c>
      <c r="E10" s="7" t="n">
        <v>180000</v>
      </c>
      <c r="F10" s="7" t="n">
        <v>1500</v>
      </c>
      <c r="G10" s="7" t="n">
        <v>40</v>
      </c>
      <c r="H10" s="8" t="n">
        <v>0.02</v>
      </c>
      <c r="I10" s="7" t="n">
        <v>3200</v>
      </c>
      <c r="J10" s="9">
        <f>IFERROR(E10/G10,0)</f>
        <v/>
      </c>
      <c r="K10" s="10">
        <f>IFERROR(E10/F10,0)</f>
        <v/>
      </c>
      <c r="L10" s="10">
        <f>J10*H10</f>
        <v/>
      </c>
      <c r="M10" s="11">
        <f>K10-L10</f>
        <v/>
      </c>
      <c r="N10" s="12">
        <f>K10*I10</f>
        <v/>
      </c>
      <c r="O10" s="13">
        <f>IFERROR(N10/E10,0)</f>
        <v/>
      </c>
    </row>
    <row r="11">
      <c r="A11" s="4" t="n">
        <v>46204</v>
      </c>
      <c r="B11" s="5" t="inlineStr">
        <is>
          <t>ハンディファンアカウント</t>
        </is>
      </c>
      <c r="C11" s="5" t="inlineStr">
        <is>
          <t>ガジェティ</t>
        </is>
      </c>
      <c r="D11" s="6" t="inlineStr">
        <is>
          <t>楽天</t>
        </is>
      </c>
      <c r="E11" s="7" t="n">
        <v>150000</v>
      </c>
      <c r="F11" s="7" t="n">
        <v>1800</v>
      </c>
      <c r="G11" s="7" t="n">
        <v>45</v>
      </c>
      <c r="H11" s="8" t="n">
        <v>0.015</v>
      </c>
      <c r="I11" s="7" t="n">
        <v>3200</v>
      </c>
      <c r="J11" s="9">
        <f>IFERROR(E11/G11,0)</f>
        <v/>
      </c>
      <c r="K11" s="10">
        <f>IFERROR(E11/F11,0)</f>
        <v/>
      </c>
      <c r="L11" s="10">
        <f>J11*H11</f>
        <v/>
      </c>
      <c r="M11" s="11">
        <f>K11-L11</f>
        <v/>
      </c>
      <c r="N11" s="12">
        <f>K11*I11</f>
        <v/>
      </c>
      <c r="O11" s="13">
        <f>IFERROR(N11/E11,0)</f>
        <v/>
      </c>
    </row>
    <row r="12">
      <c r="A12" s="4" t="n">
        <v>46204</v>
      </c>
      <c r="B12" s="5" t="inlineStr">
        <is>
          <t>ハンディファンアカウント</t>
        </is>
      </c>
      <c r="C12" s="5" t="inlineStr">
        <is>
          <t>ガジェティ</t>
        </is>
      </c>
      <c r="D12" s="6" t="inlineStr">
        <is>
          <t>自社サイト</t>
        </is>
      </c>
      <c r="E12" s="7" t="n">
        <v>90000</v>
      </c>
      <c r="F12" s="7" t="n">
        <v>1600</v>
      </c>
      <c r="G12" s="7" t="n">
        <v>38</v>
      </c>
      <c r="H12" s="8" t="n">
        <v>0.022</v>
      </c>
      <c r="I12" s="7" t="n">
        <v>3500</v>
      </c>
      <c r="J12" s="9">
        <f>IFERROR(E12/G12,0)</f>
        <v/>
      </c>
      <c r="K12" s="10">
        <f>IFERROR(E12/F12,0)</f>
        <v/>
      </c>
      <c r="L12" s="10">
        <f>J12*H12</f>
        <v/>
      </c>
      <c r="M12" s="11">
        <f>K12-L12</f>
        <v/>
      </c>
      <c r="N12" s="12">
        <f>K12*I12</f>
        <v/>
      </c>
      <c r="O12" s="13">
        <f>IFERROR(N12/E12,0)</f>
        <v/>
      </c>
    </row>
    <row r="13">
      <c r="A13" s="4" t="n">
        <v>46204</v>
      </c>
      <c r="B13" s="5" t="inlineStr">
        <is>
          <t>ツヤリスアカウント</t>
        </is>
      </c>
      <c r="C13" s="5" t="inlineStr">
        <is>
          <t>ツヤリス</t>
        </is>
      </c>
      <c r="D13" s="6" t="inlineStr">
        <is>
          <t>Amazon</t>
        </is>
      </c>
      <c r="E13" s="7" t="n">
        <v>160000</v>
      </c>
      <c r="F13" s="7" t="n">
        <v>2200</v>
      </c>
      <c r="G13" s="7" t="n">
        <v>45</v>
      </c>
      <c r="H13" s="8" t="n">
        <v>0.018</v>
      </c>
      <c r="I13" s="7" t="n">
        <v>4200</v>
      </c>
      <c r="J13" s="9">
        <f>IFERROR(E13/G13,0)</f>
        <v/>
      </c>
      <c r="K13" s="10">
        <f>IFERROR(E13/F13,0)</f>
        <v/>
      </c>
      <c r="L13" s="10">
        <f>J13*H13</f>
        <v/>
      </c>
      <c r="M13" s="11">
        <f>K13-L13</f>
        <v/>
      </c>
      <c r="N13" s="12">
        <f>K13*I13</f>
        <v/>
      </c>
      <c r="O13" s="13">
        <f>IFERROR(N13/E13,0)</f>
        <v/>
      </c>
    </row>
    <row r="14">
      <c r="A14" s="4" t="n">
        <v>46204</v>
      </c>
      <c r="B14" s="5" t="inlineStr">
        <is>
          <t>ツヤリスアカウント</t>
        </is>
      </c>
      <c r="C14" s="5" t="inlineStr">
        <is>
          <t>ツヤリス</t>
        </is>
      </c>
      <c r="D14" s="6" t="inlineStr">
        <is>
          <t>楽天</t>
        </is>
      </c>
      <c r="E14" s="7" t="n">
        <v>140000</v>
      </c>
      <c r="F14" s="7" t="n">
        <v>2600</v>
      </c>
      <c r="G14" s="7" t="n">
        <v>50</v>
      </c>
      <c r="H14" s="8" t="n">
        <v>0.012</v>
      </c>
      <c r="I14" s="7" t="n">
        <v>4200</v>
      </c>
      <c r="J14" s="9">
        <f>IFERROR(E14/G14,0)</f>
        <v/>
      </c>
      <c r="K14" s="10">
        <f>IFERROR(E14/F14,0)</f>
        <v/>
      </c>
      <c r="L14" s="10">
        <f>J14*H14</f>
        <v/>
      </c>
      <c r="M14" s="11">
        <f>K14-L14</f>
        <v/>
      </c>
      <c r="N14" s="12">
        <f>K14*I14</f>
        <v/>
      </c>
      <c r="O14" s="13">
        <f>IFERROR(N14/E14,0)</f>
        <v/>
      </c>
    </row>
    <row r="15">
      <c r="A15" s="4" t="n">
        <v>46204</v>
      </c>
      <c r="B15" s="5" t="inlineStr">
        <is>
          <t>ツヤリスアカウント</t>
        </is>
      </c>
      <c r="C15" s="5" t="inlineStr">
        <is>
          <t>ツヤリス</t>
        </is>
      </c>
      <c r="D15" s="6" t="inlineStr">
        <is>
          <t>自社サイト</t>
        </is>
      </c>
      <c r="E15" s="7" t="n">
        <v>100000</v>
      </c>
      <c r="F15" s="7" t="n">
        <v>2400</v>
      </c>
      <c r="G15" s="7" t="n">
        <v>42</v>
      </c>
      <c r="H15" s="8" t="n">
        <v>0.02</v>
      </c>
      <c r="I15" s="7" t="n">
        <v>4500</v>
      </c>
      <c r="J15" s="9">
        <f>IFERROR(E15/G15,0)</f>
        <v/>
      </c>
      <c r="K15" s="10">
        <f>IFERROR(E15/F15,0)</f>
        <v/>
      </c>
      <c r="L15" s="10">
        <f>J15*H15</f>
        <v/>
      </c>
      <c r="M15" s="11">
        <f>K15-L15</f>
        <v/>
      </c>
      <c r="N15" s="12">
        <f>K15*I15</f>
        <v/>
      </c>
      <c r="O15" s="13">
        <f>IFERROR(N15/E15,0)</f>
        <v/>
      </c>
    </row>
    <row r="16">
      <c r="A16" s="4" t="n">
        <v>46205</v>
      </c>
      <c r="B16" s="5" t="inlineStr">
        <is>
          <t>メタアカウント</t>
        </is>
      </c>
      <c r="C16" s="5" t="inlineStr">
        <is>
          <t>スーツケース（トラベル）</t>
        </is>
      </c>
      <c r="D16" s="6" t="inlineStr">
        <is>
          <t>Amazon</t>
        </is>
      </c>
      <c r="E16" s="7" t="n">
        <v>270000</v>
      </c>
      <c r="F16" s="7" t="n">
        <v>6000</v>
      </c>
      <c r="G16" s="7" t="n">
        <v>60</v>
      </c>
      <c r="H16" s="8" t="n">
        <v>0.01</v>
      </c>
      <c r="I16" s="7" t="n">
        <v>15000</v>
      </c>
      <c r="J16" s="9">
        <f>IFERROR(E16/G16,0)</f>
        <v/>
      </c>
      <c r="K16" s="10">
        <f>IFERROR(E16/F16,0)</f>
        <v/>
      </c>
      <c r="L16" s="10">
        <f>J16*H16</f>
        <v/>
      </c>
      <c r="M16" s="11">
        <f>K16-L16</f>
        <v/>
      </c>
      <c r="N16" s="12">
        <f>K16*I16</f>
        <v/>
      </c>
      <c r="O16" s="13">
        <f>IFERROR(N16/E16,0)</f>
        <v/>
      </c>
    </row>
    <row r="17">
      <c r="A17" s="4" t="n">
        <v>46205</v>
      </c>
      <c r="B17" s="5" t="inlineStr">
        <is>
          <t>メタアカウント</t>
        </is>
      </c>
      <c r="C17" s="5" t="inlineStr">
        <is>
          <t>スーツケース（トラベル）</t>
        </is>
      </c>
      <c r="D17" s="6" t="inlineStr">
        <is>
          <t>楽天</t>
        </is>
      </c>
      <c r="E17" s="7" t="n">
        <v>225000</v>
      </c>
      <c r="F17" s="7" t="n">
        <v>8000</v>
      </c>
      <c r="G17" s="7" t="n">
        <v>70</v>
      </c>
      <c r="H17" s="8" t="n">
        <v>0.006</v>
      </c>
      <c r="I17" s="7" t="n">
        <v>15000</v>
      </c>
      <c r="J17" s="9">
        <f>IFERROR(E17/G17,0)</f>
        <v/>
      </c>
      <c r="K17" s="10">
        <f>IFERROR(E17/F17,0)</f>
        <v/>
      </c>
      <c r="L17" s="10">
        <f>J17*H17</f>
        <v/>
      </c>
      <c r="M17" s="11">
        <f>K17-L17</f>
        <v/>
      </c>
      <c r="N17" s="12">
        <f>K17*I17</f>
        <v/>
      </c>
      <c r="O17" s="13">
        <f>IFERROR(N17/E17,0)</f>
        <v/>
      </c>
    </row>
    <row r="18">
      <c r="A18" s="4" t="n">
        <v>46205</v>
      </c>
      <c r="B18" s="5" t="inlineStr">
        <is>
          <t>メタアカウント</t>
        </is>
      </c>
      <c r="C18" s="5" t="inlineStr">
        <is>
          <t>スーツケース（トラベル）</t>
        </is>
      </c>
      <c r="D18" s="6" t="inlineStr">
        <is>
          <t>自社サイト</t>
        </is>
      </c>
      <c r="E18" s="7" t="n">
        <v>135000</v>
      </c>
      <c r="F18" s="7" t="n">
        <v>7000</v>
      </c>
      <c r="G18" s="7" t="n">
        <v>55</v>
      </c>
      <c r="H18" s="8" t="n">
        <v>0.012</v>
      </c>
      <c r="I18" s="7" t="n">
        <v>16000</v>
      </c>
      <c r="J18" s="9">
        <f>IFERROR(E18/G18,0)</f>
        <v/>
      </c>
      <c r="K18" s="10">
        <f>IFERROR(E18/F18,0)</f>
        <v/>
      </c>
      <c r="L18" s="10">
        <f>J18*H18</f>
        <v/>
      </c>
      <c r="M18" s="11">
        <f>K18-L18</f>
        <v/>
      </c>
      <c r="N18" s="12">
        <f>K18*I18</f>
        <v/>
      </c>
      <c r="O18" s="13">
        <f>IFERROR(N18/E18,0)</f>
        <v/>
      </c>
    </row>
    <row r="19">
      <c r="A19" s="4" t="n">
        <v>46205</v>
      </c>
      <c r="B19" s="5" t="inlineStr">
        <is>
          <t>メタアカウント</t>
        </is>
      </c>
      <c r="C19" s="5" t="inlineStr">
        <is>
          <t>スーツケース（カタログ）</t>
        </is>
      </c>
      <c r="D19" s="6" t="inlineStr">
        <is>
          <t>Amazon</t>
        </is>
      </c>
      <c r="E19" s="7" t="n">
        <v>180000</v>
      </c>
      <c r="F19" s="7" t="n">
        <v>6500</v>
      </c>
      <c r="G19" s="7" t="n">
        <v>65</v>
      </c>
      <c r="H19" s="8" t="n">
        <v>0.008999999999999999</v>
      </c>
      <c r="I19" s="7" t="n">
        <v>14000</v>
      </c>
      <c r="J19" s="9">
        <f>IFERROR(E19/G19,0)</f>
        <v/>
      </c>
      <c r="K19" s="10">
        <f>IFERROR(E19/F19,0)</f>
        <v/>
      </c>
      <c r="L19" s="10">
        <f>J19*H19</f>
        <v/>
      </c>
      <c r="M19" s="11">
        <f>K19-L19</f>
        <v/>
      </c>
      <c r="N19" s="12">
        <f>K19*I19</f>
        <v/>
      </c>
      <c r="O19" s="13">
        <f>IFERROR(N19/E19,0)</f>
        <v/>
      </c>
    </row>
    <row r="20">
      <c r="A20" s="4" t="n">
        <v>46205</v>
      </c>
      <c r="B20" s="5" t="inlineStr">
        <is>
          <t>メタアカウント</t>
        </is>
      </c>
      <c r="C20" s="5" t="inlineStr">
        <is>
          <t>スーツケース（カタログ）</t>
        </is>
      </c>
      <c r="D20" s="6" t="inlineStr">
        <is>
          <t>楽天</t>
        </is>
      </c>
      <c r="E20" s="7" t="n">
        <v>162000</v>
      </c>
      <c r="F20" s="7" t="n">
        <v>8500</v>
      </c>
      <c r="G20" s="7" t="n">
        <v>75</v>
      </c>
      <c r="H20" s="8" t="n">
        <v>0.005</v>
      </c>
      <c r="I20" s="7" t="n">
        <v>14000</v>
      </c>
      <c r="J20" s="9">
        <f>IFERROR(E20/G20,0)</f>
        <v/>
      </c>
      <c r="K20" s="10">
        <f>IFERROR(E20/F20,0)</f>
        <v/>
      </c>
      <c r="L20" s="10">
        <f>J20*H20</f>
        <v/>
      </c>
      <c r="M20" s="11">
        <f>K20-L20</f>
        <v/>
      </c>
      <c r="N20" s="12">
        <f>K20*I20</f>
        <v/>
      </c>
      <c r="O20" s="13">
        <f>IFERROR(N20/E20,0)</f>
        <v/>
      </c>
    </row>
    <row r="21">
      <c r="A21" s="4" t="n">
        <v>46205</v>
      </c>
      <c r="B21" s="5" t="inlineStr">
        <is>
          <t>メタアカウント</t>
        </is>
      </c>
      <c r="C21" s="5" t="inlineStr">
        <is>
          <t>スーツケース（カタログ）</t>
        </is>
      </c>
      <c r="D21" s="6" t="inlineStr">
        <is>
          <t>自社サイト</t>
        </is>
      </c>
      <c r="E21" s="7" t="n">
        <v>108000</v>
      </c>
      <c r="F21" s="7" t="n">
        <v>7200</v>
      </c>
      <c r="G21" s="7" t="n">
        <v>58</v>
      </c>
      <c r="H21" s="8" t="n">
        <v>0.011</v>
      </c>
      <c r="I21" s="7" t="n">
        <v>15000</v>
      </c>
      <c r="J21" s="9">
        <f>IFERROR(E21/G21,0)</f>
        <v/>
      </c>
      <c r="K21" s="10">
        <f>IFERROR(E21/F21,0)</f>
        <v/>
      </c>
      <c r="L21" s="10">
        <f>J21*H21</f>
        <v/>
      </c>
      <c r="M21" s="11">
        <f>K21-L21</f>
        <v/>
      </c>
      <c r="N21" s="12">
        <f>K21*I21</f>
        <v/>
      </c>
      <c r="O21" s="13">
        <f>IFERROR(N21/E21,0)</f>
        <v/>
      </c>
    </row>
    <row r="22">
      <c r="A22" s="4" t="n">
        <v>46205</v>
      </c>
      <c r="B22" s="5" t="inlineStr">
        <is>
          <t>ハンディファンアカウント</t>
        </is>
      </c>
      <c r="C22" s="5" t="inlineStr">
        <is>
          <t>ガジェティ</t>
        </is>
      </c>
      <c r="D22" s="6" t="inlineStr">
        <is>
          <t>Amazon</t>
        </is>
      </c>
      <c r="E22" s="7" t="n">
        <v>162000</v>
      </c>
      <c r="F22" s="7" t="n">
        <v>1500</v>
      </c>
      <c r="G22" s="7" t="n">
        <v>40</v>
      </c>
      <c r="H22" s="8" t="n">
        <v>0.02</v>
      </c>
      <c r="I22" s="7" t="n">
        <v>3200</v>
      </c>
      <c r="J22" s="9">
        <f>IFERROR(E22/G22,0)</f>
        <v/>
      </c>
      <c r="K22" s="10">
        <f>IFERROR(E22/F22,0)</f>
        <v/>
      </c>
      <c r="L22" s="10">
        <f>J22*H22</f>
        <v/>
      </c>
      <c r="M22" s="11">
        <f>K22-L22</f>
        <v/>
      </c>
      <c r="N22" s="12">
        <f>K22*I22</f>
        <v/>
      </c>
      <c r="O22" s="13">
        <f>IFERROR(N22/E22,0)</f>
        <v/>
      </c>
    </row>
    <row r="23">
      <c r="A23" s="4" t="n">
        <v>46205</v>
      </c>
      <c r="B23" s="5" t="inlineStr">
        <is>
          <t>ハンディファンアカウント</t>
        </is>
      </c>
      <c r="C23" s="5" t="inlineStr">
        <is>
          <t>ガジェティ</t>
        </is>
      </c>
      <c r="D23" s="6" t="inlineStr">
        <is>
          <t>楽天</t>
        </is>
      </c>
      <c r="E23" s="7" t="n">
        <v>135000</v>
      </c>
      <c r="F23" s="7" t="n">
        <v>1800</v>
      </c>
      <c r="G23" s="7" t="n">
        <v>45</v>
      </c>
      <c r="H23" s="8" t="n">
        <v>0.015</v>
      </c>
      <c r="I23" s="7" t="n">
        <v>3200</v>
      </c>
      <c r="J23" s="9">
        <f>IFERROR(E23/G23,0)</f>
        <v/>
      </c>
      <c r="K23" s="10">
        <f>IFERROR(E23/F23,0)</f>
        <v/>
      </c>
      <c r="L23" s="10">
        <f>J23*H23</f>
        <v/>
      </c>
      <c r="M23" s="11">
        <f>K23-L23</f>
        <v/>
      </c>
      <c r="N23" s="12">
        <f>K23*I23</f>
        <v/>
      </c>
      <c r="O23" s="13">
        <f>IFERROR(N23/E23,0)</f>
        <v/>
      </c>
    </row>
    <row r="24">
      <c r="A24" s="4" t="n">
        <v>46205</v>
      </c>
      <c r="B24" s="5" t="inlineStr">
        <is>
          <t>ハンディファンアカウント</t>
        </is>
      </c>
      <c r="C24" s="5" t="inlineStr">
        <is>
          <t>ガジェティ</t>
        </is>
      </c>
      <c r="D24" s="6" t="inlineStr">
        <is>
          <t>自社サイト</t>
        </is>
      </c>
      <c r="E24" s="7" t="n">
        <v>81000</v>
      </c>
      <c r="F24" s="7" t="n">
        <v>1600</v>
      </c>
      <c r="G24" s="7" t="n">
        <v>38</v>
      </c>
      <c r="H24" s="8" t="n">
        <v>0.022</v>
      </c>
      <c r="I24" s="7" t="n">
        <v>3500</v>
      </c>
      <c r="J24" s="9">
        <f>IFERROR(E24/G24,0)</f>
        <v/>
      </c>
      <c r="K24" s="10">
        <f>IFERROR(E24/F24,0)</f>
        <v/>
      </c>
      <c r="L24" s="10">
        <f>J24*H24</f>
        <v/>
      </c>
      <c r="M24" s="11">
        <f>K24-L24</f>
        <v/>
      </c>
      <c r="N24" s="12">
        <f>K24*I24</f>
        <v/>
      </c>
      <c r="O24" s="13">
        <f>IFERROR(N24/E24,0)</f>
        <v/>
      </c>
    </row>
    <row r="25">
      <c r="A25" s="4" t="n">
        <v>46205</v>
      </c>
      <c r="B25" s="5" t="inlineStr">
        <is>
          <t>ツヤリスアカウント</t>
        </is>
      </c>
      <c r="C25" s="5" t="inlineStr">
        <is>
          <t>ツヤリス</t>
        </is>
      </c>
      <c r="D25" s="6" t="inlineStr">
        <is>
          <t>Amazon</t>
        </is>
      </c>
      <c r="E25" s="7" t="n">
        <v>144000</v>
      </c>
      <c r="F25" s="7" t="n">
        <v>2200</v>
      </c>
      <c r="G25" s="7" t="n">
        <v>45</v>
      </c>
      <c r="H25" s="8" t="n">
        <v>0.018</v>
      </c>
      <c r="I25" s="7" t="n">
        <v>4200</v>
      </c>
      <c r="J25" s="9">
        <f>IFERROR(E25/G25,0)</f>
        <v/>
      </c>
      <c r="K25" s="10">
        <f>IFERROR(E25/F25,0)</f>
        <v/>
      </c>
      <c r="L25" s="10">
        <f>J25*H25</f>
        <v/>
      </c>
      <c r="M25" s="11">
        <f>K25-L25</f>
        <v/>
      </c>
      <c r="N25" s="12">
        <f>K25*I25</f>
        <v/>
      </c>
      <c r="O25" s="13">
        <f>IFERROR(N25/E25,0)</f>
        <v/>
      </c>
    </row>
    <row r="26">
      <c r="A26" s="4" t="n">
        <v>46205</v>
      </c>
      <c r="B26" s="5" t="inlineStr">
        <is>
          <t>ツヤリスアカウント</t>
        </is>
      </c>
      <c r="C26" s="5" t="inlineStr">
        <is>
          <t>ツヤリス</t>
        </is>
      </c>
      <c r="D26" s="6" t="inlineStr">
        <is>
          <t>楽天</t>
        </is>
      </c>
      <c r="E26" s="7" t="n">
        <v>126000</v>
      </c>
      <c r="F26" s="7" t="n">
        <v>2600</v>
      </c>
      <c r="G26" s="7" t="n">
        <v>50</v>
      </c>
      <c r="H26" s="8" t="n">
        <v>0.012</v>
      </c>
      <c r="I26" s="7" t="n">
        <v>4200</v>
      </c>
      <c r="J26" s="9">
        <f>IFERROR(E26/G26,0)</f>
        <v/>
      </c>
      <c r="K26" s="10">
        <f>IFERROR(E26/F26,0)</f>
        <v/>
      </c>
      <c r="L26" s="10">
        <f>J26*H26</f>
        <v/>
      </c>
      <c r="M26" s="11">
        <f>K26-L26</f>
        <v/>
      </c>
      <c r="N26" s="12">
        <f>K26*I26</f>
        <v/>
      </c>
      <c r="O26" s="13">
        <f>IFERROR(N26/E26,0)</f>
        <v/>
      </c>
    </row>
    <row r="27">
      <c r="A27" s="4" t="n">
        <v>46205</v>
      </c>
      <c r="B27" s="5" t="inlineStr">
        <is>
          <t>ツヤリスアカウント</t>
        </is>
      </c>
      <c r="C27" s="5" t="inlineStr">
        <is>
          <t>ツヤリス</t>
        </is>
      </c>
      <c r="D27" s="6" t="inlineStr">
        <is>
          <t>自社サイト</t>
        </is>
      </c>
      <c r="E27" s="7" t="n">
        <v>90000</v>
      </c>
      <c r="F27" s="7" t="n">
        <v>2400</v>
      </c>
      <c r="G27" s="7" t="n">
        <v>42</v>
      </c>
      <c r="H27" s="8" t="n">
        <v>0.02</v>
      </c>
      <c r="I27" s="7" t="n">
        <v>4500</v>
      </c>
      <c r="J27" s="9">
        <f>IFERROR(E27/G27,0)</f>
        <v/>
      </c>
      <c r="K27" s="10">
        <f>IFERROR(E27/F27,0)</f>
        <v/>
      </c>
      <c r="L27" s="10">
        <f>J27*H27</f>
        <v/>
      </c>
      <c r="M27" s="11">
        <f>K27-L27</f>
        <v/>
      </c>
      <c r="N27" s="12">
        <f>K27*I27</f>
        <v/>
      </c>
      <c r="O27" s="13">
        <f>IFERROR(N27/E27,0)</f>
        <v/>
      </c>
    </row>
    <row r="28">
      <c r="A28" s="4" t="n">
        <v>46208</v>
      </c>
      <c r="B28" s="5" t="inlineStr">
        <is>
          <t>メタアカウント</t>
        </is>
      </c>
      <c r="C28" s="5" t="inlineStr">
        <is>
          <t>スーツケース（トラベル）</t>
        </is>
      </c>
      <c r="D28" s="6" t="inlineStr">
        <is>
          <t>Amazon</t>
        </is>
      </c>
      <c r="E28" s="7" t="n">
        <v>420000</v>
      </c>
      <c r="F28" s="7" t="n">
        <v>6000</v>
      </c>
      <c r="G28" s="7" t="n">
        <v>60</v>
      </c>
      <c r="H28" s="8" t="n">
        <v>0.01</v>
      </c>
      <c r="I28" s="7" t="n">
        <v>15000</v>
      </c>
      <c r="J28" s="9">
        <f>IFERROR(E28/G28,0)</f>
        <v/>
      </c>
      <c r="K28" s="10">
        <f>IFERROR(E28/F28,0)</f>
        <v/>
      </c>
      <c r="L28" s="10">
        <f>J28*H28</f>
        <v/>
      </c>
      <c r="M28" s="11">
        <f>K28-L28</f>
        <v/>
      </c>
      <c r="N28" s="12">
        <f>K28*I28</f>
        <v/>
      </c>
      <c r="O28" s="13">
        <f>IFERROR(N28/E28,0)</f>
        <v/>
      </c>
    </row>
    <row r="29">
      <c r="A29" s="4" t="n">
        <v>46208</v>
      </c>
      <c r="B29" s="5" t="inlineStr">
        <is>
          <t>メタアカウント</t>
        </is>
      </c>
      <c r="C29" s="5" t="inlineStr">
        <is>
          <t>スーツケース（トラベル）</t>
        </is>
      </c>
      <c r="D29" s="6" t="inlineStr">
        <is>
          <t>楽天</t>
        </is>
      </c>
      <c r="E29" s="7" t="n">
        <v>350000</v>
      </c>
      <c r="F29" s="7" t="n">
        <v>8000</v>
      </c>
      <c r="G29" s="7" t="n">
        <v>70</v>
      </c>
      <c r="H29" s="8" t="n">
        <v>0.006</v>
      </c>
      <c r="I29" s="7" t="n">
        <v>15000</v>
      </c>
      <c r="J29" s="9">
        <f>IFERROR(E29/G29,0)</f>
        <v/>
      </c>
      <c r="K29" s="10">
        <f>IFERROR(E29/F29,0)</f>
        <v/>
      </c>
      <c r="L29" s="10">
        <f>J29*H29</f>
        <v/>
      </c>
      <c r="M29" s="11">
        <f>K29-L29</f>
        <v/>
      </c>
      <c r="N29" s="12">
        <f>K29*I29</f>
        <v/>
      </c>
      <c r="O29" s="13">
        <f>IFERROR(N29/E29,0)</f>
        <v/>
      </c>
    </row>
    <row r="30">
      <c r="A30" s="4" t="n">
        <v>46208</v>
      </c>
      <c r="B30" s="5" t="inlineStr">
        <is>
          <t>メタアカウント</t>
        </is>
      </c>
      <c r="C30" s="5" t="inlineStr">
        <is>
          <t>スーツケース（トラベル）</t>
        </is>
      </c>
      <c r="D30" s="6" t="inlineStr">
        <is>
          <t>自社サイト</t>
        </is>
      </c>
      <c r="E30" s="7" t="n">
        <v>210000</v>
      </c>
      <c r="F30" s="7" t="n">
        <v>7000</v>
      </c>
      <c r="G30" s="7" t="n">
        <v>55</v>
      </c>
      <c r="H30" s="8" t="n">
        <v>0.012</v>
      </c>
      <c r="I30" s="7" t="n">
        <v>16000</v>
      </c>
      <c r="J30" s="9">
        <f>IFERROR(E30/G30,0)</f>
        <v/>
      </c>
      <c r="K30" s="10">
        <f>IFERROR(E30/F30,0)</f>
        <v/>
      </c>
      <c r="L30" s="10">
        <f>J30*H30</f>
        <v/>
      </c>
      <c r="M30" s="11">
        <f>K30-L30</f>
        <v/>
      </c>
      <c r="N30" s="12">
        <f>K30*I30</f>
        <v/>
      </c>
      <c r="O30" s="13">
        <f>IFERROR(N30/E30,0)</f>
        <v/>
      </c>
    </row>
    <row r="31">
      <c r="A31" s="4" t="n">
        <v>46208</v>
      </c>
      <c r="B31" s="5" t="inlineStr">
        <is>
          <t>メタアカウント</t>
        </is>
      </c>
      <c r="C31" s="5" t="inlineStr">
        <is>
          <t>スーツケース（カタログ）</t>
        </is>
      </c>
      <c r="D31" s="6" t="inlineStr">
        <is>
          <t>Amazon</t>
        </is>
      </c>
      <c r="E31" s="7" t="n">
        <v>280000</v>
      </c>
      <c r="F31" s="7" t="n">
        <v>6500</v>
      </c>
      <c r="G31" s="7" t="n">
        <v>65</v>
      </c>
      <c r="H31" s="8" t="n">
        <v>0.008999999999999999</v>
      </c>
      <c r="I31" s="7" t="n">
        <v>14000</v>
      </c>
      <c r="J31" s="9">
        <f>IFERROR(E31/G31,0)</f>
        <v/>
      </c>
      <c r="K31" s="10">
        <f>IFERROR(E31/F31,0)</f>
        <v/>
      </c>
      <c r="L31" s="10">
        <f>J31*H31</f>
        <v/>
      </c>
      <c r="M31" s="11">
        <f>K31-L31</f>
        <v/>
      </c>
      <c r="N31" s="12">
        <f>K31*I31</f>
        <v/>
      </c>
      <c r="O31" s="13">
        <f>IFERROR(N31/E31,0)</f>
        <v/>
      </c>
    </row>
    <row r="32">
      <c r="A32" s="4" t="n">
        <v>46208</v>
      </c>
      <c r="B32" s="5" t="inlineStr">
        <is>
          <t>メタアカウント</t>
        </is>
      </c>
      <c r="C32" s="5" t="inlineStr">
        <is>
          <t>スーツケース（カタログ）</t>
        </is>
      </c>
      <c r="D32" s="6" t="inlineStr">
        <is>
          <t>楽天</t>
        </is>
      </c>
      <c r="E32" s="7" t="n">
        <v>252000</v>
      </c>
      <c r="F32" s="7" t="n">
        <v>8500</v>
      </c>
      <c r="G32" s="7" t="n">
        <v>75</v>
      </c>
      <c r="H32" s="8" t="n">
        <v>0.005</v>
      </c>
      <c r="I32" s="7" t="n">
        <v>14000</v>
      </c>
      <c r="J32" s="9">
        <f>IFERROR(E32/G32,0)</f>
        <v/>
      </c>
      <c r="K32" s="10">
        <f>IFERROR(E32/F32,0)</f>
        <v/>
      </c>
      <c r="L32" s="10">
        <f>J32*H32</f>
        <v/>
      </c>
      <c r="M32" s="11">
        <f>K32-L32</f>
        <v/>
      </c>
      <c r="N32" s="12">
        <f>K32*I32</f>
        <v/>
      </c>
      <c r="O32" s="13">
        <f>IFERROR(N32/E32,0)</f>
        <v/>
      </c>
    </row>
    <row r="33">
      <c r="A33" s="4" t="n">
        <v>46208</v>
      </c>
      <c r="B33" s="5" t="inlineStr">
        <is>
          <t>メタアカウント</t>
        </is>
      </c>
      <c r="C33" s="5" t="inlineStr">
        <is>
          <t>スーツケース（カタログ）</t>
        </is>
      </c>
      <c r="D33" s="6" t="inlineStr">
        <is>
          <t>自社サイト</t>
        </is>
      </c>
      <c r="E33" s="7" t="n">
        <v>168000</v>
      </c>
      <c r="F33" s="7" t="n">
        <v>7200</v>
      </c>
      <c r="G33" s="7" t="n">
        <v>58</v>
      </c>
      <c r="H33" s="8" t="n">
        <v>0.011</v>
      </c>
      <c r="I33" s="7" t="n">
        <v>15000</v>
      </c>
      <c r="J33" s="9">
        <f>IFERROR(E33/G33,0)</f>
        <v/>
      </c>
      <c r="K33" s="10">
        <f>IFERROR(E33/F33,0)</f>
        <v/>
      </c>
      <c r="L33" s="10">
        <f>J33*H33</f>
        <v/>
      </c>
      <c r="M33" s="11">
        <f>K33-L33</f>
        <v/>
      </c>
      <c r="N33" s="12">
        <f>K33*I33</f>
        <v/>
      </c>
      <c r="O33" s="13">
        <f>IFERROR(N33/E33,0)</f>
        <v/>
      </c>
    </row>
    <row r="34">
      <c r="A34" s="4" t="n">
        <v>46208</v>
      </c>
      <c r="B34" s="5" t="inlineStr">
        <is>
          <t>ハンディファンアカウント</t>
        </is>
      </c>
      <c r="C34" s="5" t="inlineStr">
        <is>
          <t>ガジェティ</t>
        </is>
      </c>
      <c r="D34" s="6" t="inlineStr">
        <is>
          <t>Amazon</t>
        </is>
      </c>
      <c r="E34" s="7" t="n">
        <v>252000</v>
      </c>
      <c r="F34" s="7" t="n">
        <v>1500</v>
      </c>
      <c r="G34" s="7" t="n">
        <v>40</v>
      </c>
      <c r="H34" s="8" t="n">
        <v>0.02</v>
      </c>
      <c r="I34" s="7" t="n">
        <v>3200</v>
      </c>
      <c r="J34" s="9">
        <f>IFERROR(E34/G34,0)</f>
        <v/>
      </c>
      <c r="K34" s="10">
        <f>IFERROR(E34/F34,0)</f>
        <v/>
      </c>
      <c r="L34" s="10">
        <f>J34*H34</f>
        <v/>
      </c>
      <c r="M34" s="11">
        <f>K34-L34</f>
        <v/>
      </c>
      <c r="N34" s="12">
        <f>K34*I34</f>
        <v/>
      </c>
      <c r="O34" s="13">
        <f>IFERROR(N34/E34,0)</f>
        <v/>
      </c>
    </row>
    <row r="35">
      <c r="A35" s="4" t="n">
        <v>46208</v>
      </c>
      <c r="B35" s="5" t="inlineStr">
        <is>
          <t>ハンディファンアカウント</t>
        </is>
      </c>
      <c r="C35" s="5" t="inlineStr">
        <is>
          <t>ガジェティ</t>
        </is>
      </c>
      <c r="D35" s="6" t="inlineStr">
        <is>
          <t>楽天</t>
        </is>
      </c>
      <c r="E35" s="7" t="n">
        <v>210000</v>
      </c>
      <c r="F35" s="7" t="n">
        <v>1800</v>
      </c>
      <c r="G35" s="7" t="n">
        <v>45</v>
      </c>
      <c r="H35" s="8" t="n">
        <v>0.015</v>
      </c>
      <c r="I35" s="7" t="n">
        <v>3200</v>
      </c>
      <c r="J35" s="9">
        <f>IFERROR(E35/G35,0)</f>
        <v/>
      </c>
      <c r="K35" s="10">
        <f>IFERROR(E35/F35,0)</f>
        <v/>
      </c>
      <c r="L35" s="10">
        <f>J35*H35</f>
        <v/>
      </c>
      <c r="M35" s="11">
        <f>K35-L35</f>
        <v/>
      </c>
      <c r="N35" s="12">
        <f>K35*I35</f>
        <v/>
      </c>
      <c r="O35" s="13">
        <f>IFERROR(N35/E35,0)</f>
        <v/>
      </c>
    </row>
    <row r="36">
      <c r="A36" s="4" t="n">
        <v>46208</v>
      </c>
      <c r="B36" s="5" t="inlineStr">
        <is>
          <t>ハンディファンアカウント</t>
        </is>
      </c>
      <c r="C36" s="5" t="inlineStr">
        <is>
          <t>ガジェティ</t>
        </is>
      </c>
      <c r="D36" s="6" t="inlineStr">
        <is>
          <t>自社サイト</t>
        </is>
      </c>
      <c r="E36" s="7" t="n">
        <v>126000</v>
      </c>
      <c r="F36" s="7" t="n">
        <v>1600</v>
      </c>
      <c r="G36" s="7" t="n">
        <v>38</v>
      </c>
      <c r="H36" s="8" t="n">
        <v>0.022</v>
      </c>
      <c r="I36" s="7" t="n">
        <v>3500</v>
      </c>
      <c r="J36" s="9">
        <f>IFERROR(E36/G36,0)</f>
        <v/>
      </c>
      <c r="K36" s="10">
        <f>IFERROR(E36/F36,0)</f>
        <v/>
      </c>
      <c r="L36" s="10">
        <f>J36*H36</f>
        <v/>
      </c>
      <c r="M36" s="11">
        <f>K36-L36</f>
        <v/>
      </c>
      <c r="N36" s="12">
        <f>K36*I36</f>
        <v/>
      </c>
      <c r="O36" s="13">
        <f>IFERROR(N36/E36,0)</f>
        <v/>
      </c>
    </row>
    <row r="37">
      <c r="A37" s="4" t="n">
        <v>46208</v>
      </c>
      <c r="B37" s="5" t="inlineStr">
        <is>
          <t>ツヤリスアカウント</t>
        </is>
      </c>
      <c r="C37" s="5" t="inlineStr">
        <is>
          <t>ツヤリス</t>
        </is>
      </c>
      <c r="D37" s="6" t="inlineStr">
        <is>
          <t>Amazon</t>
        </is>
      </c>
      <c r="E37" s="7" t="n">
        <v>224000</v>
      </c>
      <c r="F37" s="7" t="n">
        <v>2200</v>
      </c>
      <c r="G37" s="7" t="n">
        <v>45</v>
      </c>
      <c r="H37" s="8" t="n">
        <v>0.018</v>
      </c>
      <c r="I37" s="7" t="n">
        <v>4200</v>
      </c>
      <c r="J37" s="9">
        <f>IFERROR(E37/G37,0)</f>
        <v/>
      </c>
      <c r="K37" s="10">
        <f>IFERROR(E37/F37,0)</f>
        <v/>
      </c>
      <c r="L37" s="10">
        <f>J37*H37</f>
        <v/>
      </c>
      <c r="M37" s="11">
        <f>K37-L37</f>
        <v/>
      </c>
      <c r="N37" s="12">
        <f>K37*I37</f>
        <v/>
      </c>
      <c r="O37" s="13">
        <f>IFERROR(N37/E37,0)</f>
        <v/>
      </c>
    </row>
    <row r="38">
      <c r="A38" s="4" t="n">
        <v>46208</v>
      </c>
      <c r="B38" s="5" t="inlineStr">
        <is>
          <t>ツヤリスアカウント</t>
        </is>
      </c>
      <c r="C38" s="5" t="inlineStr">
        <is>
          <t>ツヤリス</t>
        </is>
      </c>
      <c r="D38" s="6" t="inlineStr">
        <is>
          <t>楽天</t>
        </is>
      </c>
      <c r="E38" s="7" t="n">
        <v>196000</v>
      </c>
      <c r="F38" s="7" t="n">
        <v>2600</v>
      </c>
      <c r="G38" s="7" t="n">
        <v>50</v>
      </c>
      <c r="H38" s="8" t="n">
        <v>0.012</v>
      </c>
      <c r="I38" s="7" t="n">
        <v>4200</v>
      </c>
      <c r="J38" s="9">
        <f>IFERROR(E38/G38,0)</f>
        <v/>
      </c>
      <c r="K38" s="10">
        <f>IFERROR(E38/F38,0)</f>
        <v/>
      </c>
      <c r="L38" s="10">
        <f>J38*H38</f>
        <v/>
      </c>
      <c r="M38" s="11">
        <f>K38-L38</f>
        <v/>
      </c>
      <c r="N38" s="12">
        <f>K38*I38</f>
        <v/>
      </c>
      <c r="O38" s="13">
        <f>IFERROR(N38/E38,0)</f>
        <v/>
      </c>
    </row>
    <row r="39">
      <c r="A39" s="4" t="n">
        <v>46208</v>
      </c>
      <c r="B39" s="5" t="inlineStr">
        <is>
          <t>ツヤリスアカウント</t>
        </is>
      </c>
      <c r="C39" s="5" t="inlineStr">
        <is>
          <t>ツヤリス</t>
        </is>
      </c>
      <c r="D39" s="6" t="inlineStr">
        <is>
          <t>自社サイト</t>
        </is>
      </c>
      <c r="E39" s="7" t="n">
        <v>140000</v>
      </c>
      <c r="F39" s="7" t="n">
        <v>2400</v>
      </c>
      <c r="G39" s="7" t="n">
        <v>42</v>
      </c>
      <c r="H39" s="8" t="n">
        <v>0.02</v>
      </c>
      <c r="I39" s="7" t="n">
        <v>4500</v>
      </c>
      <c r="J39" s="9">
        <f>IFERROR(E39/G39,0)</f>
        <v/>
      </c>
      <c r="K39" s="10">
        <f>IFERROR(E39/F39,0)</f>
        <v/>
      </c>
      <c r="L39" s="10">
        <f>J39*H39</f>
        <v/>
      </c>
      <c r="M39" s="11">
        <f>K39-L39</f>
        <v/>
      </c>
      <c r="N39" s="12">
        <f>K39*I39</f>
        <v/>
      </c>
      <c r="O39" s="13">
        <f>IFERROR(N39/E39,0)</f>
        <v/>
      </c>
    </row>
    <row r="40">
      <c r="A40" s="4" t="n"/>
      <c r="B40" s="5" t="n"/>
      <c r="C40" s="5" t="n"/>
      <c r="D40" s="6" t="n"/>
      <c r="E40" s="7" t="n"/>
      <c r="F40" s="7" t="n"/>
      <c r="G40" s="7" t="n"/>
      <c r="H40" s="8" t="n"/>
      <c r="I40" s="7" t="n"/>
      <c r="J40" s="9">
        <f>IFERROR(E40/G40,0)</f>
        <v/>
      </c>
      <c r="K40" s="10">
        <f>IFERROR(E40/F40,0)</f>
        <v/>
      </c>
      <c r="L40" s="10">
        <f>J40*H40</f>
        <v/>
      </c>
      <c r="M40" s="11">
        <f>K40-L40</f>
        <v/>
      </c>
      <c r="N40" s="12">
        <f>K40*I40</f>
        <v/>
      </c>
      <c r="O40" s="13">
        <f>IFERROR(N40/E40,0)</f>
        <v/>
      </c>
    </row>
    <row r="41">
      <c r="A41" s="4" t="n"/>
      <c r="B41" s="5" t="n"/>
      <c r="C41" s="5" t="n"/>
      <c r="D41" s="6" t="n"/>
      <c r="E41" s="7" t="n"/>
      <c r="F41" s="7" t="n"/>
      <c r="G41" s="7" t="n"/>
      <c r="H41" s="8" t="n"/>
      <c r="I41" s="7" t="n"/>
      <c r="J41" s="9">
        <f>IFERROR(E41/G41,0)</f>
        <v/>
      </c>
      <c r="K41" s="10">
        <f>IFERROR(E41/F41,0)</f>
        <v/>
      </c>
      <c r="L41" s="10">
        <f>J41*H41</f>
        <v/>
      </c>
      <c r="M41" s="11">
        <f>K41-L41</f>
        <v/>
      </c>
      <c r="N41" s="12">
        <f>K41*I41</f>
        <v/>
      </c>
      <c r="O41" s="13">
        <f>IFERROR(N41/E41,0)</f>
        <v/>
      </c>
    </row>
    <row r="42">
      <c r="A42" s="4" t="n"/>
      <c r="B42" s="5" t="n"/>
      <c r="C42" s="5" t="n"/>
      <c r="D42" s="6" t="n"/>
      <c r="E42" s="7" t="n"/>
      <c r="F42" s="7" t="n"/>
      <c r="G42" s="7" t="n"/>
      <c r="H42" s="8" t="n"/>
      <c r="I42" s="7" t="n"/>
      <c r="J42" s="9">
        <f>IFERROR(E42/G42,0)</f>
        <v/>
      </c>
      <c r="K42" s="10">
        <f>IFERROR(E42/F42,0)</f>
        <v/>
      </c>
      <c r="L42" s="10">
        <f>J42*H42</f>
        <v/>
      </c>
      <c r="M42" s="11">
        <f>K42-L42</f>
        <v/>
      </c>
      <c r="N42" s="12">
        <f>K42*I42</f>
        <v/>
      </c>
      <c r="O42" s="13">
        <f>IFERROR(N42/E42,0)</f>
        <v/>
      </c>
    </row>
    <row r="43">
      <c r="A43" s="4" t="n"/>
      <c r="B43" s="5" t="n"/>
      <c r="C43" s="5" t="n"/>
      <c r="D43" s="6" t="n"/>
      <c r="E43" s="7" t="n"/>
      <c r="F43" s="7" t="n"/>
      <c r="G43" s="7" t="n"/>
      <c r="H43" s="8" t="n"/>
      <c r="I43" s="7" t="n"/>
      <c r="J43" s="9">
        <f>IFERROR(E43/G43,0)</f>
        <v/>
      </c>
      <c r="K43" s="10">
        <f>IFERROR(E43/F43,0)</f>
        <v/>
      </c>
      <c r="L43" s="10">
        <f>J43*H43</f>
        <v/>
      </c>
      <c r="M43" s="11">
        <f>K43-L43</f>
        <v/>
      </c>
      <c r="N43" s="12">
        <f>K43*I43</f>
        <v/>
      </c>
      <c r="O43" s="13">
        <f>IFERROR(N43/E43,0)</f>
        <v/>
      </c>
    </row>
    <row r="44">
      <c r="A44" s="4" t="n"/>
      <c r="B44" s="5" t="n"/>
      <c r="C44" s="5" t="n"/>
      <c r="D44" s="6" t="n"/>
      <c r="E44" s="7" t="n"/>
      <c r="F44" s="7" t="n"/>
      <c r="G44" s="7" t="n"/>
      <c r="H44" s="8" t="n"/>
      <c r="I44" s="7" t="n"/>
      <c r="J44" s="9">
        <f>IFERROR(E44/G44,0)</f>
        <v/>
      </c>
      <c r="K44" s="10">
        <f>IFERROR(E44/F44,0)</f>
        <v/>
      </c>
      <c r="L44" s="10">
        <f>J44*H44</f>
        <v/>
      </c>
      <c r="M44" s="11">
        <f>K44-L44</f>
        <v/>
      </c>
      <c r="N44" s="12">
        <f>K44*I44</f>
        <v/>
      </c>
      <c r="O44" s="13">
        <f>IFERROR(N44/E44,0)</f>
        <v/>
      </c>
    </row>
    <row r="45">
      <c r="A45" s="4" t="n"/>
      <c r="B45" s="5" t="n"/>
      <c r="C45" s="5" t="n"/>
      <c r="D45" s="6" t="n"/>
      <c r="E45" s="7" t="n"/>
      <c r="F45" s="7" t="n"/>
      <c r="G45" s="7" t="n"/>
      <c r="H45" s="8" t="n"/>
      <c r="I45" s="7" t="n"/>
      <c r="J45" s="9">
        <f>IFERROR(E45/G45,0)</f>
        <v/>
      </c>
      <c r="K45" s="10">
        <f>IFERROR(E45/F45,0)</f>
        <v/>
      </c>
      <c r="L45" s="10">
        <f>J45*H45</f>
        <v/>
      </c>
      <c r="M45" s="11">
        <f>K45-L45</f>
        <v/>
      </c>
      <c r="N45" s="12">
        <f>K45*I45</f>
        <v/>
      </c>
      <c r="O45" s="13">
        <f>IFERROR(N45/E45,0)</f>
        <v/>
      </c>
    </row>
    <row r="46">
      <c r="A46" s="4" t="n"/>
      <c r="B46" s="5" t="n"/>
      <c r="C46" s="5" t="n"/>
      <c r="D46" s="6" t="n"/>
      <c r="E46" s="7" t="n"/>
      <c r="F46" s="7" t="n"/>
      <c r="G46" s="7" t="n"/>
      <c r="H46" s="8" t="n"/>
      <c r="I46" s="7" t="n"/>
      <c r="J46" s="9">
        <f>IFERROR(E46/G46,0)</f>
        <v/>
      </c>
      <c r="K46" s="10">
        <f>IFERROR(E46/F46,0)</f>
        <v/>
      </c>
      <c r="L46" s="10">
        <f>J46*H46</f>
        <v/>
      </c>
      <c r="M46" s="11">
        <f>K46-L46</f>
        <v/>
      </c>
      <c r="N46" s="12">
        <f>K46*I46</f>
        <v/>
      </c>
      <c r="O46" s="13">
        <f>IFERROR(N46/E46,0)</f>
        <v/>
      </c>
    </row>
    <row r="47">
      <c r="A47" s="4" t="n"/>
      <c r="B47" s="5" t="n"/>
      <c r="C47" s="5" t="n"/>
      <c r="D47" s="6" t="n"/>
      <c r="E47" s="7" t="n"/>
      <c r="F47" s="7" t="n"/>
      <c r="G47" s="7" t="n"/>
      <c r="H47" s="8" t="n"/>
      <c r="I47" s="7" t="n"/>
      <c r="J47" s="9">
        <f>IFERROR(E47/G47,0)</f>
        <v/>
      </c>
      <c r="K47" s="10">
        <f>IFERROR(E47/F47,0)</f>
        <v/>
      </c>
      <c r="L47" s="10">
        <f>J47*H47</f>
        <v/>
      </c>
      <c r="M47" s="11">
        <f>K47-L47</f>
        <v/>
      </c>
      <c r="N47" s="12">
        <f>K47*I47</f>
        <v/>
      </c>
      <c r="O47" s="13">
        <f>IFERROR(N47/E47,0)</f>
        <v/>
      </c>
    </row>
    <row r="48">
      <c r="A48" s="4" t="n"/>
      <c r="B48" s="5" t="n"/>
      <c r="C48" s="5" t="n"/>
      <c r="D48" s="6" t="n"/>
      <c r="E48" s="7" t="n"/>
      <c r="F48" s="7" t="n"/>
      <c r="G48" s="7" t="n"/>
      <c r="H48" s="8" t="n"/>
      <c r="I48" s="7" t="n"/>
      <c r="J48" s="9">
        <f>IFERROR(E48/G48,0)</f>
        <v/>
      </c>
      <c r="K48" s="10">
        <f>IFERROR(E48/F48,0)</f>
        <v/>
      </c>
      <c r="L48" s="10">
        <f>J48*H48</f>
        <v/>
      </c>
      <c r="M48" s="11">
        <f>K48-L48</f>
        <v/>
      </c>
      <c r="N48" s="12">
        <f>K48*I48</f>
        <v/>
      </c>
      <c r="O48" s="13">
        <f>IFERROR(N48/E48,0)</f>
        <v/>
      </c>
    </row>
    <row r="49">
      <c r="A49" s="4" t="n"/>
      <c r="B49" s="5" t="n"/>
      <c r="C49" s="5" t="n"/>
      <c r="D49" s="6" t="n"/>
      <c r="E49" s="7" t="n"/>
      <c r="F49" s="7" t="n"/>
      <c r="G49" s="7" t="n"/>
      <c r="H49" s="8" t="n"/>
      <c r="I49" s="7" t="n"/>
      <c r="J49" s="9">
        <f>IFERROR(E49/G49,0)</f>
        <v/>
      </c>
      <c r="K49" s="10">
        <f>IFERROR(E49/F49,0)</f>
        <v/>
      </c>
      <c r="L49" s="10">
        <f>J49*H49</f>
        <v/>
      </c>
      <c r="M49" s="11">
        <f>K49-L49</f>
        <v/>
      </c>
      <c r="N49" s="12">
        <f>K49*I49</f>
        <v/>
      </c>
      <c r="O49" s="13">
        <f>IFERROR(N49/E49,0)</f>
        <v/>
      </c>
    </row>
    <row r="50">
      <c r="A50" s="4" t="n"/>
      <c r="B50" s="5" t="n"/>
      <c r="C50" s="5" t="n"/>
      <c r="D50" s="6" t="n"/>
      <c r="E50" s="7" t="n"/>
      <c r="F50" s="7" t="n"/>
      <c r="G50" s="7" t="n"/>
      <c r="H50" s="8" t="n"/>
      <c r="I50" s="7" t="n"/>
      <c r="J50" s="9">
        <f>IFERROR(E50/G50,0)</f>
        <v/>
      </c>
      <c r="K50" s="10">
        <f>IFERROR(E50/F50,0)</f>
        <v/>
      </c>
      <c r="L50" s="10">
        <f>J50*H50</f>
        <v/>
      </c>
      <c r="M50" s="11">
        <f>K50-L50</f>
        <v/>
      </c>
      <c r="N50" s="12">
        <f>K50*I50</f>
        <v/>
      </c>
      <c r="O50" s="13">
        <f>IFERROR(N50/E50,0)</f>
        <v/>
      </c>
    </row>
    <row r="51">
      <c r="A51" s="4" t="n"/>
      <c r="B51" s="5" t="n"/>
      <c r="C51" s="5" t="n"/>
      <c r="D51" s="6" t="n"/>
      <c r="E51" s="7" t="n"/>
      <c r="F51" s="7" t="n"/>
      <c r="G51" s="7" t="n"/>
      <c r="H51" s="8" t="n"/>
      <c r="I51" s="7" t="n"/>
      <c r="J51" s="9">
        <f>IFERROR(E51/G51,0)</f>
        <v/>
      </c>
      <c r="K51" s="10">
        <f>IFERROR(E51/F51,0)</f>
        <v/>
      </c>
      <c r="L51" s="10">
        <f>J51*H51</f>
        <v/>
      </c>
      <c r="M51" s="11">
        <f>K51-L51</f>
        <v/>
      </c>
      <c r="N51" s="12">
        <f>K51*I51</f>
        <v/>
      </c>
      <c r="O51" s="13">
        <f>IFERROR(N51/E51,0)</f>
        <v/>
      </c>
    </row>
    <row r="52">
      <c r="A52" s="4" t="n"/>
      <c r="B52" s="5" t="n"/>
      <c r="C52" s="5" t="n"/>
      <c r="D52" s="6" t="n"/>
      <c r="E52" s="7" t="n"/>
      <c r="F52" s="7" t="n"/>
      <c r="G52" s="7" t="n"/>
      <c r="H52" s="8" t="n"/>
      <c r="I52" s="7" t="n"/>
      <c r="J52" s="9">
        <f>IFERROR(E52/G52,0)</f>
        <v/>
      </c>
      <c r="K52" s="10">
        <f>IFERROR(E52/F52,0)</f>
        <v/>
      </c>
      <c r="L52" s="10">
        <f>J52*H52</f>
        <v/>
      </c>
      <c r="M52" s="11">
        <f>K52-L52</f>
        <v/>
      </c>
      <c r="N52" s="12">
        <f>K52*I52</f>
        <v/>
      </c>
      <c r="O52" s="13">
        <f>IFERROR(N52/E52,0)</f>
        <v/>
      </c>
    </row>
    <row r="53">
      <c r="A53" s="4" t="n"/>
      <c r="B53" s="5" t="n"/>
      <c r="C53" s="5" t="n"/>
      <c r="D53" s="6" t="n"/>
      <c r="E53" s="7" t="n"/>
      <c r="F53" s="7" t="n"/>
      <c r="G53" s="7" t="n"/>
      <c r="H53" s="8" t="n"/>
      <c r="I53" s="7" t="n"/>
      <c r="J53" s="9">
        <f>IFERROR(E53/G53,0)</f>
        <v/>
      </c>
      <c r="K53" s="10">
        <f>IFERROR(E53/F53,0)</f>
        <v/>
      </c>
      <c r="L53" s="10">
        <f>J53*H53</f>
        <v/>
      </c>
      <c r="M53" s="11">
        <f>K53-L53</f>
        <v/>
      </c>
      <c r="N53" s="12">
        <f>K53*I53</f>
        <v/>
      </c>
      <c r="O53" s="13">
        <f>IFERROR(N53/E53,0)</f>
        <v/>
      </c>
    </row>
    <row r="54">
      <c r="A54" s="4" t="n"/>
      <c r="B54" s="5" t="n"/>
      <c r="C54" s="5" t="n"/>
      <c r="D54" s="6" t="n"/>
      <c r="E54" s="7" t="n"/>
      <c r="F54" s="7" t="n"/>
      <c r="G54" s="7" t="n"/>
      <c r="H54" s="8" t="n"/>
      <c r="I54" s="7" t="n"/>
      <c r="J54" s="9">
        <f>IFERROR(E54/G54,0)</f>
        <v/>
      </c>
      <c r="K54" s="10">
        <f>IFERROR(E54/F54,0)</f>
        <v/>
      </c>
      <c r="L54" s="10">
        <f>J54*H54</f>
        <v/>
      </c>
      <c r="M54" s="11">
        <f>K54-L54</f>
        <v/>
      </c>
      <c r="N54" s="12">
        <f>K54*I54</f>
        <v/>
      </c>
      <c r="O54" s="13">
        <f>IFERROR(N54/E54,0)</f>
        <v/>
      </c>
    </row>
    <row r="55">
      <c r="A55" s="4" t="n"/>
      <c r="B55" s="5" t="n"/>
      <c r="C55" s="5" t="n"/>
      <c r="D55" s="6" t="n"/>
      <c r="E55" s="7" t="n"/>
      <c r="F55" s="7" t="n"/>
      <c r="G55" s="7" t="n"/>
      <c r="H55" s="8" t="n"/>
      <c r="I55" s="7" t="n"/>
      <c r="J55" s="9">
        <f>IFERROR(E55/G55,0)</f>
        <v/>
      </c>
      <c r="K55" s="10">
        <f>IFERROR(E55/F55,0)</f>
        <v/>
      </c>
      <c r="L55" s="10">
        <f>J55*H55</f>
        <v/>
      </c>
      <c r="M55" s="11">
        <f>K55-L55</f>
        <v/>
      </c>
      <c r="N55" s="12">
        <f>K55*I55</f>
        <v/>
      </c>
      <c r="O55" s="13">
        <f>IFERROR(N55/E55,0)</f>
        <v/>
      </c>
    </row>
    <row r="56">
      <c r="A56" s="4" t="n"/>
      <c r="B56" s="5" t="n"/>
      <c r="C56" s="5" t="n"/>
      <c r="D56" s="6" t="n"/>
      <c r="E56" s="7" t="n"/>
      <c r="F56" s="7" t="n"/>
      <c r="G56" s="7" t="n"/>
      <c r="H56" s="8" t="n"/>
      <c r="I56" s="7" t="n"/>
      <c r="J56" s="9">
        <f>IFERROR(E56/G56,0)</f>
        <v/>
      </c>
      <c r="K56" s="10">
        <f>IFERROR(E56/F56,0)</f>
        <v/>
      </c>
      <c r="L56" s="10">
        <f>J56*H56</f>
        <v/>
      </c>
      <c r="M56" s="11">
        <f>K56-L56</f>
        <v/>
      </c>
      <c r="N56" s="12">
        <f>K56*I56</f>
        <v/>
      </c>
      <c r="O56" s="13">
        <f>IFERROR(N56/E56,0)</f>
        <v/>
      </c>
    </row>
    <row r="57">
      <c r="A57" s="4" t="n"/>
      <c r="B57" s="5" t="n"/>
      <c r="C57" s="5" t="n"/>
      <c r="D57" s="6" t="n"/>
      <c r="E57" s="7" t="n"/>
      <c r="F57" s="7" t="n"/>
      <c r="G57" s="7" t="n"/>
      <c r="H57" s="8" t="n"/>
      <c r="I57" s="7" t="n"/>
      <c r="J57" s="9">
        <f>IFERROR(E57/G57,0)</f>
        <v/>
      </c>
      <c r="K57" s="10">
        <f>IFERROR(E57/F57,0)</f>
        <v/>
      </c>
      <c r="L57" s="10">
        <f>J57*H57</f>
        <v/>
      </c>
      <c r="M57" s="11">
        <f>K57-L57</f>
        <v/>
      </c>
      <c r="N57" s="12">
        <f>K57*I57</f>
        <v/>
      </c>
      <c r="O57" s="13">
        <f>IFERROR(N57/E57,0)</f>
        <v/>
      </c>
    </row>
    <row r="58">
      <c r="A58" s="4" t="n"/>
      <c r="B58" s="5" t="n"/>
      <c r="C58" s="5" t="n"/>
      <c r="D58" s="6" t="n"/>
      <c r="E58" s="7" t="n"/>
      <c r="F58" s="7" t="n"/>
      <c r="G58" s="7" t="n"/>
      <c r="H58" s="8" t="n"/>
      <c r="I58" s="7" t="n"/>
      <c r="J58" s="9">
        <f>IFERROR(E58/G58,0)</f>
        <v/>
      </c>
      <c r="K58" s="10">
        <f>IFERROR(E58/F58,0)</f>
        <v/>
      </c>
      <c r="L58" s="10">
        <f>J58*H58</f>
        <v/>
      </c>
      <c r="M58" s="11">
        <f>K58-L58</f>
        <v/>
      </c>
      <c r="N58" s="12">
        <f>K58*I58</f>
        <v/>
      </c>
      <c r="O58" s="13">
        <f>IFERROR(N58/E58,0)</f>
        <v/>
      </c>
    </row>
    <row r="59">
      <c r="A59" s="4" t="n"/>
      <c r="B59" s="5" t="n"/>
      <c r="C59" s="5" t="n"/>
      <c r="D59" s="6" t="n"/>
      <c r="E59" s="7" t="n"/>
      <c r="F59" s="7" t="n"/>
      <c r="G59" s="7" t="n"/>
      <c r="H59" s="8" t="n"/>
      <c r="I59" s="7" t="n"/>
      <c r="J59" s="9">
        <f>IFERROR(E59/G59,0)</f>
        <v/>
      </c>
      <c r="K59" s="10">
        <f>IFERROR(E59/F59,0)</f>
        <v/>
      </c>
      <c r="L59" s="10">
        <f>J59*H59</f>
        <v/>
      </c>
      <c r="M59" s="11">
        <f>K59-L59</f>
        <v/>
      </c>
      <c r="N59" s="12">
        <f>K59*I59</f>
        <v/>
      </c>
      <c r="O59" s="13">
        <f>IFERROR(N59/E59,0)</f>
        <v/>
      </c>
    </row>
    <row r="60">
      <c r="A60" s="4" t="n"/>
      <c r="B60" s="5" t="n"/>
      <c r="C60" s="5" t="n"/>
      <c r="D60" s="6" t="n"/>
      <c r="E60" s="7" t="n"/>
      <c r="F60" s="7" t="n"/>
      <c r="G60" s="7" t="n"/>
      <c r="H60" s="8" t="n"/>
      <c r="I60" s="7" t="n"/>
      <c r="J60" s="9">
        <f>IFERROR(E60/G60,0)</f>
        <v/>
      </c>
      <c r="K60" s="10">
        <f>IFERROR(E60/F60,0)</f>
        <v/>
      </c>
      <c r="L60" s="10">
        <f>J60*H60</f>
        <v/>
      </c>
      <c r="M60" s="11">
        <f>K60-L60</f>
        <v/>
      </c>
      <c r="N60" s="12">
        <f>K60*I60</f>
        <v/>
      </c>
      <c r="O60" s="13">
        <f>IFERROR(N60/E60,0)</f>
        <v/>
      </c>
    </row>
    <row r="61">
      <c r="A61" s="4" t="n"/>
      <c r="B61" s="5" t="n"/>
      <c r="C61" s="5" t="n"/>
      <c r="D61" s="6" t="n"/>
      <c r="E61" s="7" t="n"/>
      <c r="F61" s="7" t="n"/>
      <c r="G61" s="7" t="n"/>
      <c r="H61" s="8" t="n"/>
      <c r="I61" s="7" t="n"/>
      <c r="J61" s="9">
        <f>IFERROR(E61/G61,0)</f>
        <v/>
      </c>
      <c r="K61" s="10">
        <f>IFERROR(E61/F61,0)</f>
        <v/>
      </c>
      <c r="L61" s="10">
        <f>J61*H61</f>
        <v/>
      </c>
      <c r="M61" s="11">
        <f>K61-L61</f>
        <v/>
      </c>
      <c r="N61" s="12">
        <f>K61*I61</f>
        <v/>
      </c>
      <c r="O61" s="13">
        <f>IFERROR(N61/E61,0)</f>
        <v/>
      </c>
    </row>
    <row r="62">
      <c r="A62" s="4" t="n"/>
      <c r="B62" s="5" t="n"/>
      <c r="C62" s="5" t="n"/>
      <c r="D62" s="6" t="n"/>
      <c r="E62" s="7" t="n"/>
      <c r="F62" s="7" t="n"/>
      <c r="G62" s="7" t="n"/>
      <c r="H62" s="8" t="n"/>
      <c r="I62" s="7" t="n"/>
      <c r="J62" s="9">
        <f>IFERROR(E62/G62,0)</f>
        <v/>
      </c>
      <c r="K62" s="10">
        <f>IFERROR(E62/F62,0)</f>
        <v/>
      </c>
      <c r="L62" s="10">
        <f>J62*H62</f>
        <v/>
      </c>
      <c r="M62" s="11">
        <f>K62-L62</f>
        <v/>
      </c>
      <c r="N62" s="12">
        <f>K62*I62</f>
        <v/>
      </c>
      <c r="O62" s="13">
        <f>IFERROR(N62/E62,0)</f>
        <v/>
      </c>
    </row>
    <row r="63">
      <c r="A63" s="4" t="n"/>
      <c r="B63" s="5" t="n"/>
      <c r="C63" s="5" t="n"/>
      <c r="D63" s="6" t="n"/>
      <c r="E63" s="7" t="n"/>
      <c r="F63" s="7" t="n"/>
      <c r="G63" s="7" t="n"/>
      <c r="H63" s="8" t="n"/>
      <c r="I63" s="7" t="n"/>
      <c r="J63" s="9">
        <f>IFERROR(E63/G63,0)</f>
        <v/>
      </c>
      <c r="K63" s="10">
        <f>IFERROR(E63/F63,0)</f>
        <v/>
      </c>
      <c r="L63" s="10">
        <f>J63*H63</f>
        <v/>
      </c>
      <c r="M63" s="11">
        <f>K63-L63</f>
        <v/>
      </c>
      <c r="N63" s="12">
        <f>K63*I63</f>
        <v/>
      </c>
      <c r="O63" s="13">
        <f>IFERROR(N63/E63,0)</f>
        <v/>
      </c>
    </row>
    <row r="64">
      <c r="A64" s="4" t="n"/>
      <c r="B64" s="5" t="n"/>
      <c r="C64" s="5" t="n"/>
      <c r="D64" s="6" t="n"/>
      <c r="E64" s="7" t="n"/>
      <c r="F64" s="7" t="n"/>
      <c r="G64" s="7" t="n"/>
      <c r="H64" s="8" t="n"/>
      <c r="I64" s="7" t="n"/>
      <c r="J64" s="9">
        <f>IFERROR(E64/G64,0)</f>
        <v/>
      </c>
      <c r="K64" s="10">
        <f>IFERROR(E64/F64,0)</f>
        <v/>
      </c>
      <c r="L64" s="10">
        <f>J64*H64</f>
        <v/>
      </c>
      <c r="M64" s="11">
        <f>K64-L64</f>
        <v/>
      </c>
      <c r="N64" s="12">
        <f>K64*I64</f>
        <v/>
      </c>
      <c r="O64" s="13">
        <f>IFERROR(N64/E64,0)</f>
        <v/>
      </c>
    </row>
    <row r="65">
      <c r="A65" s="4" t="n"/>
      <c r="B65" s="5" t="n"/>
      <c r="C65" s="5" t="n"/>
      <c r="D65" s="6" t="n"/>
      <c r="E65" s="7" t="n"/>
      <c r="F65" s="7" t="n"/>
      <c r="G65" s="7" t="n"/>
      <c r="H65" s="8" t="n"/>
      <c r="I65" s="7" t="n"/>
      <c r="J65" s="9">
        <f>IFERROR(E65/G65,0)</f>
        <v/>
      </c>
      <c r="K65" s="10">
        <f>IFERROR(E65/F65,0)</f>
        <v/>
      </c>
      <c r="L65" s="10">
        <f>J65*H65</f>
        <v/>
      </c>
      <c r="M65" s="11">
        <f>K65-L65</f>
        <v/>
      </c>
      <c r="N65" s="12">
        <f>K65*I65</f>
        <v/>
      </c>
      <c r="O65" s="13">
        <f>IFERROR(N65/E65,0)</f>
        <v/>
      </c>
    </row>
    <row r="66">
      <c r="A66" s="4" t="n"/>
      <c r="B66" s="5" t="n"/>
      <c r="C66" s="5" t="n"/>
      <c r="D66" s="6" t="n"/>
      <c r="E66" s="7" t="n"/>
      <c r="F66" s="7" t="n"/>
      <c r="G66" s="7" t="n"/>
      <c r="H66" s="8" t="n"/>
      <c r="I66" s="7" t="n"/>
      <c r="J66" s="9">
        <f>IFERROR(E66/G66,0)</f>
        <v/>
      </c>
      <c r="K66" s="10">
        <f>IFERROR(E66/F66,0)</f>
        <v/>
      </c>
      <c r="L66" s="10">
        <f>J66*H66</f>
        <v/>
      </c>
      <c r="M66" s="11">
        <f>K66-L66</f>
        <v/>
      </c>
      <c r="N66" s="12">
        <f>K66*I66</f>
        <v/>
      </c>
      <c r="O66" s="13">
        <f>IFERROR(N66/E66,0)</f>
        <v/>
      </c>
    </row>
    <row r="67">
      <c r="A67" s="4" t="n"/>
      <c r="B67" s="5" t="n"/>
      <c r="C67" s="5" t="n"/>
      <c r="D67" s="6" t="n"/>
      <c r="E67" s="7" t="n"/>
      <c r="F67" s="7" t="n"/>
      <c r="G67" s="7" t="n"/>
      <c r="H67" s="8" t="n"/>
      <c r="I67" s="7" t="n"/>
      <c r="J67" s="9">
        <f>IFERROR(E67/G67,0)</f>
        <v/>
      </c>
      <c r="K67" s="10">
        <f>IFERROR(E67/F67,0)</f>
        <v/>
      </c>
      <c r="L67" s="10">
        <f>J67*H67</f>
        <v/>
      </c>
      <c r="M67" s="11">
        <f>K67-L67</f>
        <v/>
      </c>
      <c r="N67" s="12">
        <f>K67*I67</f>
        <v/>
      </c>
      <c r="O67" s="13">
        <f>IFERROR(N67/E67,0)</f>
        <v/>
      </c>
    </row>
    <row r="68">
      <c r="A68" s="4" t="n"/>
      <c r="B68" s="5" t="n"/>
      <c r="C68" s="5" t="n"/>
      <c r="D68" s="6" t="n"/>
      <c r="E68" s="7" t="n"/>
      <c r="F68" s="7" t="n"/>
      <c r="G68" s="7" t="n"/>
      <c r="H68" s="8" t="n"/>
      <c r="I68" s="7" t="n"/>
      <c r="J68" s="9">
        <f>IFERROR(E68/G68,0)</f>
        <v/>
      </c>
      <c r="K68" s="10">
        <f>IFERROR(E68/F68,0)</f>
        <v/>
      </c>
      <c r="L68" s="10">
        <f>J68*H68</f>
        <v/>
      </c>
      <c r="M68" s="11">
        <f>K68-L68</f>
        <v/>
      </c>
      <c r="N68" s="12">
        <f>K68*I68</f>
        <v/>
      </c>
      <c r="O68" s="13">
        <f>IFERROR(N68/E68,0)</f>
        <v/>
      </c>
    </row>
    <row r="69">
      <c r="A69" s="4" t="n"/>
      <c r="B69" s="5" t="n"/>
      <c r="C69" s="5" t="n"/>
      <c r="D69" s="6" t="n"/>
      <c r="E69" s="7" t="n"/>
      <c r="F69" s="7" t="n"/>
      <c r="G69" s="7" t="n"/>
      <c r="H69" s="8" t="n"/>
      <c r="I69" s="7" t="n"/>
      <c r="J69" s="9">
        <f>IFERROR(E69/G69,0)</f>
        <v/>
      </c>
      <c r="K69" s="10">
        <f>IFERROR(E69/F69,0)</f>
        <v/>
      </c>
      <c r="L69" s="10">
        <f>J69*H69</f>
        <v/>
      </c>
      <c r="M69" s="11">
        <f>K69-L69</f>
        <v/>
      </c>
      <c r="N69" s="12">
        <f>K69*I69</f>
        <v/>
      </c>
      <c r="O69" s="13">
        <f>IFERROR(N69/E69,0)</f>
        <v/>
      </c>
    </row>
    <row r="70">
      <c r="A70" s="4" t="n"/>
      <c r="B70" s="5" t="n"/>
      <c r="C70" s="5" t="n"/>
      <c r="D70" s="6" t="n"/>
      <c r="E70" s="7" t="n"/>
      <c r="F70" s="7" t="n"/>
      <c r="G70" s="7" t="n"/>
      <c r="H70" s="8" t="n"/>
      <c r="I70" s="7" t="n"/>
      <c r="J70" s="9">
        <f>IFERROR(E70/G70,0)</f>
        <v/>
      </c>
      <c r="K70" s="10">
        <f>IFERROR(E70/F70,0)</f>
        <v/>
      </c>
      <c r="L70" s="10">
        <f>J70*H70</f>
        <v/>
      </c>
      <c r="M70" s="11">
        <f>K70-L70</f>
        <v/>
      </c>
      <c r="N70" s="12">
        <f>K70*I70</f>
        <v/>
      </c>
      <c r="O70" s="13">
        <f>IFERROR(N70/E70,0)</f>
        <v/>
      </c>
    </row>
    <row r="71">
      <c r="A71" s="4" t="n"/>
      <c r="B71" s="5" t="n"/>
      <c r="C71" s="5" t="n"/>
      <c r="D71" s="6" t="n"/>
      <c r="E71" s="7" t="n"/>
      <c r="F71" s="7" t="n"/>
      <c r="G71" s="7" t="n"/>
      <c r="H71" s="8" t="n"/>
      <c r="I71" s="7" t="n"/>
      <c r="J71" s="9">
        <f>IFERROR(E71/G71,0)</f>
        <v/>
      </c>
      <c r="K71" s="10">
        <f>IFERROR(E71/F71,0)</f>
        <v/>
      </c>
      <c r="L71" s="10">
        <f>J71*H71</f>
        <v/>
      </c>
      <c r="M71" s="11">
        <f>K71-L71</f>
        <v/>
      </c>
      <c r="N71" s="12">
        <f>K71*I71</f>
        <v/>
      </c>
      <c r="O71" s="13">
        <f>IFERROR(N71/E71,0)</f>
        <v/>
      </c>
    </row>
    <row r="72">
      <c r="A72" s="4" t="n"/>
      <c r="B72" s="5" t="n"/>
      <c r="C72" s="5" t="n"/>
      <c r="D72" s="6" t="n"/>
      <c r="E72" s="7" t="n"/>
      <c r="F72" s="7" t="n"/>
      <c r="G72" s="7" t="n"/>
      <c r="H72" s="8" t="n"/>
      <c r="I72" s="7" t="n"/>
      <c r="J72" s="9">
        <f>IFERROR(E72/G72,0)</f>
        <v/>
      </c>
      <c r="K72" s="10">
        <f>IFERROR(E72/F72,0)</f>
        <v/>
      </c>
      <c r="L72" s="10">
        <f>J72*H72</f>
        <v/>
      </c>
      <c r="M72" s="11">
        <f>K72-L72</f>
        <v/>
      </c>
      <c r="N72" s="12">
        <f>K72*I72</f>
        <v/>
      </c>
      <c r="O72" s="13">
        <f>IFERROR(N72/E72,0)</f>
        <v/>
      </c>
    </row>
    <row r="73">
      <c r="A73" s="4" t="n"/>
      <c r="B73" s="5" t="n"/>
      <c r="C73" s="5" t="n"/>
      <c r="D73" s="6" t="n"/>
      <c r="E73" s="7" t="n"/>
      <c r="F73" s="7" t="n"/>
      <c r="G73" s="7" t="n"/>
      <c r="H73" s="8" t="n"/>
      <c r="I73" s="7" t="n"/>
      <c r="J73" s="9">
        <f>IFERROR(E73/G73,0)</f>
        <v/>
      </c>
      <c r="K73" s="10">
        <f>IFERROR(E73/F73,0)</f>
        <v/>
      </c>
      <c r="L73" s="10">
        <f>J73*H73</f>
        <v/>
      </c>
      <c r="M73" s="11">
        <f>K73-L73</f>
        <v/>
      </c>
      <c r="N73" s="12">
        <f>K73*I73</f>
        <v/>
      </c>
      <c r="O73" s="13">
        <f>IFERROR(N73/E73,0)</f>
        <v/>
      </c>
    </row>
    <row r="74">
      <c r="A74" s="4" t="n"/>
      <c r="B74" s="5" t="n"/>
      <c r="C74" s="5" t="n"/>
      <c r="D74" s="6" t="n"/>
      <c r="E74" s="7" t="n"/>
      <c r="F74" s="7" t="n"/>
      <c r="G74" s="7" t="n"/>
      <c r="H74" s="8" t="n"/>
      <c r="I74" s="7" t="n"/>
      <c r="J74" s="9">
        <f>IFERROR(E74/G74,0)</f>
        <v/>
      </c>
      <c r="K74" s="10">
        <f>IFERROR(E74/F74,0)</f>
        <v/>
      </c>
      <c r="L74" s="10">
        <f>J74*H74</f>
        <v/>
      </c>
      <c r="M74" s="11">
        <f>K74-L74</f>
        <v/>
      </c>
      <c r="N74" s="12">
        <f>K74*I74</f>
        <v/>
      </c>
      <c r="O74" s="13">
        <f>IFERROR(N74/E74,0)</f>
        <v/>
      </c>
    </row>
    <row r="75">
      <c r="A75" s="4" t="n"/>
      <c r="B75" s="5" t="n"/>
      <c r="C75" s="5" t="n"/>
      <c r="D75" s="6" t="n"/>
      <c r="E75" s="7" t="n"/>
      <c r="F75" s="7" t="n"/>
      <c r="G75" s="7" t="n"/>
      <c r="H75" s="8" t="n"/>
      <c r="I75" s="7" t="n"/>
      <c r="J75" s="9">
        <f>IFERROR(E75/G75,0)</f>
        <v/>
      </c>
      <c r="K75" s="10">
        <f>IFERROR(E75/F75,0)</f>
        <v/>
      </c>
      <c r="L75" s="10">
        <f>J75*H75</f>
        <v/>
      </c>
      <c r="M75" s="11">
        <f>K75-L75</f>
        <v/>
      </c>
      <c r="N75" s="12">
        <f>K75*I75</f>
        <v/>
      </c>
      <c r="O75" s="13">
        <f>IFERROR(N75/E75,0)</f>
        <v/>
      </c>
    </row>
    <row r="76">
      <c r="A76" s="4" t="n"/>
      <c r="B76" s="5" t="n"/>
      <c r="C76" s="5" t="n"/>
      <c r="D76" s="6" t="n"/>
      <c r="E76" s="7" t="n"/>
      <c r="F76" s="7" t="n"/>
      <c r="G76" s="7" t="n"/>
      <c r="H76" s="8" t="n"/>
      <c r="I76" s="7" t="n"/>
      <c r="J76" s="9">
        <f>IFERROR(E76/G76,0)</f>
        <v/>
      </c>
      <c r="K76" s="10">
        <f>IFERROR(E76/F76,0)</f>
        <v/>
      </c>
      <c r="L76" s="10">
        <f>J76*H76</f>
        <v/>
      </c>
      <c r="M76" s="11">
        <f>K76-L76</f>
        <v/>
      </c>
      <c r="N76" s="12">
        <f>K76*I76</f>
        <v/>
      </c>
      <c r="O76" s="13">
        <f>IFERROR(N76/E76,0)</f>
        <v/>
      </c>
    </row>
    <row r="77">
      <c r="A77" s="4" t="n"/>
      <c r="B77" s="5" t="n"/>
      <c r="C77" s="5" t="n"/>
      <c r="D77" s="6" t="n"/>
      <c r="E77" s="7" t="n"/>
      <c r="F77" s="7" t="n"/>
      <c r="G77" s="7" t="n"/>
      <c r="H77" s="8" t="n"/>
      <c r="I77" s="7" t="n"/>
      <c r="J77" s="9">
        <f>IFERROR(E77/G77,0)</f>
        <v/>
      </c>
      <c r="K77" s="10">
        <f>IFERROR(E77/F77,0)</f>
        <v/>
      </c>
      <c r="L77" s="10">
        <f>J77*H77</f>
        <v/>
      </c>
      <c r="M77" s="11">
        <f>K77-L77</f>
        <v/>
      </c>
      <c r="N77" s="12">
        <f>K77*I77</f>
        <v/>
      </c>
      <c r="O77" s="13">
        <f>IFERROR(N77/E77,0)</f>
        <v/>
      </c>
    </row>
    <row r="78">
      <c r="A78" s="4" t="n"/>
      <c r="B78" s="5" t="n"/>
      <c r="C78" s="5" t="n"/>
      <c r="D78" s="6" t="n"/>
      <c r="E78" s="7" t="n"/>
      <c r="F78" s="7" t="n"/>
      <c r="G78" s="7" t="n"/>
      <c r="H78" s="8" t="n"/>
      <c r="I78" s="7" t="n"/>
      <c r="J78" s="9">
        <f>IFERROR(E78/G78,0)</f>
        <v/>
      </c>
      <c r="K78" s="10">
        <f>IFERROR(E78/F78,0)</f>
        <v/>
      </c>
      <c r="L78" s="10">
        <f>J78*H78</f>
        <v/>
      </c>
      <c r="M78" s="11">
        <f>K78-L78</f>
        <v/>
      </c>
      <c r="N78" s="12">
        <f>K78*I78</f>
        <v/>
      </c>
      <c r="O78" s="13">
        <f>IFERROR(N78/E78,0)</f>
        <v/>
      </c>
    </row>
    <row r="79">
      <c r="A79" s="4" t="n"/>
      <c r="B79" s="5" t="n"/>
      <c r="C79" s="5" t="n"/>
      <c r="D79" s="6" t="n"/>
      <c r="E79" s="7" t="n"/>
      <c r="F79" s="7" t="n"/>
      <c r="G79" s="7" t="n"/>
      <c r="H79" s="8" t="n"/>
      <c r="I79" s="7" t="n"/>
      <c r="J79" s="9">
        <f>IFERROR(E79/G79,0)</f>
        <v/>
      </c>
      <c r="K79" s="10">
        <f>IFERROR(E79/F79,0)</f>
        <v/>
      </c>
      <c r="L79" s="10">
        <f>J79*H79</f>
        <v/>
      </c>
      <c r="M79" s="11">
        <f>K79-L79</f>
        <v/>
      </c>
      <c r="N79" s="12">
        <f>K79*I79</f>
        <v/>
      </c>
      <c r="O79" s="13">
        <f>IFERROR(N79/E79,0)</f>
        <v/>
      </c>
    </row>
    <row r="80">
      <c r="A80" s="4" t="n"/>
      <c r="B80" s="5" t="n"/>
      <c r="C80" s="5" t="n"/>
      <c r="D80" s="6" t="n"/>
      <c r="E80" s="7" t="n"/>
      <c r="F80" s="7" t="n"/>
      <c r="G80" s="7" t="n"/>
      <c r="H80" s="8" t="n"/>
      <c r="I80" s="7" t="n"/>
      <c r="J80" s="9">
        <f>IFERROR(E80/G80,0)</f>
        <v/>
      </c>
      <c r="K80" s="10">
        <f>IFERROR(E80/F80,0)</f>
        <v/>
      </c>
      <c r="L80" s="10">
        <f>J80*H80</f>
        <v/>
      </c>
      <c r="M80" s="11">
        <f>K80-L80</f>
        <v/>
      </c>
      <c r="N80" s="12">
        <f>K80*I80</f>
        <v/>
      </c>
      <c r="O80" s="13">
        <f>IFERROR(N80/E80,0)</f>
        <v/>
      </c>
    </row>
    <row r="81">
      <c r="A81" s="4" t="n"/>
      <c r="B81" s="5" t="n"/>
      <c r="C81" s="5" t="n"/>
      <c r="D81" s="6" t="n"/>
      <c r="E81" s="7" t="n"/>
      <c r="F81" s="7" t="n"/>
      <c r="G81" s="7" t="n"/>
      <c r="H81" s="8" t="n"/>
      <c r="I81" s="7" t="n"/>
      <c r="J81" s="9">
        <f>IFERROR(E81/G81,0)</f>
        <v/>
      </c>
      <c r="K81" s="10">
        <f>IFERROR(E81/F81,0)</f>
        <v/>
      </c>
      <c r="L81" s="10">
        <f>J81*H81</f>
        <v/>
      </c>
      <c r="M81" s="11">
        <f>K81-L81</f>
        <v/>
      </c>
      <c r="N81" s="12">
        <f>K81*I81</f>
        <v/>
      </c>
      <c r="O81" s="13">
        <f>IFERROR(N81/E81,0)</f>
        <v/>
      </c>
    </row>
    <row r="82">
      <c r="A82" s="4" t="n"/>
      <c r="B82" s="5" t="n"/>
      <c r="C82" s="5" t="n"/>
      <c r="D82" s="6" t="n"/>
      <c r="E82" s="7" t="n"/>
      <c r="F82" s="7" t="n"/>
      <c r="G82" s="7" t="n"/>
      <c r="H82" s="8" t="n"/>
      <c r="I82" s="7" t="n"/>
      <c r="J82" s="9">
        <f>IFERROR(E82/G82,0)</f>
        <v/>
      </c>
      <c r="K82" s="10">
        <f>IFERROR(E82/F82,0)</f>
        <v/>
      </c>
      <c r="L82" s="10">
        <f>J82*H82</f>
        <v/>
      </c>
      <c r="M82" s="11">
        <f>K82-L82</f>
        <v/>
      </c>
      <c r="N82" s="12">
        <f>K82*I82</f>
        <v/>
      </c>
      <c r="O82" s="13">
        <f>IFERROR(N82/E82,0)</f>
        <v/>
      </c>
    </row>
    <row r="83">
      <c r="A83" s="4" t="n"/>
      <c r="B83" s="5" t="n"/>
      <c r="C83" s="5" t="n"/>
      <c r="D83" s="6" t="n"/>
      <c r="E83" s="7" t="n"/>
      <c r="F83" s="7" t="n"/>
      <c r="G83" s="7" t="n"/>
      <c r="H83" s="8" t="n"/>
      <c r="I83" s="7" t="n"/>
      <c r="J83" s="9">
        <f>IFERROR(E83/G83,0)</f>
        <v/>
      </c>
      <c r="K83" s="10">
        <f>IFERROR(E83/F83,0)</f>
        <v/>
      </c>
      <c r="L83" s="10">
        <f>J83*H83</f>
        <v/>
      </c>
      <c r="M83" s="11">
        <f>K83-L83</f>
        <v/>
      </c>
      <c r="N83" s="12">
        <f>K83*I83</f>
        <v/>
      </c>
      <c r="O83" s="13">
        <f>IFERROR(N83/E83,0)</f>
        <v/>
      </c>
    </row>
    <row r="84">
      <c r="A84" s="4" t="n"/>
      <c r="B84" s="5" t="n"/>
      <c r="C84" s="5" t="n"/>
      <c r="D84" s="6" t="n"/>
      <c r="E84" s="7" t="n"/>
      <c r="F84" s="7" t="n"/>
      <c r="G84" s="7" t="n"/>
      <c r="H84" s="8" t="n"/>
      <c r="I84" s="7" t="n"/>
      <c r="J84" s="9">
        <f>IFERROR(E84/G84,0)</f>
        <v/>
      </c>
      <c r="K84" s="10">
        <f>IFERROR(E84/F84,0)</f>
        <v/>
      </c>
      <c r="L84" s="10">
        <f>J84*H84</f>
        <v/>
      </c>
      <c r="M84" s="11">
        <f>K84-L84</f>
        <v/>
      </c>
      <c r="N84" s="12">
        <f>K84*I84</f>
        <v/>
      </c>
      <c r="O84" s="13">
        <f>IFERROR(N84/E84,0)</f>
        <v/>
      </c>
    </row>
    <row r="85">
      <c r="A85" s="4" t="n"/>
      <c r="B85" s="5" t="n"/>
      <c r="C85" s="5" t="n"/>
      <c r="D85" s="6" t="n"/>
      <c r="E85" s="7" t="n"/>
      <c r="F85" s="7" t="n"/>
      <c r="G85" s="7" t="n"/>
      <c r="H85" s="8" t="n"/>
      <c r="I85" s="7" t="n"/>
      <c r="J85" s="9">
        <f>IFERROR(E85/G85,0)</f>
        <v/>
      </c>
      <c r="K85" s="10">
        <f>IFERROR(E85/F85,0)</f>
        <v/>
      </c>
      <c r="L85" s="10">
        <f>J85*H85</f>
        <v/>
      </c>
      <c r="M85" s="11">
        <f>K85-L85</f>
        <v/>
      </c>
      <c r="N85" s="12">
        <f>K85*I85</f>
        <v/>
      </c>
      <c r="O85" s="13">
        <f>IFERROR(N85/E85,0)</f>
        <v/>
      </c>
    </row>
    <row r="86">
      <c r="A86" s="4" t="n"/>
      <c r="B86" s="5" t="n"/>
      <c r="C86" s="5" t="n"/>
      <c r="D86" s="6" t="n"/>
      <c r="E86" s="7" t="n"/>
      <c r="F86" s="7" t="n"/>
      <c r="G86" s="7" t="n"/>
      <c r="H86" s="8" t="n"/>
      <c r="I86" s="7" t="n"/>
      <c r="J86" s="9">
        <f>IFERROR(E86/G86,0)</f>
        <v/>
      </c>
      <c r="K86" s="10">
        <f>IFERROR(E86/F86,0)</f>
        <v/>
      </c>
      <c r="L86" s="10">
        <f>J86*H86</f>
        <v/>
      </c>
      <c r="M86" s="11">
        <f>K86-L86</f>
        <v/>
      </c>
      <c r="N86" s="12">
        <f>K86*I86</f>
        <v/>
      </c>
      <c r="O86" s="13">
        <f>IFERROR(N86/E86,0)</f>
        <v/>
      </c>
    </row>
    <row r="87">
      <c r="A87" s="4" t="n"/>
      <c r="B87" s="5" t="n"/>
      <c r="C87" s="5" t="n"/>
      <c r="D87" s="6" t="n"/>
      <c r="E87" s="7" t="n"/>
      <c r="F87" s="7" t="n"/>
      <c r="G87" s="7" t="n"/>
      <c r="H87" s="8" t="n"/>
      <c r="I87" s="7" t="n"/>
      <c r="J87" s="9">
        <f>IFERROR(E87/G87,0)</f>
        <v/>
      </c>
      <c r="K87" s="10">
        <f>IFERROR(E87/F87,0)</f>
        <v/>
      </c>
      <c r="L87" s="10">
        <f>J87*H87</f>
        <v/>
      </c>
      <c r="M87" s="11">
        <f>K87-L87</f>
        <v/>
      </c>
      <c r="N87" s="12">
        <f>K87*I87</f>
        <v/>
      </c>
      <c r="O87" s="13">
        <f>IFERROR(N87/E87,0)</f>
        <v/>
      </c>
    </row>
    <row r="88">
      <c r="A88" s="4" t="n"/>
      <c r="B88" s="5" t="n"/>
      <c r="C88" s="5" t="n"/>
      <c r="D88" s="6" t="n"/>
      <c r="E88" s="7" t="n"/>
      <c r="F88" s="7" t="n"/>
      <c r="G88" s="7" t="n"/>
      <c r="H88" s="8" t="n"/>
      <c r="I88" s="7" t="n"/>
      <c r="J88" s="9">
        <f>IFERROR(E88/G88,0)</f>
        <v/>
      </c>
      <c r="K88" s="10">
        <f>IFERROR(E88/F88,0)</f>
        <v/>
      </c>
      <c r="L88" s="10">
        <f>J88*H88</f>
        <v/>
      </c>
      <c r="M88" s="11">
        <f>K88-L88</f>
        <v/>
      </c>
      <c r="N88" s="12">
        <f>K88*I88</f>
        <v/>
      </c>
      <c r="O88" s="13">
        <f>IFERROR(N88/E88,0)</f>
        <v/>
      </c>
    </row>
    <row r="89">
      <c r="A89" s="4" t="n"/>
      <c r="B89" s="5" t="n"/>
      <c r="C89" s="5" t="n"/>
      <c r="D89" s="6" t="n"/>
      <c r="E89" s="7" t="n"/>
      <c r="F89" s="7" t="n"/>
      <c r="G89" s="7" t="n"/>
      <c r="H89" s="8" t="n"/>
      <c r="I89" s="7" t="n"/>
      <c r="J89" s="9">
        <f>IFERROR(E89/G89,0)</f>
        <v/>
      </c>
      <c r="K89" s="10">
        <f>IFERROR(E89/F89,0)</f>
        <v/>
      </c>
      <c r="L89" s="10">
        <f>J89*H89</f>
        <v/>
      </c>
      <c r="M89" s="11">
        <f>K89-L89</f>
        <v/>
      </c>
      <c r="N89" s="12">
        <f>K89*I89</f>
        <v/>
      </c>
      <c r="O89" s="13">
        <f>IFERROR(N89/E89,0)</f>
        <v/>
      </c>
    </row>
    <row r="90">
      <c r="A90" s="4" t="n"/>
      <c r="B90" s="5" t="n"/>
      <c r="C90" s="5" t="n"/>
      <c r="D90" s="6" t="n"/>
      <c r="E90" s="7" t="n"/>
      <c r="F90" s="7" t="n"/>
      <c r="G90" s="7" t="n"/>
      <c r="H90" s="8" t="n"/>
      <c r="I90" s="7" t="n"/>
      <c r="J90" s="9">
        <f>IFERROR(E90/G90,0)</f>
        <v/>
      </c>
      <c r="K90" s="10">
        <f>IFERROR(E90/F90,0)</f>
        <v/>
      </c>
      <c r="L90" s="10">
        <f>J90*H90</f>
        <v/>
      </c>
      <c r="M90" s="11">
        <f>K90-L90</f>
        <v/>
      </c>
      <c r="N90" s="12">
        <f>K90*I90</f>
        <v/>
      </c>
      <c r="O90" s="13">
        <f>IFERROR(N90/E90,0)</f>
        <v/>
      </c>
    </row>
    <row r="91">
      <c r="A91" s="4" t="n"/>
      <c r="B91" s="5" t="n"/>
      <c r="C91" s="5" t="n"/>
      <c r="D91" s="6" t="n"/>
      <c r="E91" s="7" t="n"/>
      <c r="F91" s="7" t="n"/>
      <c r="G91" s="7" t="n"/>
      <c r="H91" s="8" t="n"/>
      <c r="I91" s="7" t="n"/>
      <c r="J91" s="9">
        <f>IFERROR(E91/G91,0)</f>
        <v/>
      </c>
      <c r="K91" s="10">
        <f>IFERROR(E91/F91,0)</f>
        <v/>
      </c>
      <c r="L91" s="10">
        <f>J91*H91</f>
        <v/>
      </c>
      <c r="M91" s="11">
        <f>K91-L91</f>
        <v/>
      </c>
      <c r="N91" s="12">
        <f>K91*I91</f>
        <v/>
      </c>
      <c r="O91" s="13">
        <f>IFERROR(N91/E91,0)</f>
        <v/>
      </c>
    </row>
    <row r="92">
      <c r="A92" s="4" t="n"/>
      <c r="B92" s="5" t="n"/>
      <c r="C92" s="5" t="n"/>
      <c r="D92" s="6" t="n"/>
      <c r="E92" s="7" t="n"/>
      <c r="F92" s="7" t="n"/>
      <c r="G92" s="7" t="n"/>
      <c r="H92" s="8" t="n"/>
      <c r="I92" s="7" t="n"/>
      <c r="J92" s="9">
        <f>IFERROR(E92/G92,0)</f>
        <v/>
      </c>
      <c r="K92" s="10">
        <f>IFERROR(E92/F92,0)</f>
        <v/>
      </c>
      <c r="L92" s="10">
        <f>J92*H92</f>
        <v/>
      </c>
      <c r="M92" s="11">
        <f>K92-L92</f>
        <v/>
      </c>
      <c r="N92" s="12">
        <f>K92*I92</f>
        <v/>
      </c>
      <c r="O92" s="13">
        <f>IFERROR(N92/E92,0)</f>
        <v/>
      </c>
    </row>
    <row r="93">
      <c r="A93" s="4" t="n"/>
      <c r="B93" s="5" t="n"/>
      <c r="C93" s="5" t="n"/>
      <c r="D93" s="6" t="n"/>
      <c r="E93" s="7" t="n"/>
      <c r="F93" s="7" t="n"/>
      <c r="G93" s="7" t="n"/>
      <c r="H93" s="8" t="n"/>
      <c r="I93" s="7" t="n"/>
      <c r="J93" s="9">
        <f>IFERROR(E93/G93,0)</f>
        <v/>
      </c>
      <c r="K93" s="10">
        <f>IFERROR(E93/F93,0)</f>
        <v/>
      </c>
      <c r="L93" s="10">
        <f>J93*H93</f>
        <v/>
      </c>
      <c r="M93" s="11">
        <f>K93-L93</f>
        <v/>
      </c>
      <c r="N93" s="12">
        <f>K93*I93</f>
        <v/>
      </c>
      <c r="O93" s="13">
        <f>IFERROR(N93/E93,0)</f>
        <v/>
      </c>
    </row>
    <row r="94">
      <c r="A94" s="4" t="n"/>
      <c r="B94" s="5" t="n"/>
      <c r="C94" s="5" t="n"/>
      <c r="D94" s="6" t="n"/>
      <c r="E94" s="7" t="n"/>
      <c r="F94" s="7" t="n"/>
      <c r="G94" s="7" t="n"/>
      <c r="H94" s="8" t="n"/>
      <c r="I94" s="7" t="n"/>
      <c r="J94" s="9">
        <f>IFERROR(E94/G94,0)</f>
        <v/>
      </c>
      <c r="K94" s="10">
        <f>IFERROR(E94/F94,0)</f>
        <v/>
      </c>
      <c r="L94" s="10">
        <f>J94*H94</f>
        <v/>
      </c>
      <c r="M94" s="11">
        <f>K94-L94</f>
        <v/>
      </c>
      <c r="N94" s="12">
        <f>K94*I94</f>
        <v/>
      </c>
      <c r="O94" s="13">
        <f>IFERROR(N94/E94,0)</f>
        <v/>
      </c>
    </row>
    <row r="95">
      <c r="A95" s="4" t="n"/>
      <c r="B95" s="5" t="n"/>
      <c r="C95" s="5" t="n"/>
      <c r="D95" s="6" t="n"/>
      <c r="E95" s="7" t="n"/>
      <c r="F95" s="7" t="n"/>
      <c r="G95" s="7" t="n"/>
      <c r="H95" s="8" t="n"/>
      <c r="I95" s="7" t="n"/>
      <c r="J95" s="9">
        <f>IFERROR(E95/G95,0)</f>
        <v/>
      </c>
      <c r="K95" s="10">
        <f>IFERROR(E95/F95,0)</f>
        <v/>
      </c>
      <c r="L95" s="10">
        <f>J95*H95</f>
        <v/>
      </c>
      <c r="M95" s="11">
        <f>K95-L95</f>
        <v/>
      </c>
      <c r="N95" s="12">
        <f>K95*I95</f>
        <v/>
      </c>
      <c r="O95" s="13">
        <f>IFERROR(N95/E95,0)</f>
        <v/>
      </c>
    </row>
    <row r="96">
      <c r="A96" s="4" t="n"/>
      <c r="B96" s="5" t="n"/>
      <c r="C96" s="5" t="n"/>
      <c r="D96" s="6" t="n"/>
      <c r="E96" s="7" t="n"/>
      <c r="F96" s="7" t="n"/>
      <c r="G96" s="7" t="n"/>
      <c r="H96" s="8" t="n"/>
      <c r="I96" s="7" t="n"/>
      <c r="J96" s="9">
        <f>IFERROR(E96/G96,0)</f>
        <v/>
      </c>
      <c r="K96" s="10">
        <f>IFERROR(E96/F96,0)</f>
        <v/>
      </c>
      <c r="L96" s="10">
        <f>J96*H96</f>
        <v/>
      </c>
      <c r="M96" s="11">
        <f>K96-L96</f>
        <v/>
      </c>
      <c r="N96" s="12">
        <f>K96*I96</f>
        <v/>
      </c>
      <c r="O96" s="13">
        <f>IFERROR(N96/E96,0)</f>
        <v/>
      </c>
    </row>
    <row r="97">
      <c r="A97" s="4" t="n"/>
      <c r="B97" s="5" t="n"/>
      <c r="C97" s="5" t="n"/>
      <c r="D97" s="6" t="n"/>
      <c r="E97" s="7" t="n"/>
      <c r="F97" s="7" t="n"/>
      <c r="G97" s="7" t="n"/>
      <c r="H97" s="8" t="n"/>
      <c r="I97" s="7" t="n"/>
      <c r="J97" s="9">
        <f>IFERROR(E97/G97,0)</f>
        <v/>
      </c>
      <c r="K97" s="10">
        <f>IFERROR(E97/F97,0)</f>
        <v/>
      </c>
      <c r="L97" s="10">
        <f>J97*H97</f>
        <v/>
      </c>
      <c r="M97" s="11">
        <f>K97-L97</f>
        <v/>
      </c>
      <c r="N97" s="12">
        <f>K97*I97</f>
        <v/>
      </c>
      <c r="O97" s="13">
        <f>IFERROR(N97/E97,0)</f>
        <v/>
      </c>
    </row>
    <row r="98">
      <c r="A98" s="4" t="n"/>
      <c r="B98" s="5" t="n"/>
      <c r="C98" s="5" t="n"/>
      <c r="D98" s="6" t="n"/>
      <c r="E98" s="7" t="n"/>
      <c r="F98" s="7" t="n"/>
      <c r="G98" s="7" t="n"/>
      <c r="H98" s="8" t="n"/>
      <c r="I98" s="7" t="n"/>
      <c r="J98" s="9">
        <f>IFERROR(E98/G98,0)</f>
        <v/>
      </c>
      <c r="K98" s="10">
        <f>IFERROR(E98/F98,0)</f>
        <v/>
      </c>
      <c r="L98" s="10">
        <f>J98*H98</f>
        <v/>
      </c>
      <c r="M98" s="11">
        <f>K98-L98</f>
        <v/>
      </c>
      <c r="N98" s="12">
        <f>K98*I98</f>
        <v/>
      </c>
      <c r="O98" s="13">
        <f>IFERROR(N98/E98,0)</f>
        <v/>
      </c>
    </row>
    <row r="99">
      <c r="A99" s="4" t="n"/>
      <c r="B99" s="5" t="n"/>
      <c r="C99" s="5" t="n"/>
      <c r="D99" s="6" t="n"/>
      <c r="E99" s="7" t="n"/>
      <c r="F99" s="7" t="n"/>
      <c r="G99" s="7" t="n"/>
      <c r="H99" s="8" t="n"/>
      <c r="I99" s="7" t="n"/>
      <c r="J99" s="9">
        <f>IFERROR(E99/G99,0)</f>
        <v/>
      </c>
      <c r="K99" s="10">
        <f>IFERROR(E99/F99,0)</f>
        <v/>
      </c>
      <c r="L99" s="10">
        <f>J99*H99</f>
        <v/>
      </c>
      <c r="M99" s="11">
        <f>K99-L99</f>
        <v/>
      </c>
      <c r="N99" s="12">
        <f>K99*I99</f>
        <v/>
      </c>
      <c r="O99" s="13">
        <f>IFERROR(N99/E99,0)</f>
        <v/>
      </c>
    </row>
    <row r="100">
      <c r="A100" s="4" t="n"/>
      <c r="B100" s="5" t="n"/>
      <c r="C100" s="5" t="n"/>
      <c r="D100" s="6" t="n"/>
      <c r="E100" s="7" t="n"/>
      <c r="F100" s="7" t="n"/>
      <c r="G100" s="7" t="n"/>
      <c r="H100" s="8" t="n"/>
      <c r="I100" s="7" t="n"/>
      <c r="J100" s="9">
        <f>IFERROR(E100/G100,0)</f>
        <v/>
      </c>
      <c r="K100" s="10">
        <f>IFERROR(E100/F100,0)</f>
        <v/>
      </c>
      <c r="L100" s="10">
        <f>J100*H100</f>
        <v/>
      </c>
      <c r="M100" s="11">
        <f>K100-L100</f>
        <v/>
      </c>
      <c r="N100" s="12">
        <f>K100*I100</f>
        <v/>
      </c>
      <c r="O100" s="13">
        <f>IFERROR(N100/E100,0)</f>
        <v/>
      </c>
    </row>
    <row r="101">
      <c r="A101" s="4" t="n"/>
      <c r="B101" s="5" t="n"/>
      <c r="C101" s="5" t="n"/>
      <c r="D101" s="6" t="n"/>
      <c r="E101" s="7" t="n"/>
      <c r="F101" s="7" t="n"/>
      <c r="G101" s="7" t="n"/>
      <c r="H101" s="8" t="n"/>
      <c r="I101" s="7" t="n"/>
      <c r="J101" s="9">
        <f>IFERROR(E101/G101,0)</f>
        <v/>
      </c>
      <c r="K101" s="10">
        <f>IFERROR(E101/F101,0)</f>
        <v/>
      </c>
      <c r="L101" s="10">
        <f>J101*H101</f>
        <v/>
      </c>
      <c r="M101" s="11">
        <f>K101-L101</f>
        <v/>
      </c>
      <c r="N101" s="12">
        <f>K101*I101</f>
        <v/>
      </c>
      <c r="O101" s="13">
        <f>IFERROR(N101/E101,0)</f>
        <v/>
      </c>
    </row>
    <row r="102">
      <c r="A102" s="4" t="n"/>
      <c r="B102" s="5" t="n"/>
      <c r="C102" s="5" t="n"/>
      <c r="D102" s="6" t="n"/>
      <c r="E102" s="7" t="n"/>
      <c r="F102" s="7" t="n"/>
      <c r="G102" s="7" t="n"/>
      <c r="H102" s="8" t="n"/>
      <c r="I102" s="7" t="n"/>
      <c r="J102" s="9">
        <f>IFERROR(E102/G102,0)</f>
        <v/>
      </c>
      <c r="K102" s="10">
        <f>IFERROR(E102/F102,0)</f>
        <v/>
      </c>
      <c r="L102" s="10">
        <f>J102*H102</f>
        <v/>
      </c>
      <c r="M102" s="11">
        <f>K102-L102</f>
        <v/>
      </c>
      <c r="N102" s="12">
        <f>K102*I102</f>
        <v/>
      </c>
      <c r="O102" s="13">
        <f>IFERROR(N102/E102,0)</f>
        <v/>
      </c>
    </row>
    <row r="103">
      <c r="A103" s="4" t="n"/>
      <c r="B103" s="5" t="n"/>
      <c r="C103" s="5" t="n"/>
      <c r="D103" s="6" t="n"/>
      <c r="E103" s="7" t="n"/>
      <c r="F103" s="7" t="n"/>
      <c r="G103" s="7" t="n"/>
      <c r="H103" s="8" t="n"/>
      <c r="I103" s="7" t="n"/>
      <c r="J103" s="9">
        <f>IFERROR(E103/G103,0)</f>
        <v/>
      </c>
      <c r="K103" s="10">
        <f>IFERROR(E103/F103,0)</f>
        <v/>
      </c>
      <c r="L103" s="10">
        <f>J103*H103</f>
        <v/>
      </c>
      <c r="M103" s="11">
        <f>K103-L103</f>
        <v/>
      </c>
      <c r="N103" s="12">
        <f>K103*I103</f>
        <v/>
      </c>
      <c r="O103" s="13">
        <f>IFERROR(N103/E103,0)</f>
        <v/>
      </c>
    </row>
    <row r="104">
      <c r="A104" s="4" t="n"/>
      <c r="B104" s="5" t="n"/>
      <c r="C104" s="5" t="n"/>
      <c r="D104" s="6" t="n"/>
      <c r="E104" s="7" t="n"/>
      <c r="F104" s="7" t="n"/>
      <c r="G104" s="7" t="n"/>
      <c r="H104" s="8" t="n"/>
      <c r="I104" s="7" t="n"/>
      <c r="J104" s="9">
        <f>IFERROR(E104/G104,0)</f>
        <v/>
      </c>
      <c r="K104" s="10">
        <f>IFERROR(E104/F104,0)</f>
        <v/>
      </c>
      <c r="L104" s="10">
        <f>J104*H104</f>
        <v/>
      </c>
      <c r="M104" s="11">
        <f>K104-L104</f>
        <v/>
      </c>
      <c r="N104" s="12">
        <f>K104*I104</f>
        <v/>
      </c>
      <c r="O104" s="13">
        <f>IFERROR(N104/E104,0)</f>
        <v/>
      </c>
    </row>
    <row r="105">
      <c r="A105" s="4" t="n"/>
      <c r="B105" s="5" t="n"/>
      <c r="C105" s="5" t="n"/>
      <c r="D105" s="6" t="n"/>
      <c r="E105" s="7" t="n"/>
      <c r="F105" s="7" t="n"/>
      <c r="G105" s="7" t="n"/>
      <c r="H105" s="8" t="n"/>
      <c r="I105" s="7" t="n"/>
      <c r="J105" s="9">
        <f>IFERROR(E105/G105,0)</f>
        <v/>
      </c>
      <c r="K105" s="10">
        <f>IFERROR(E105/F105,0)</f>
        <v/>
      </c>
      <c r="L105" s="10">
        <f>J105*H105</f>
        <v/>
      </c>
      <c r="M105" s="11">
        <f>K105-L105</f>
        <v/>
      </c>
      <c r="N105" s="12">
        <f>K105*I105</f>
        <v/>
      </c>
      <c r="O105" s="13">
        <f>IFERROR(N105/E105,0)</f>
        <v/>
      </c>
    </row>
    <row r="106">
      <c r="A106" s="4" t="n"/>
      <c r="B106" s="5" t="n"/>
      <c r="C106" s="5" t="n"/>
      <c r="D106" s="6" t="n"/>
      <c r="E106" s="7" t="n"/>
      <c r="F106" s="7" t="n"/>
      <c r="G106" s="7" t="n"/>
      <c r="H106" s="8" t="n"/>
      <c r="I106" s="7" t="n"/>
      <c r="J106" s="9">
        <f>IFERROR(E106/G106,0)</f>
        <v/>
      </c>
      <c r="K106" s="10">
        <f>IFERROR(E106/F106,0)</f>
        <v/>
      </c>
      <c r="L106" s="10">
        <f>J106*H106</f>
        <v/>
      </c>
      <c r="M106" s="11">
        <f>K106-L106</f>
        <v/>
      </c>
      <c r="N106" s="12">
        <f>K106*I106</f>
        <v/>
      </c>
      <c r="O106" s="13">
        <f>IFERROR(N106/E106,0)</f>
        <v/>
      </c>
    </row>
    <row r="107">
      <c r="A107" s="4" t="n"/>
      <c r="B107" s="5" t="n"/>
      <c r="C107" s="5" t="n"/>
      <c r="D107" s="6" t="n"/>
      <c r="E107" s="7" t="n"/>
      <c r="F107" s="7" t="n"/>
      <c r="G107" s="7" t="n"/>
      <c r="H107" s="8" t="n"/>
      <c r="I107" s="7" t="n"/>
      <c r="J107" s="9">
        <f>IFERROR(E107/G107,0)</f>
        <v/>
      </c>
      <c r="K107" s="10">
        <f>IFERROR(E107/F107,0)</f>
        <v/>
      </c>
      <c r="L107" s="10">
        <f>J107*H107</f>
        <v/>
      </c>
      <c r="M107" s="11">
        <f>K107-L107</f>
        <v/>
      </c>
      <c r="N107" s="12">
        <f>K107*I107</f>
        <v/>
      </c>
      <c r="O107" s="13">
        <f>IFERROR(N107/E107,0)</f>
        <v/>
      </c>
    </row>
    <row r="108">
      <c r="A108" s="4" t="n"/>
      <c r="B108" s="5" t="n"/>
      <c r="C108" s="5" t="n"/>
      <c r="D108" s="6" t="n"/>
      <c r="E108" s="7" t="n"/>
      <c r="F108" s="7" t="n"/>
      <c r="G108" s="7" t="n"/>
      <c r="H108" s="8" t="n"/>
      <c r="I108" s="7" t="n"/>
      <c r="J108" s="9">
        <f>IFERROR(E108/G108,0)</f>
        <v/>
      </c>
      <c r="K108" s="10">
        <f>IFERROR(E108/F108,0)</f>
        <v/>
      </c>
      <c r="L108" s="10">
        <f>J108*H108</f>
        <v/>
      </c>
      <c r="M108" s="11">
        <f>K108-L108</f>
        <v/>
      </c>
      <c r="N108" s="12">
        <f>K108*I108</f>
        <v/>
      </c>
      <c r="O108" s="13">
        <f>IFERROR(N108/E108,0)</f>
        <v/>
      </c>
    </row>
    <row r="109">
      <c r="A109" s="4" t="n"/>
      <c r="B109" s="5" t="n"/>
      <c r="C109" s="5" t="n"/>
      <c r="D109" s="6" t="n"/>
      <c r="E109" s="7" t="n"/>
      <c r="F109" s="7" t="n"/>
      <c r="G109" s="7" t="n"/>
      <c r="H109" s="8" t="n"/>
      <c r="I109" s="7" t="n"/>
      <c r="J109" s="9">
        <f>IFERROR(E109/G109,0)</f>
        <v/>
      </c>
      <c r="K109" s="10">
        <f>IFERROR(E109/F109,0)</f>
        <v/>
      </c>
      <c r="L109" s="10">
        <f>J109*H109</f>
        <v/>
      </c>
      <c r="M109" s="11">
        <f>K109-L109</f>
        <v/>
      </c>
      <c r="N109" s="12">
        <f>K109*I109</f>
        <v/>
      </c>
      <c r="O109" s="13">
        <f>IFERROR(N109/E109,0)</f>
        <v/>
      </c>
    </row>
    <row r="110">
      <c r="A110" s="4" t="n"/>
      <c r="B110" s="5" t="n"/>
      <c r="C110" s="5" t="n"/>
      <c r="D110" s="6" t="n"/>
      <c r="E110" s="7" t="n"/>
      <c r="F110" s="7" t="n"/>
      <c r="G110" s="7" t="n"/>
      <c r="H110" s="8" t="n"/>
      <c r="I110" s="7" t="n"/>
      <c r="J110" s="9">
        <f>IFERROR(E110/G110,0)</f>
        <v/>
      </c>
      <c r="K110" s="10">
        <f>IFERROR(E110/F110,0)</f>
        <v/>
      </c>
      <c r="L110" s="10">
        <f>J110*H110</f>
        <v/>
      </c>
      <c r="M110" s="11">
        <f>K110-L110</f>
        <v/>
      </c>
      <c r="N110" s="12">
        <f>K110*I110</f>
        <v/>
      </c>
      <c r="O110" s="13">
        <f>IFERROR(N110/E110,0)</f>
        <v/>
      </c>
    </row>
    <row r="111">
      <c r="A111" s="4" t="n"/>
      <c r="B111" s="5" t="n"/>
      <c r="C111" s="5" t="n"/>
      <c r="D111" s="6" t="n"/>
      <c r="E111" s="7" t="n"/>
      <c r="F111" s="7" t="n"/>
      <c r="G111" s="7" t="n"/>
      <c r="H111" s="8" t="n"/>
      <c r="I111" s="7" t="n"/>
      <c r="J111" s="9">
        <f>IFERROR(E111/G111,0)</f>
        <v/>
      </c>
      <c r="K111" s="10">
        <f>IFERROR(E111/F111,0)</f>
        <v/>
      </c>
      <c r="L111" s="10">
        <f>J111*H111</f>
        <v/>
      </c>
      <c r="M111" s="11">
        <f>K111-L111</f>
        <v/>
      </c>
      <c r="N111" s="12">
        <f>K111*I111</f>
        <v/>
      </c>
      <c r="O111" s="13">
        <f>IFERROR(N111/E111,0)</f>
        <v/>
      </c>
    </row>
    <row r="112">
      <c r="A112" s="4" t="n"/>
      <c r="B112" s="5" t="n"/>
      <c r="C112" s="5" t="n"/>
      <c r="D112" s="6" t="n"/>
      <c r="E112" s="7" t="n"/>
      <c r="F112" s="7" t="n"/>
      <c r="G112" s="7" t="n"/>
      <c r="H112" s="8" t="n"/>
      <c r="I112" s="7" t="n"/>
      <c r="J112" s="9">
        <f>IFERROR(E112/G112,0)</f>
        <v/>
      </c>
      <c r="K112" s="10">
        <f>IFERROR(E112/F112,0)</f>
        <v/>
      </c>
      <c r="L112" s="10">
        <f>J112*H112</f>
        <v/>
      </c>
      <c r="M112" s="11">
        <f>K112-L112</f>
        <v/>
      </c>
      <c r="N112" s="12">
        <f>K112*I112</f>
        <v/>
      </c>
      <c r="O112" s="13">
        <f>IFERROR(N112/E112,0)</f>
        <v/>
      </c>
    </row>
    <row r="113">
      <c r="A113" s="4" t="n"/>
      <c r="B113" s="5" t="n"/>
      <c r="C113" s="5" t="n"/>
      <c r="D113" s="6" t="n"/>
      <c r="E113" s="7" t="n"/>
      <c r="F113" s="7" t="n"/>
      <c r="G113" s="7" t="n"/>
      <c r="H113" s="8" t="n"/>
      <c r="I113" s="7" t="n"/>
      <c r="J113" s="9">
        <f>IFERROR(E113/G113,0)</f>
        <v/>
      </c>
      <c r="K113" s="10">
        <f>IFERROR(E113/F113,0)</f>
        <v/>
      </c>
      <c r="L113" s="10">
        <f>J113*H113</f>
        <v/>
      </c>
      <c r="M113" s="11">
        <f>K113-L113</f>
        <v/>
      </c>
      <c r="N113" s="12">
        <f>K113*I113</f>
        <v/>
      </c>
      <c r="O113" s="13">
        <f>IFERROR(N113/E113,0)</f>
        <v/>
      </c>
    </row>
    <row r="114">
      <c r="A114" s="4" t="n"/>
      <c r="B114" s="5" t="n"/>
      <c r="C114" s="5" t="n"/>
      <c r="D114" s="6" t="n"/>
      <c r="E114" s="7" t="n"/>
      <c r="F114" s="7" t="n"/>
      <c r="G114" s="7" t="n"/>
      <c r="H114" s="8" t="n"/>
      <c r="I114" s="7" t="n"/>
      <c r="J114" s="9">
        <f>IFERROR(E114/G114,0)</f>
        <v/>
      </c>
      <c r="K114" s="10">
        <f>IFERROR(E114/F114,0)</f>
        <v/>
      </c>
      <c r="L114" s="10">
        <f>J114*H114</f>
        <v/>
      </c>
      <c r="M114" s="11">
        <f>K114-L114</f>
        <v/>
      </c>
      <c r="N114" s="12">
        <f>K114*I114</f>
        <v/>
      </c>
      <c r="O114" s="13">
        <f>IFERROR(N114/E114,0)</f>
        <v/>
      </c>
    </row>
    <row r="115">
      <c r="A115" s="4" t="n"/>
      <c r="B115" s="5" t="n"/>
      <c r="C115" s="5" t="n"/>
      <c r="D115" s="6" t="n"/>
      <c r="E115" s="7" t="n"/>
      <c r="F115" s="7" t="n"/>
      <c r="G115" s="7" t="n"/>
      <c r="H115" s="8" t="n"/>
      <c r="I115" s="7" t="n"/>
      <c r="J115" s="9">
        <f>IFERROR(E115/G115,0)</f>
        <v/>
      </c>
      <c r="K115" s="10">
        <f>IFERROR(E115/F115,0)</f>
        <v/>
      </c>
      <c r="L115" s="10">
        <f>J115*H115</f>
        <v/>
      </c>
      <c r="M115" s="11">
        <f>K115-L115</f>
        <v/>
      </c>
      <c r="N115" s="12">
        <f>K115*I115</f>
        <v/>
      </c>
      <c r="O115" s="13">
        <f>IFERROR(N115/E115,0)</f>
        <v/>
      </c>
    </row>
    <row r="116">
      <c r="A116" s="4" t="n"/>
      <c r="B116" s="5" t="n"/>
      <c r="C116" s="5" t="n"/>
      <c r="D116" s="6" t="n"/>
      <c r="E116" s="7" t="n"/>
      <c r="F116" s="7" t="n"/>
      <c r="G116" s="7" t="n"/>
      <c r="H116" s="8" t="n"/>
      <c r="I116" s="7" t="n"/>
      <c r="J116" s="9">
        <f>IFERROR(E116/G116,0)</f>
        <v/>
      </c>
      <c r="K116" s="10">
        <f>IFERROR(E116/F116,0)</f>
        <v/>
      </c>
      <c r="L116" s="10">
        <f>J116*H116</f>
        <v/>
      </c>
      <c r="M116" s="11">
        <f>K116-L116</f>
        <v/>
      </c>
      <c r="N116" s="12">
        <f>K116*I116</f>
        <v/>
      </c>
      <c r="O116" s="13">
        <f>IFERROR(N116/E116,0)</f>
        <v/>
      </c>
    </row>
    <row r="117">
      <c r="A117" s="4" t="n"/>
      <c r="B117" s="5" t="n"/>
      <c r="C117" s="5" t="n"/>
      <c r="D117" s="6" t="n"/>
      <c r="E117" s="7" t="n"/>
      <c r="F117" s="7" t="n"/>
      <c r="G117" s="7" t="n"/>
      <c r="H117" s="8" t="n"/>
      <c r="I117" s="7" t="n"/>
      <c r="J117" s="9">
        <f>IFERROR(E117/G117,0)</f>
        <v/>
      </c>
      <c r="K117" s="10">
        <f>IFERROR(E117/F117,0)</f>
        <v/>
      </c>
      <c r="L117" s="10">
        <f>J117*H117</f>
        <v/>
      </c>
      <c r="M117" s="11">
        <f>K117-L117</f>
        <v/>
      </c>
      <c r="N117" s="12">
        <f>K117*I117</f>
        <v/>
      </c>
      <c r="O117" s="13">
        <f>IFERROR(N117/E117,0)</f>
        <v/>
      </c>
    </row>
    <row r="118">
      <c r="A118" s="4" t="n"/>
      <c r="B118" s="5" t="n"/>
      <c r="C118" s="5" t="n"/>
      <c r="D118" s="6" t="n"/>
      <c r="E118" s="7" t="n"/>
      <c r="F118" s="7" t="n"/>
      <c r="G118" s="7" t="n"/>
      <c r="H118" s="8" t="n"/>
      <c r="I118" s="7" t="n"/>
      <c r="J118" s="9">
        <f>IFERROR(E118/G118,0)</f>
        <v/>
      </c>
      <c r="K118" s="10">
        <f>IFERROR(E118/F118,0)</f>
        <v/>
      </c>
      <c r="L118" s="10">
        <f>J118*H118</f>
        <v/>
      </c>
      <c r="M118" s="11">
        <f>K118-L118</f>
        <v/>
      </c>
      <c r="N118" s="12">
        <f>K118*I118</f>
        <v/>
      </c>
      <c r="O118" s="13">
        <f>IFERROR(N118/E118,0)</f>
        <v/>
      </c>
    </row>
    <row r="119">
      <c r="A119" s="4" t="n"/>
      <c r="B119" s="5" t="n"/>
      <c r="C119" s="5" t="n"/>
      <c r="D119" s="6" t="n"/>
      <c r="E119" s="7" t="n"/>
      <c r="F119" s="7" t="n"/>
      <c r="G119" s="7" t="n"/>
      <c r="H119" s="8" t="n"/>
      <c r="I119" s="7" t="n"/>
      <c r="J119" s="9">
        <f>IFERROR(E119/G119,0)</f>
        <v/>
      </c>
      <c r="K119" s="10">
        <f>IFERROR(E119/F119,0)</f>
        <v/>
      </c>
      <c r="L119" s="10">
        <f>J119*H119</f>
        <v/>
      </c>
      <c r="M119" s="11">
        <f>K119-L119</f>
        <v/>
      </c>
      <c r="N119" s="12">
        <f>K119*I119</f>
        <v/>
      </c>
      <c r="O119" s="13">
        <f>IFERROR(N119/E119,0)</f>
        <v/>
      </c>
    </row>
    <row r="120">
      <c r="A120" s="4" t="n"/>
      <c r="B120" s="5" t="n"/>
      <c r="C120" s="5" t="n"/>
      <c r="D120" s="6" t="n"/>
      <c r="E120" s="7" t="n"/>
      <c r="F120" s="7" t="n"/>
      <c r="G120" s="7" t="n"/>
      <c r="H120" s="8" t="n"/>
      <c r="I120" s="7" t="n"/>
      <c r="J120" s="9">
        <f>IFERROR(E120/G120,0)</f>
        <v/>
      </c>
      <c r="K120" s="10">
        <f>IFERROR(E120/F120,0)</f>
        <v/>
      </c>
      <c r="L120" s="10">
        <f>J120*H120</f>
        <v/>
      </c>
      <c r="M120" s="11">
        <f>K120-L120</f>
        <v/>
      </c>
      <c r="N120" s="12">
        <f>K120*I120</f>
        <v/>
      </c>
      <c r="O120" s="13">
        <f>IFERROR(N120/E120,0)</f>
        <v/>
      </c>
    </row>
    <row r="121">
      <c r="A121" s="4" t="n"/>
      <c r="B121" s="5" t="n"/>
      <c r="C121" s="5" t="n"/>
      <c r="D121" s="6" t="n"/>
      <c r="E121" s="7" t="n"/>
      <c r="F121" s="7" t="n"/>
      <c r="G121" s="7" t="n"/>
      <c r="H121" s="8" t="n"/>
      <c r="I121" s="7" t="n"/>
      <c r="J121" s="9">
        <f>IFERROR(E121/G121,0)</f>
        <v/>
      </c>
      <c r="K121" s="10">
        <f>IFERROR(E121/F121,0)</f>
        <v/>
      </c>
      <c r="L121" s="10">
        <f>J121*H121</f>
        <v/>
      </c>
      <c r="M121" s="11">
        <f>K121-L121</f>
        <v/>
      </c>
      <c r="N121" s="12">
        <f>K121*I121</f>
        <v/>
      </c>
      <c r="O121" s="13">
        <f>IFERROR(N121/E121,0)</f>
        <v/>
      </c>
    </row>
    <row r="122">
      <c r="A122" s="4" t="n"/>
      <c r="B122" s="5" t="n"/>
      <c r="C122" s="5" t="n"/>
      <c r="D122" s="6" t="n"/>
      <c r="E122" s="7" t="n"/>
      <c r="F122" s="7" t="n"/>
      <c r="G122" s="7" t="n"/>
      <c r="H122" s="8" t="n"/>
      <c r="I122" s="7" t="n"/>
      <c r="J122" s="9">
        <f>IFERROR(E122/G122,0)</f>
        <v/>
      </c>
      <c r="K122" s="10">
        <f>IFERROR(E122/F122,0)</f>
        <v/>
      </c>
      <c r="L122" s="10">
        <f>J122*H122</f>
        <v/>
      </c>
      <c r="M122" s="11">
        <f>K122-L122</f>
        <v/>
      </c>
      <c r="N122" s="12">
        <f>K122*I122</f>
        <v/>
      </c>
      <c r="O122" s="13">
        <f>IFERROR(N122/E122,0)</f>
        <v/>
      </c>
    </row>
    <row r="123">
      <c r="A123" s="4" t="n"/>
      <c r="B123" s="5" t="n"/>
      <c r="C123" s="5" t="n"/>
      <c r="D123" s="6" t="n"/>
      <c r="E123" s="7" t="n"/>
      <c r="F123" s="7" t="n"/>
      <c r="G123" s="7" t="n"/>
      <c r="H123" s="8" t="n"/>
      <c r="I123" s="7" t="n"/>
      <c r="J123" s="9">
        <f>IFERROR(E123/G123,0)</f>
        <v/>
      </c>
      <c r="K123" s="10">
        <f>IFERROR(E123/F123,0)</f>
        <v/>
      </c>
      <c r="L123" s="10">
        <f>J123*H123</f>
        <v/>
      </c>
      <c r="M123" s="11">
        <f>K123-L123</f>
        <v/>
      </c>
      <c r="N123" s="12">
        <f>K123*I123</f>
        <v/>
      </c>
      <c r="O123" s="13">
        <f>IFERROR(N123/E123,0)</f>
        <v/>
      </c>
    </row>
    <row r="124">
      <c r="A124" s="4" t="n"/>
      <c r="B124" s="5" t="n"/>
      <c r="C124" s="5" t="n"/>
      <c r="D124" s="6" t="n"/>
      <c r="E124" s="7" t="n"/>
      <c r="F124" s="7" t="n"/>
      <c r="G124" s="7" t="n"/>
      <c r="H124" s="8" t="n"/>
      <c r="I124" s="7" t="n"/>
      <c r="J124" s="9">
        <f>IFERROR(E124/G124,0)</f>
        <v/>
      </c>
      <c r="K124" s="10">
        <f>IFERROR(E124/F124,0)</f>
        <v/>
      </c>
      <c r="L124" s="10">
        <f>J124*H124</f>
        <v/>
      </c>
      <c r="M124" s="11">
        <f>K124-L124</f>
        <v/>
      </c>
      <c r="N124" s="12">
        <f>K124*I124</f>
        <v/>
      </c>
      <c r="O124" s="13">
        <f>IFERROR(N124/E124,0)</f>
        <v/>
      </c>
    </row>
    <row r="125">
      <c r="A125" s="4" t="n"/>
      <c r="B125" s="5" t="n"/>
      <c r="C125" s="5" t="n"/>
      <c r="D125" s="6" t="n"/>
      <c r="E125" s="7" t="n"/>
      <c r="F125" s="7" t="n"/>
      <c r="G125" s="7" t="n"/>
      <c r="H125" s="8" t="n"/>
      <c r="I125" s="7" t="n"/>
      <c r="J125" s="9">
        <f>IFERROR(E125/G125,0)</f>
        <v/>
      </c>
      <c r="K125" s="10">
        <f>IFERROR(E125/F125,0)</f>
        <v/>
      </c>
      <c r="L125" s="10">
        <f>J125*H125</f>
        <v/>
      </c>
      <c r="M125" s="11">
        <f>K125-L125</f>
        <v/>
      </c>
      <c r="N125" s="12">
        <f>K125*I125</f>
        <v/>
      </c>
      <c r="O125" s="13">
        <f>IFERROR(N125/E125,0)</f>
        <v/>
      </c>
    </row>
    <row r="126">
      <c r="A126" s="4" t="n"/>
      <c r="B126" s="5" t="n"/>
      <c r="C126" s="5" t="n"/>
      <c r="D126" s="6" t="n"/>
      <c r="E126" s="7" t="n"/>
      <c r="F126" s="7" t="n"/>
      <c r="G126" s="7" t="n"/>
      <c r="H126" s="8" t="n"/>
      <c r="I126" s="7" t="n"/>
      <c r="J126" s="9">
        <f>IFERROR(E126/G126,0)</f>
        <v/>
      </c>
      <c r="K126" s="10">
        <f>IFERROR(E126/F126,0)</f>
        <v/>
      </c>
      <c r="L126" s="10">
        <f>J126*H126</f>
        <v/>
      </c>
      <c r="M126" s="11">
        <f>K126-L126</f>
        <v/>
      </c>
      <c r="N126" s="12">
        <f>K126*I126</f>
        <v/>
      </c>
      <c r="O126" s="13">
        <f>IFERROR(N126/E126,0)</f>
        <v/>
      </c>
    </row>
    <row r="127">
      <c r="A127" s="4" t="n"/>
      <c r="B127" s="5" t="n"/>
      <c r="C127" s="5" t="n"/>
      <c r="D127" s="6" t="n"/>
      <c r="E127" s="7" t="n"/>
      <c r="F127" s="7" t="n"/>
      <c r="G127" s="7" t="n"/>
      <c r="H127" s="8" t="n"/>
      <c r="I127" s="7" t="n"/>
      <c r="J127" s="9">
        <f>IFERROR(E127/G127,0)</f>
        <v/>
      </c>
      <c r="K127" s="10">
        <f>IFERROR(E127/F127,0)</f>
        <v/>
      </c>
      <c r="L127" s="10">
        <f>J127*H127</f>
        <v/>
      </c>
      <c r="M127" s="11">
        <f>K127-L127</f>
        <v/>
      </c>
      <c r="N127" s="12">
        <f>K127*I127</f>
        <v/>
      </c>
      <c r="O127" s="13">
        <f>IFERROR(N127/E127,0)</f>
        <v/>
      </c>
    </row>
    <row r="128">
      <c r="A128" s="4" t="n"/>
      <c r="B128" s="5" t="n"/>
      <c r="C128" s="5" t="n"/>
      <c r="D128" s="6" t="n"/>
      <c r="E128" s="7" t="n"/>
      <c r="F128" s="7" t="n"/>
      <c r="G128" s="7" t="n"/>
      <c r="H128" s="8" t="n"/>
      <c r="I128" s="7" t="n"/>
      <c r="J128" s="9">
        <f>IFERROR(E128/G128,0)</f>
        <v/>
      </c>
      <c r="K128" s="10">
        <f>IFERROR(E128/F128,0)</f>
        <v/>
      </c>
      <c r="L128" s="10">
        <f>J128*H128</f>
        <v/>
      </c>
      <c r="M128" s="11">
        <f>K128-L128</f>
        <v/>
      </c>
      <c r="N128" s="12">
        <f>K128*I128</f>
        <v/>
      </c>
      <c r="O128" s="13">
        <f>IFERROR(N128/E128,0)</f>
        <v/>
      </c>
    </row>
    <row r="129">
      <c r="A129" s="4" t="n"/>
      <c r="B129" s="5" t="n"/>
      <c r="C129" s="5" t="n"/>
      <c r="D129" s="6" t="n"/>
      <c r="E129" s="7" t="n"/>
      <c r="F129" s="7" t="n"/>
      <c r="G129" s="7" t="n"/>
      <c r="H129" s="8" t="n"/>
      <c r="I129" s="7" t="n"/>
      <c r="J129" s="9">
        <f>IFERROR(E129/G129,0)</f>
        <v/>
      </c>
      <c r="K129" s="10">
        <f>IFERROR(E129/F129,0)</f>
        <v/>
      </c>
      <c r="L129" s="10">
        <f>J129*H129</f>
        <v/>
      </c>
      <c r="M129" s="11">
        <f>K129-L129</f>
        <v/>
      </c>
      <c r="N129" s="12">
        <f>K129*I129</f>
        <v/>
      </c>
      <c r="O129" s="13">
        <f>IFERROR(N129/E129,0)</f>
        <v/>
      </c>
    </row>
    <row r="130">
      <c r="A130" s="4" t="n"/>
      <c r="B130" s="5" t="n"/>
      <c r="C130" s="5" t="n"/>
      <c r="D130" s="6" t="n"/>
      <c r="E130" s="7" t="n"/>
      <c r="F130" s="7" t="n"/>
      <c r="G130" s="7" t="n"/>
      <c r="H130" s="8" t="n"/>
      <c r="I130" s="7" t="n"/>
      <c r="J130" s="9">
        <f>IFERROR(E130/G130,0)</f>
        <v/>
      </c>
      <c r="K130" s="10">
        <f>IFERROR(E130/F130,0)</f>
        <v/>
      </c>
      <c r="L130" s="10">
        <f>J130*H130</f>
        <v/>
      </c>
      <c r="M130" s="11">
        <f>K130-L130</f>
        <v/>
      </c>
      <c r="N130" s="12">
        <f>K130*I130</f>
        <v/>
      </c>
      <c r="O130" s="13">
        <f>IFERROR(N130/E130,0)</f>
        <v/>
      </c>
    </row>
    <row r="131">
      <c r="A131" s="4" t="n"/>
      <c r="B131" s="5" t="n"/>
      <c r="C131" s="5" t="n"/>
      <c r="D131" s="6" t="n"/>
      <c r="E131" s="7" t="n"/>
      <c r="F131" s="7" t="n"/>
      <c r="G131" s="7" t="n"/>
      <c r="H131" s="8" t="n"/>
      <c r="I131" s="7" t="n"/>
      <c r="J131" s="9">
        <f>IFERROR(E131/G131,0)</f>
        <v/>
      </c>
      <c r="K131" s="10">
        <f>IFERROR(E131/F131,0)</f>
        <v/>
      </c>
      <c r="L131" s="10">
        <f>J131*H131</f>
        <v/>
      </c>
      <c r="M131" s="11">
        <f>K131-L131</f>
        <v/>
      </c>
      <c r="N131" s="12">
        <f>K131*I131</f>
        <v/>
      </c>
      <c r="O131" s="13">
        <f>IFERROR(N131/E131,0)</f>
        <v/>
      </c>
    </row>
    <row r="132">
      <c r="A132" s="4" t="n"/>
      <c r="B132" s="5" t="n"/>
      <c r="C132" s="5" t="n"/>
      <c r="D132" s="6" t="n"/>
      <c r="E132" s="7" t="n"/>
      <c r="F132" s="7" t="n"/>
      <c r="G132" s="7" t="n"/>
      <c r="H132" s="8" t="n"/>
      <c r="I132" s="7" t="n"/>
      <c r="J132" s="9">
        <f>IFERROR(E132/G132,0)</f>
        <v/>
      </c>
      <c r="K132" s="10">
        <f>IFERROR(E132/F132,0)</f>
        <v/>
      </c>
      <c r="L132" s="10">
        <f>J132*H132</f>
        <v/>
      </c>
      <c r="M132" s="11">
        <f>K132-L132</f>
        <v/>
      </c>
      <c r="N132" s="12">
        <f>K132*I132</f>
        <v/>
      </c>
      <c r="O132" s="13">
        <f>IFERROR(N132/E132,0)</f>
        <v/>
      </c>
    </row>
    <row r="133">
      <c r="A133" s="4" t="n"/>
      <c r="B133" s="5" t="n"/>
      <c r="C133" s="5" t="n"/>
      <c r="D133" s="6" t="n"/>
      <c r="E133" s="7" t="n"/>
      <c r="F133" s="7" t="n"/>
      <c r="G133" s="7" t="n"/>
      <c r="H133" s="8" t="n"/>
      <c r="I133" s="7" t="n"/>
      <c r="J133" s="9">
        <f>IFERROR(E133/G133,0)</f>
        <v/>
      </c>
      <c r="K133" s="10">
        <f>IFERROR(E133/F133,0)</f>
        <v/>
      </c>
      <c r="L133" s="10">
        <f>J133*H133</f>
        <v/>
      </c>
      <c r="M133" s="11">
        <f>K133-L133</f>
        <v/>
      </c>
      <c r="N133" s="12">
        <f>K133*I133</f>
        <v/>
      </c>
      <c r="O133" s="13">
        <f>IFERROR(N133/E133,0)</f>
        <v/>
      </c>
    </row>
    <row r="134">
      <c r="A134" s="4" t="n"/>
      <c r="B134" s="5" t="n"/>
      <c r="C134" s="5" t="n"/>
      <c r="D134" s="6" t="n"/>
      <c r="E134" s="7" t="n"/>
      <c r="F134" s="7" t="n"/>
      <c r="G134" s="7" t="n"/>
      <c r="H134" s="8" t="n"/>
      <c r="I134" s="7" t="n"/>
      <c r="J134" s="9">
        <f>IFERROR(E134/G134,0)</f>
        <v/>
      </c>
      <c r="K134" s="10">
        <f>IFERROR(E134/F134,0)</f>
        <v/>
      </c>
      <c r="L134" s="10">
        <f>J134*H134</f>
        <v/>
      </c>
      <c r="M134" s="11">
        <f>K134-L134</f>
        <v/>
      </c>
      <c r="N134" s="12">
        <f>K134*I134</f>
        <v/>
      </c>
      <c r="O134" s="13">
        <f>IFERROR(N134/E134,0)</f>
        <v/>
      </c>
    </row>
    <row r="135">
      <c r="A135" s="4" t="n"/>
      <c r="B135" s="5" t="n"/>
      <c r="C135" s="5" t="n"/>
      <c r="D135" s="6" t="n"/>
      <c r="E135" s="7" t="n"/>
      <c r="F135" s="7" t="n"/>
      <c r="G135" s="7" t="n"/>
      <c r="H135" s="8" t="n"/>
      <c r="I135" s="7" t="n"/>
      <c r="J135" s="9">
        <f>IFERROR(E135/G135,0)</f>
        <v/>
      </c>
      <c r="K135" s="10">
        <f>IFERROR(E135/F135,0)</f>
        <v/>
      </c>
      <c r="L135" s="10">
        <f>J135*H135</f>
        <v/>
      </c>
      <c r="M135" s="11">
        <f>K135-L135</f>
        <v/>
      </c>
      <c r="N135" s="12">
        <f>K135*I135</f>
        <v/>
      </c>
      <c r="O135" s="13">
        <f>IFERROR(N135/E135,0)</f>
        <v/>
      </c>
    </row>
    <row r="136">
      <c r="A136" s="4" t="n"/>
      <c r="B136" s="5" t="n"/>
      <c r="C136" s="5" t="n"/>
      <c r="D136" s="6" t="n"/>
      <c r="E136" s="7" t="n"/>
      <c r="F136" s="7" t="n"/>
      <c r="G136" s="7" t="n"/>
      <c r="H136" s="8" t="n"/>
      <c r="I136" s="7" t="n"/>
      <c r="J136" s="9">
        <f>IFERROR(E136/G136,0)</f>
        <v/>
      </c>
      <c r="K136" s="10">
        <f>IFERROR(E136/F136,0)</f>
        <v/>
      </c>
      <c r="L136" s="10">
        <f>J136*H136</f>
        <v/>
      </c>
      <c r="M136" s="11">
        <f>K136-L136</f>
        <v/>
      </c>
      <c r="N136" s="12">
        <f>K136*I136</f>
        <v/>
      </c>
      <c r="O136" s="13">
        <f>IFERROR(N136/E136,0)</f>
        <v/>
      </c>
    </row>
    <row r="137">
      <c r="A137" s="4" t="n"/>
      <c r="B137" s="5" t="n"/>
      <c r="C137" s="5" t="n"/>
      <c r="D137" s="6" t="n"/>
      <c r="E137" s="7" t="n"/>
      <c r="F137" s="7" t="n"/>
      <c r="G137" s="7" t="n"/>
      <c r="H137" s="8" t="n"/>
      <c r="I137" s="7" t="n"/>
      <c r="J137" s="9">
        <f>IFERROR(E137/G137,0)</f>
        <v/>
      </c>
      <c r="K137" s="10">
        <f>IFERROR(E137/F137,0)</f>
        <v/>
      </c>
      <c r="L137" s="10">
        <f>J137*H137</f>
        <v/>
      </c>
      <c r="M137" s="11">
        <f>K137-L137</f>
        <v/>
      </c>
      <c r="N137" s="12">
        <f>K137*I137</f>
        <v/>
      </c>
      <c r="O137" s="13">
        <f>IFERROR(N137/E137,0)</f>
        <v/>
      </c>
    </row>
    <row r="138">
      <c r="A138" s="4" t="n"/>
      <c r="B138" s="5" t="n"/>
      <c r="C138" s="5" t="n"/>
      <c r="D138" s="6" t="n"/>
      <c r="E138" s="7" t="n"/>
      <c r="F138" s="7" t="n"/>
      <c r="G138" s="7" t="n"/>
      <c r="H138" s="8" t="n"/>
      <c r="I138" s="7" t="n"/>
      <c r="J138" s="9">
        <f>IFERROR(E138/G138,0)</f>
        <v/>
      </c>
      <c r="K138" s="10">
        <f>IFERROR(E138/F138,0)</f>
        <v/>
      </c>
      <c r="L138" s="10">
        <f>J138*H138</f>
        <v/>
      </c>
      <c r="M138" s="11">
        <f>K138-L138</f>
        <v/>
      </c>
      <c r="N138" s="12">
        <f>K138*I138</f>
        <v/>
      </c>
      <c r="O138" s="13">
        <f>IFERROR(N138/E138,0)</f>
        <v/>
      </c>
    </row>
    <row r="139">
      <c r="A139" s="4" t="n"/>
      <c r="B139" s="5" t="n"/>
      <c r="C139" s="5" t="n"/>
      <c r="D139" s="6" t="n"/>
      <c r="E139" s="7" t="n"/>
      <c r="F139" s="7" t="n"/>
      <c r="G139" s="7" t="n"/>
      <c r="H139" s="8" t="n"/>
      <c r="I139" s="7" t="n"/>
      <c r="J139" s="9">
        <f>IFERROR(E139/G139,0)</f>
        <v/>
      </c>
      <c r="K139" s="10">
        <f>IFERROR(E139/F139,0)</f>
        <v/>
      </c>
      <c r="L139" s="10">
        <f>J139*H139</f>
        <v/>
      </c>
      <c r="M139" s="11">
        <f>K139-L139</f>
        <v/>
      </c>
      <c r="N139" s="12">
        <f>K139*I139</f>
        <v/>
      </c>
      <c r="O139" s="13">
        <f>IFERROR(N139/E139,0)</f>
        <v/>
      </c>
    </row>
    <row r="140">
      <c r="A140" s="4" t="n"/>
      <c r="B140" s="5" t="n"/>
      <c r="C140" s="5" t="n"/>
      <c r="D140" s="6" t="n"/>
      <c r="E140" s="7" t="n"/>
      <c r="F140" s="7" t="n"/>
      <c r="G140" s="7" t="n"/>
      <c r="H140" s="8" t="n"/>
      <c r="I140" s="7" t="n"/>
      <c r="J140" s="9">
        <f>IFERROR(E140/G140,0)</f>
        <v/>
      </c>
      <c r="K140" s="10">
        <f>IFERROR(E140/F140,0)</f>
        <v/>
      </c>
      <c r="L140" s="10">
        <f>J140*H140</f>
        <v/>
      </c>
      <c r="M140" s="11">
        <f>K140-L140</f>
        <v/>
      </c>
      <c r="N140" s="12">
        <f>K140*I140</f>
        <v/>
      </c>
      <c r="O140" s="13">
        <f>IFERROR(N140/E140,0)</f>
        <v/>
      </c>
    </row>
    <row r="141">
      <c r="A141" s="4" t="n"/>
      <c r="B141" s="5" t="n"/>
      <c r="C141" s="5" t="n"/>
      <c r="D141" s="6" t="n"/>
      <c r="E141" s="7" t="n"/>
      <c r="F141" s="7" t="n"/>
      <c r="G141" s="7" t="n"/>
      <c r="H141" s="8" t="n"/>
      <c r="I141" s="7" t="n"/>
      <c r="J141" s="9">
        <f>IFERROR(E141/G141,0)</f>
        <v/>
      </c>
      <c r="K141" s="10">
        <f>IFERROR(E141/F141,0)</f>
        <v/>
      </c>
      <c r="L141" s="10">
        <f>J141*H141</f>
        <v/>
      </c>
      <c r="M141" s="11">
        <f>K141-L141</f>
        <v/>
      </c>
      <c r="N141" s="12">
        <f>K141*I141</f>
        <v/>
      </c>
      <c r="O141" s="13">
        <f>IFERROR(N141/E141,0)</f>
        <v/>
      </c>
    </row>
    <row r="142">
      <c r="A142" s="4" t="n"/>
      <c r="B142" s="5" t="n"/>
      <c r="C142" s="5" t="n"/>
      <c r="D142" s="6" t="n"/>
      <c r="E142" s="7" t="n"/>
      <c r="F142" s="7" t="n"/>
      <c r="G142" s="7" t="n"/>
      <c r="H142" s="8" t="n"/>
      <c r="I142" s="7" t="n"/>
      <c r="J142" s="9">
        <f>IFERROR(E142/G142,0)</f>
        <v/>
      </c>
      <c r="K142" s="10">
        <f>IFERROR(E142/F142,0)</f>
        <v/>
      </c>
      <c r="L142" s="10">
        <f>J142*H142</f>
        <v/>
      </c>
      <c r="M142" s="11">
        <f>K142-L142</f>
        <v/>
      </c>
      <c r="N142" s="12">
        <f>K142*I142</f>
        <v/>
      </c>
      <c r="O142" s="13">
        <f>IFERROR(N142/E142,0)</f>
        <v/>
      </c>
    </row>
    <row r="143">
      <c r="A143" s="4" t="n"/>
      <c r="B143" s="5" t="n"/>
      <c r="C143" s="5" t="n"/>
      <c r="D143" s="6" t="n"/>
      <c r="E143" s="7" t="n"/>
      <c r="F143" s="7" t="n"/>
      <c r="G143" s="7" t="n"/>
      <c r="H143" s="8" t="n"/>
      <c r="I143" s="7" t="n"/>
      <c r="J143" s="9">
        <f>IFERROR(E143/G143,0)</f>
        <v/>
      </c>
      <c r="K143" s="10">
        <f>IFERROR(E143/F143,0)</f>
        <v/>
      </c>
      <c r="L143" s="10">
        <f>J143*H143</f>
        <v/>
      </c>
      <c r="M143" s="11">
        <f>K143-L143</f>
        <v/>
      </c>
      <c r="N143" s="12">
        <f>K143*I143</f>
        <v/>
      </c>
      <c r="O143" s="13">
        <f>IFERROR(N143/E143,0)</f>
        <v/>
      </c>
    </row>
    <row r="144">
      <c r="A144" s="4" t="n"/>
      <c r="B144" s="5" t="n"/>
      <c r="C144" s="5" t="n"/>
      <c r="D144" s="6" t="n"/>
      <c r="E144" s="7" t="n"/>
      <c r="F144" s="7" t="n"/>
      <c r="G144" s="7" t="n"/>
      <c r="H144" s="8" t="n"/>
      <c r="I144" s="7" t="n"/>
      <c r="J144" s="9">
        <f>IFERROR(E144/G144,0)</f>
        <v/>
      </c>
      <c r="K144" s="10">
        <f>IFERROR(E144/F144,0)</f>
        <v/>
      </c>
      <c r="L144" s="10">
        <f>J144*H144</f>
        <v/>
      </c>
      <c r="M144" s="11">
        <f>K144-L144</f>
        <v/>
      </c>
      <c r="N144" s="12">
        <f>K144*I144</f>
        <v/>
      </c>
      <c r="O144" s="13">
        <f>IFERROR(N144/E144,0)</f>
        <v/>
      </c>
    </row>
    <row r="145">
      <c r="A145" s="4" t="n"/>
      <c r="B145" s="5" t="n"/>
      <c r="C145" s="5" t="n"/>
      <c r="D145" s="6" t="n"/>
      <c r="E145" s="7" t="n"/>
      <c r="F145" s="7" t="n"/>
      <c r="G145" s="7" t="n"/>
      <c r="H145" s="8" t="n"/>
      <c r="I145" s="7" t="n"/>
      <c r="J145" s="9">
        <f>IFERROR(E145/G145,0)</f>
        <v/>
      </c>
      <c r="K145" s="10">
        <f>IFERROR(E145/F145,0)</f>
        <v/>
      </c>
      <c r="L145" s="10">
        <f>J145*H145</f>
        <v/>
      </c>
      <c r="M145" s="11">
        <f>K145-L145</f>
        <v/>
      </c>
      <c r="N145" s="12">
        <f>K145*I145</f>
        <v/>
      </c>
      <c r="O145" s="13">
        <f>IFERROR(N145/E145,0)</f>
        <v/>
      </c>
    </row>
    <row r="146">
      <c r="A146" s="4" t="n"/>
      <c r="B146" s="5" t="n"/>
      <c r="C146" s="5" t="n"/>
      <c r="D146" s="6" t="n"/>
      <c r="E146" s="7" t="n"/>
      <c r="F146" s="7" t="n"/>
      <c r="G146" s="7" t="n"/>
      <c r="H146" s="8" t="n"/>
      <c r="I146" s="7" t="n"/>
      <c r="J146" s="9">
        <f>IFERROR(E146/G146,0)</f>
        <v/>
      </c>
      <c r="K146" s="10">
        <f>IFERROR(E146/F146,0)</f>
        <v/>
      </c>
      <c r="L146" s="10">
        <f>J146*H146</f>
        <v/>
      </c>
      <c r="M146" s="11">
        <f>K146-L146</f>
        <v/>
      </c>
      <c r="N146" s="12">
        <f>K146*I146</f>
        <v/>
      </c>
      <c r="O146" s="13">
        <f>IFERROR(N146/E146,0)</f>
        <v/>
      </c>
    </row>
    <row r="147">
      <c r="A147" s="4" t="n"/>
      <c r="B147" s="5" t="n"/>
      <c r="C147" s="5" t="n"/>
      <c r="D147" s="6" t="n"/>
      <c r="E147" s="7" t="n"/>
      <c r="F147" s="7" t="n"/>
      <c r="G147" s="7" t="n"/>
      <c r="H147" s="8" t="n"/>
      <c r="I147" s="7" t="n"/>
      <c r="J147" s="9">
        <f>IFERROR(E147/G147,0)</f>
        <v/>
      </c>
      <c r="K147" s="10">
        <f>IFERROR(E147/F147,0)</f>
        <v/>
      </c>
      <c r="L147" s="10">
        <f>J147*H147</f>
        <v/>
      </c>
      <c r="M147" s="11">
        <f>K147-L147</f>
        <v/>
      </c>
      <c r="N147" s="12">
        <f>K147*I147</f>
        <v/>
      </c>
      <c r="O147" s="13">
        <f>IFERROR(N147/E147,0)</f>
        <v/>
      </c>
    </row>
    <row r="148">
      <c r="A148" s="4" t="n"/>
      <c r="B148" s="5" t="n"/>
      <c r="C148" s="5" t="n"/>
      <c r="D148" s="6" t="n"/>
      <c r="E148" s="7" t="n"/>
      <c r="F148" s="7" t="n"/>
      <c r="G148" s="7" t="n"/>
      <c r="H148" s="8" t="n"/>
      <c r="I148" s="7" t="n"/>
      <c r="J148" s="9">
        <f>IFERROR(E148/G148,0)</f>
        <v/>
      </c>
      <c r="K148" s="10">
        <f>IFERROR(E148/F148,0)</f>
        <v/>
      </c>
      <c r="L148" s="10">
        <f>J148*H148</f>
        <v/>
      </c>
      <c r="M148" s="11">
        <f>K148-L148</f>
        <v/>
      </c>
      <c r="N148" s="12">
        <f>K148*I148</f>
        <v/>
      </c>
      <c r="O148" s="13">
        <f>IFERROR(N148/E148,0)</f>
        <v/>
      </c>
    </row>
    <row r="149">
      <c r="A149" s="4" t="n"/>
      <c r="B149" s="5" t="n"/>
      <c r="C149" s="5" t="n"/>
      <c r="D149" s="6" t="n"/>
      <c r="E149" s="7" t="n"/>
      <c r="F149" s="7" t="n"/>
      <c r="G149" s="7" t="n"/>
      <c r="H149" s="8" t="n"/>
      <c r="I149" s="7" t="n"/>
      <c r="J149" s="9">
        <f>IFERROR(E149/G149,0)</f>
        <v/>
      </c>
      <c r="K149" s="10">
        <f>IFERROR(E149/F149,0)</f>
        <v/>
      </c>
      <c r="L149" s="10">
        <f>J149*H149</f>
        <v/>
      </c>
      <c r="M149" s="11">
        <f>K149-L149</f>
        <v/>
      </c>
      <c r="N149" s="12">
        <f>K149*I149</f>
        <v/>
      </c>
      <c r="O149" s="13">
        <f>IFERROR(N149/E149,0)</f>
        <v/>
      </c>
    </row>
    <row r="150">
      <c r="A150" s="4" t="n"/>
      <c r="B150" s="5" t="n"/>
      <c r="C150" s="5" t="n"/>
      <c r="D150" s="6" t="n"/>
      <c r="E150" s="7" t="n"/>
      <c r="F150" s="7" t="n"/>
      <c r="G150" s="7" t="n"/>
      <c r="H150" s="8" t="n"/>
      <c r="I150" s="7" t="n"/>
      <c r="J150" s="9">
        <f>IFERROR(E150/G150,0)</f>
        <v/>
      </c>
      <c r="K150" s="10">
        <f>IFERROR(E150/F150,0)</f>
        <v/>
      </c>
      <c r="L150" s="10">
        <f>J150*H150</f>
        <v/>
      </c>
      <c r="M150" s="11">
        <f>K150-L150</f>
        <v/>
      </c>
      <c r="N150" s="12">
        <f>K150*I150</f>
        <v/>
      </c>
      <c r="O150" s="13">
        <f>IFERROR(N150/E150,0)</f>
        <v/>
      </c>
    </row>
    <row r="151">
      <c r="A151" s="4" t="n"/>
      <c r="B151" s="5" t="n"/>
      <c r="C151" s="5" t="n"/>
      <c r="D151" s="6" t="n"/>
      <c r="E151" s="7" t="n"/>
      <c r="F151" s="7" t="n"/>
      <c r="G151" s="7" t="n"/>
      <c r="H151" s="8" t="n"/>
      <c r="I151" s="7" t="n"/>
      <c r="J151" s="9">
        <f>IFERROR(E151/G151,0)</f>
        <v/>
      </c>
      <c r="K151" s="10">
        <f>IFERROR(E151/F151,0)</f>
        <v/>
      </c>
      <c r="L151" s="10">
        <f>J151*H151</f>
        <v/>
      </c>
      <c r="M151" s="11">
        <f>K151-L151</f>
        <v/>
      </c>
      <c r="N151" s="12">
        <f>K151*I151</f>
        <v/>
      </c>
      <c r="O151" s="13">
        <f>IFERROR(N151/E151,0)</f>
        <v/>
      </c>
    </row>
    <row r="152">
      <c r="A152" s="4" t="n"/>
      <c r="B152" s="5" t="n"/>
      <c r="C152" s="5" t="n"/>
      <c r="D152" s="6" t="n"/>
      <c r="E152" s="7" t="n"/>
      <c r="F152" s="7" t="n"/>
      <c r="G152" s="7" t="n"/>
      <c r="H152" s="8" t="n"/>
      <c r="I152" s="7" t="n"/>
      <c r="J152" s="9">
        <f>IFERROR(E152/G152,0)</f>
        <v/>
      </c>
      <c r="K152" s="10">
        <f>IFERROR(E152/F152,0)</f>
        <v/>
      </c>
      <c r="L152" s="10">
        <f>J152*H152</f>
        <v/>
      </c>
      <c r="M152" s="11">
        <f>K152-L152</f>
        <v/>
      </c>
      <c r="N152" s="12">
        <f>K152*I152</f>
        <v/>
      </c>
      <c r="O152" s="13">
        <f>IFERROR(N152/E152,0)</f>
        <v/>
      </c>
    </row>
    <row r="153">
      <c r="A153" s="4" t="n"/>
      <c r="B153" s="5" t="n"/>
      <c r="C153" s="5" t="n"/>
      <c r="D153" s="6" t="n"/>
      <c r="E153" s="7" t="n"/>
      <c r="F153" s="7" t="n"/>
      <c r="G153" s="7" t="n"/>
      <c r="H153" s="8" t="n"/>
      <c r="I153" s="7" t="n"/>
      <c r="J153" s="9">
        <f>IFERROR(E153/G153,0)</f>
        <v/>
      </c>
      <c r="K153" s="10">
        <f>IFERROR(E153/F153,0)</f>
        <v/>
      </c>
      <c r="L153" s="10">
        <f>J153*H153</f>
        <v/>
      </c>
      <c r="M153" s="11">
        <f>K153-L153</f>
        <v/>
      </c>
      <c r="N153" s="12">
        <f>K153*I153</f>
        <v/>
      </c>
      <c r="O153" s="13">
        <f>IFERROR(N153/E153,0)</f>
        <v/>
      </c>
    </row>
    <row r="154">
      <c r="A154" s="4" t="n"/>
      <c r="B154" s="5" t="n"/>
      <c r="C154" s="5" t="n"/>
      <c r="D154" s="6" t="n"/>
      <c r="E154" s="7" t="n"/>
      <c r="F154" s="7" t="n"/>
      <c r="G154" s="7" t="n"/>
      <c r="H154" s="8" t="n"/>
      <c r="I154" s="7" t="n"/>
      <c r="J154" s="9">
        <f>IFERROR(E154/G154,0)</f>
        <v/>
      </c>
      <c r="K154" s="10">
        <f>IFERROR(E154/F154,0)</f>
        <v/>
      </c>
      <c r="L154" s="10">
        <f>J154*H154</f>
        <v/>
      </c>
      <c r="M154" s="11">
        <f>K154-L154</f>
        <v/>
      </c>
      <c r="N154" s="12">
        <f>K154*I154</f>
        <v/>
      </c>
      <c r="O154" s="13">
        <f>IFERROR(N154/E154,0)</f>
        <v/>
      </c>
    </row>
    <row r="155">
      <c r="A155" s="4" t="n"/>
      <c r="B155" s="5" t="n"/>
      <c r="C155" s="5" t="n"/>
      <c r="D155" s="6" t="n"/>
      <c r="E155" s="7" t="n"/>
      <c r="F155" s="7" t="n"/>
      <c r="G155" s="7" t="n"/>
      <c r="H155" s="8" t="n"/>
      <c r="I155" s="7" t="n"/>
      <c r="J155" s="9">
        <f>IFERROR(E155/G155,0)</f>
        <v/>
      </c>
      <c r="K155" s="10">
        <f>IFERROR(E155/F155,0)</f>
        <v/>
      </c>
      <c r="L155" s="10">
        <f>J155*H155</f>
        <v/>
      </c>
      <c r="M155" s="11">
        <f>K155-L155</f>
        <v/>
      </c>
      <c r="N155" s="12">
        <f>K155*I155</f>
        <v/>
      </c>
      <c r="O155" s="13">
        <f>IFERROR(N155/E155,0)</f>
        <v/>
      </c>
    </row>
    <row r="156">
      <c r="A156" s="4" t="n"/>
      <c r="B156" s="5" t="n"/>
      <c r="C156" s="5" t="n"/>
      <c r="D156" s="6" t="n"/>
      <c r="E156" s="7" t="n"/>
      <c r="F156" s="7" t="n"/>
      <c r="G156" s="7" t="n"/>
      <c r="H156" s="8" t="n"/>
      <c r="I156" s="7" t="n"/>
      <c r="J156" s="9">
        <f>IFERROR(E156/G156,0)</f>
        <v/>
      </c>
      <c r="K156" s="10">
        <f>IFERROR(E156/F156,0)</f>
        <v/>
      </c>
      <c r="L156" s="10">
        <f>J156*H156</f>
        <v/>
      </c>
      <c r="M156" s="11">
        <f>K156-L156</f>
        <v/>
      </c>
      <c r="N156" s="12">
        <f>K156*I156</f>
        <v/>
      </c>
      <c r="O156" s="13">
        <f>IFERROR(N156/E156,0)</f>
        <v/>
      </c>
    </row>
    <row r="157">
      <c r="A157" s="4" t="n"/>
      <c r="B157" s="5" t="n"/>
      <c r="C157" s="5" t="n"/>
      <c r="D157" s="6" t="n"/>
      <c r="E157" s="7" t="n"/>
      <c r="F157" s="7" t="n"/>
      <c r="G157" s="7" t="n"/>
      <c r="H157" s="8" t="n"/>
      <c r="I157" s="7" t="n"/>
      <c r="J157" s="9">
        <f>IFERROR(E157/G157,0)</f>
        <v/>
      </c>
      <c r="K157" s="10">
        <f>IFERROR(E157/F157,0)</f>
        <v/>
      </c>
      <c r="L157" s="10">
        <f>J157*H157</f>
        <v/>
      </c>
      <c r="M157" s="11">
        <f>K157-L157</f>
        <v/>
      </c>
      <c r="N157" s="12">
        <f>K157*I157</f>
        <v/>
      </c>
      <c r="O157" s="13">
        <f>IFERROR(N157/E157,0)</f>
        <v/>
      </c>
    </row>
    <row r="158">
      <c r="A158" s="4" t="n"/>
      <c r="B158" s="5" t="n"/>
      <c r="C158" s="5" t="n"/>
      <c r="D158" s="6" t="n"/>
      <c r="E158" s="7" t="n"/>
      <c r="F158" s="7" t="n"/>
      <c r="G158" s="7" t="n"/>
      <c r="H158" s="8" t="n"/>
      <c r="I158" s="7" t="n"/>
      <c r="J158" s="9">
        <f>IFERROR(E158/G158,0)</f>
        <v/>
      </c>
      <c r="K158" s="10">
        <f>IFERROR(E158/F158,0)</f>
        <v/>
      </c>
      <c r="L158" s="10">
        <f>J158*H158</f>
        <v/>
      </c>
      <c r="M158" s="11">
        <f>K158-L158</f>
        <v/>
      </c>
      <c r="N158" s="12">
        <f>K158*I158</f>
        <v/>
      </c>
      <c r="O158" s="13">
        <f>IFERROR(N158/E158,0)</f>
        <v/>
      </c>
    </row>
    <row r="159">
      <c r="A159" s="4" t="n"/>
      <c r="B159" s="5" t="n"/>
      <c r="C159" s="5" t="n"/>
      <c r="D159" s="6" t="n"/>
      <c r="E159" s="7" t="n"/>
      <c r="F159" s="7" t="n"/>
      <c r="G159" s="7" t="n"/>
      <c r="H159" s="8" t="n"/>
      <c r="I159" s="7" t="n"/>
      <c r="J159" s="9">
        <f>IFERROR(E159/G159,0)</f>
        <v/>
      </c>
      <c r="K159" s="10">
        <f>IFERROR(E159/F159,0)</f>
        <v/>
      </c>
      <c r="L159" s="10">
        <f>J159*H159</f>
        <v/>
      </c>
      <c r="M159" s="11">
        <f>K159-L159</f>
        <v/>
      </c>
      <c r="N159" s="12">
        <f>K159*I159</f>
        <v/>
      </c>
      <c r="O159" s="13">
        <f>IFERROR(N159/E159,0)</f>
        <v/>
      </c>
    </row>
    <row r="160">
      <c r="A160" s="4" t="n"/>
      <c r="B160" s="5" t="n"/>
      <c r="C160" s="5" t="n"/>
      <c r="D160" s="6" t="n"/>
      <c r="E160" s="7" t="n"/>
      <c r="F160" s="7" t="n"/>
      <c r="G160" s="7" t="n"/>
      <c r="H160" s="8" t="n"/>
      <c r="I160" s="7" t="n"/>
      <c r="J160" s="9">
        <f>IFERROR(E160/G160,0)</f>
        <v/>
      </c>
      <c r="K160" s="10">
        <f>IFERROR(E160/F160,0)</f>
        <v/>
      </c>
      <c r="L160" s="10">
        <f>J160*H160</f>
        <v/>
      </c>
      <c r="M160" s="11">
        <f>K160-L160</f>
        <v/>
      </c>
      <c r="N160" s="12">
        <f>K160*I160</f>
        <v/>
      </c>
      <c r="O160" s="13">
        <f>IFERROR(N160/E160,0)</f>
        <v/>
      </c>
    </row>
    <row r="161">
      <c r="A161" s="4" t="n"/>
      <c r="B161" s="5" t="n"/>
      <c r="C161" s="5" t="n"/>
      <c r="D161" s="6" t="n"/>
      <c r="E161" s="7" t="n"/>
      <c r="F161" s="7" t="n"/>
      <c r="G161" s="7" t="n"/>
      <c r="H161" s="8" t="n"/>
      <c r="I161" s="7" t="n"/>
      <c r="J161" s="9">
        <f>IFERROR(E161/G161,0)</f>
        <v/>
      </c>
      <c r="K161" s="10">
        <f>IFERROR(E161/F161,0)</f>
        <v/>
      </c>
      <c r="L161" s="10">
        <f>J161*H161</f>
        <v/>
      </c>
      <c r="M161" s="11">
        <f>K161-L161</f>
        <v/>
      </c>
      <c r="N161" s="12">
        <f>K161*I161</f>
        <v/>
      </c>
      <c r="O161" s="13">
        <f>IFERROR(N161/E161,0)</f>
        <v/>
      </c>
    </row>
    <row r="162">
      <c r="A162" s="4" t="n"/>
      <c r="B162" s="5" t="n"/>
      <c r="C162" s="5" t="n"/>
      <c r="D162" s="6" t="n"/>
      <c r="E162" s="7" t="n"/>
      <c r="F162" s="7" t="n"/>
      <c r="G162" s="7" t="n"/>
      <c r="H162" s="8" t="n"/>
      <c r="I162" s="7" t="n"/>
      <c r="J162" s="9">
        <f>IFERROR(E162/G162,0)</f>
        <v/>
      </c>
      <c r="K162" s="10">
        <f>IFERROR(E162/F162,0)</f>
        <v/>
      </c>
      <c r="L162" s="10">
        <f>J162*H162</f>
        <v/>
      </c>
      <c r="M162" s="11">
        <f>K162-L162</f>
        <v/>
      </c>
      <c r="N162" s="12">
        <f>K162*I162</f>
        <v/>
      </c>
      <c r="O162" s="13">
        <f>IFERROR(N162/E162,0)</f>
        <v/>
      </c>
    </row>
    <row r="163">
      <c r="A163" s="4" t="n"/>
      <c r="B163" s="5" t="n"/>
      <c r="C163" s="5" t="n"/>
      <c r="D163" s="6" t="n"/>
      <c r="E163" s="7" t="n"/>
      <c r="F163" s="7" t="n"/>
      <c r="G163" s="7" t="n"/>
      <c r="H163" s="8" t="n"/>
      <c r="I163" s="7" t="n"/>
      <c r="J163" s="9">
        <f>IFERROR(E163/G163,0)</f>
        <v/>
      </c>
      <c r="K163" s="10">
        <f>IFERROR(E163/F163,0)</f>
        <v/>
      </c>
      <c r="L163" s="10">
        <f>J163*H163</f>
        <v/>
      </c>
      <c r="M163" s="11">
        <f>K163-L163</f>
        <v/>
      </c>
      <c r="N163" s="12">
        <f>K163*I163</f>
        <v/>
      </c>
      <c r="O163" s="13">
        <f>IFERROR(N163/E163,0)</f>
        <v/>
      </c>
    </row>
    <row r="164">
      <c r="A164" s="4" t="n"/>
      <c r="B164" s="5" t="n"/>
      <c r="C164" s="5" t="n"/>
      <c r="D164" s="6" t="n"/>
      <c r="E164" s="7" t="n"/>
      <c r="F164" s="7" t="n"/>
      <c r="G164" s="7" t="n"/>
      <c r="H164" s="8" t="n"/>
      <c r="I164" s="7" t="n"/>
      <c r="J164" s="9">
        <f>IFERROR(E164/G164,0)</f>
        <v/>
      </c>
      <c r="K164" s="10">
        <f>IFERROR(E164/F164,0)</f>
        <v/>
      </c>
      <c r="L164" s="10">
        <f>J164*H164</f>
        <v/>
      </c>
      <c r="M164" s="11">
        <f>K164-L164</f>
        <v/>
      </c>
      <c r="N164" s="12">
        <f>K164*I164</f>
        <v/>
      </c>
      <c r="O164" s="13">
        <f>IFERROR(N164/E164,0)</f>
        <v/>
      </c>
    </row>
    <row r="165">
      <c r="A165" s="4" t="n"/>
      <c r="B165" s="5" t="n"/>
      <c r="C165" s="5" t="n"/>
      <c r="D165" s="6" t="n"/>
      <c r="E165" s="7" t="n"/>
      <c r="F165" s="7" t="n"/>
      <c r="G165" s="7" t="n"/>
      <c r="H165" s="8" t="n"/>
      <c r="I165" s="7" t="n"/>
      <c r="J165" s="9">
        <f>IFERROR(E165/G165,0)</f>
        <v/>
      </c>
      <c r="K165" s="10">
        <f>IFERROR(E165/F165,0)</f>
        <v/>
      </c>
      <c r="L165" s="10">
        <f>J165*H165</f>
        <v/>
      </c>
      <c r="M165" s="11">
        <f>K165-L165</f>
        <v/>
      </c>
      <c r="N165" s="12">
        <f>K165*I165</f>
        <v/>
      </c>
      <c r="O165" s="13">
        <f>IFERROR(N165/E165,0)</f>
        <v/>
      </c>
    </row>
    <row r="166">
      <c r="A166" s="4" t="n"/>
      <c r="B166" s="5" t="n"/>
      <c r="C166" s="5" t="n"/>
      <c r="D166" s="6" t="n"/>
      <c r="E166" s="7" t="n"/>
      <c r="F166" s="7" t="n"/>
      <c r="G166" s="7" t="n"/>
      <c r="H166" s="8" t="n"/>
      <c r="I166" s="7" t="n"/>
      <c r="J166" s="9">
        <f>IFERROR(E166/G166,0)</f>
        <v/>
      </c>
      <c r="K166" s="10">
        <f>IFERROR(E166/F166,0)</f>
        <v/>
      </c>
      <c r="L166" s="10">
        <f>J166*H166</f>
        <v/>
      </c>
      <c r="M166" s="11">
        <f>K166-L166</f>
        <v/>
      </c>
      <c r="N166" s="12">
        <f>K166*I166</f>
        <v/>
      </c>
      <c r="O166" s="13">
        <f>IFERROR(N166/E166,0)</f>
        <v/>
      </c>
    </row>
    <row r="167">
      <c r="A167" s="4" t="n"/>
      <c r="B167" s="5" t="n"/>
      <c r="C167" s="5" t="n"/>
      <c r="D167" s="6" t="n"/>
      <c r="E167" s="7" t="n"/>
      <c r="F167" s="7" t="n"/>
      <c r="G167" s="7" t="n"/>
      <c r="H167" s="8" t="n"/>
      <c r="I167" s="7" t="n"/>
      <c r="J167" s="9">
        <f>IFERROR(E167/G167,0)</f>
        <v/>
      </c>
      <c r="K167" s="10">
        <f>IFERROR(E167/F167,0)</f>
        <v/>
      </c>
      <c r="L167" s="10">
        <f>J167*H167</f>
        <v/>
      </c>
      <c r="M167" s="11">
        <f>K167-L167</f>
        <v/>
      </c>
      <c r="N167" s="12">
        <f>K167*I167</f>
        <v/>
      </c>
      <c r="O167" s="13">
        <f>IFERROR(N167/E167,0)</f>
        <v/>
      </c>
    </row>
    <row r="168">
      <c r="A168" s="4" t="n"/>
      <c r="B168" s="5" t="n"/>
      <c r="C168" s="5" t="n"/>
      <c r="D168" s="6" t="n"/>
      <c r="E168" s="7" t="n"/>
      <c r="F168" s="7" t="n"/>
      <c r="G168" s="7" t="n"/>
      <c r="H168" s="8" t="n"/>
      <c r="I168" s="7" t="n"/>
      <c r="J168" s="9">
        <f>IFERROR(E168/G168,0)</f>
        <v/>
      </c>
      <c r="K168" s="10">
        <f>IFERROR(E168/F168,0)</f>
        <v/>
      </c>
      <c r="L168" s="10">
        <f>J168*H168</f>
        <v/>
      </c>
      <c r="M168" s="11">
        <f>K168-L168</f>
        <v/>
      </c>
      <c r="N168" s="12">
        <f>K168*I168</f>
        <v/>
      </c>
      <c r="O168" s="13">
        <f>IFERROR(N168/E168,0)</f>
        <v/>
      </c>
    </row>
    <row r="169">
      <c r="A169" s="4" t="n"/>
      <c r="B169" s="5" t="n"/>
      <c r="C169" s="5" t="n"/>
      <c r="D169" s="6" t="n"/>
      <c r="E169" s="7" t="n"/>
      <c r="F169" s="7" t="n"/>
      <c r="G169" s="7" t="n"/>
      <c r="H169" s="8" t="n"/>
      <c r="I169" s="7" t="n"/>
      <c r="J169" s="9">
        <f>IFERROR(E169/G169,0)</f>
        <v/>
      </c>
      <c r="K169" s="10">
        <f>IFERROR(E169/F169,0)</f>
        <v/>
      </c>
      <c r="L169" s="10">
        <f>J169*H169</f>
        <v/>
      </c>
      <c r="M169" s="11">
        <f>K169-L169</f>
        <v/>
      </c>
      <c r="N169" s="12">
        <f>K169*I169</f>
        <v/>
      </c>
      <c r="O169" s="13">
        <f>IFERROR(N169/E169,0)</f>
        <v/>
      </c>
    </row>
    <row r="170">
      <c r="A170" s="4" t="n"/>
      <c r="B170" s="5" t="n"/>
      <c r="C170" s="5" t="n"/>
      <c r="D170" s="6" t="n"/>
      <c r="E170" s="7" t="n"/>
      <c r="F170" s="7" t="n"/>
      <c r="G170" s="7" t="n"/>
      <c r="H170" s="8" t="n"/>
      <c r="I170" s="7" t="n"/>
      <c r="J170" s="9">
        <f>IFERROR(E170/G170,0)</f>
        <v/>
      </c>
      <c r="K170" s="10">
        <f>IFERROR(E170/F170,0)</f>
        <v/>
      </c>
      <c r="L170" s="10">
        <f>J170*H170</f>
        <v/>
      </c>
      <c r="M170" s="11">
        <f>K170-L170</f>
        <v/>
      </c>
      <c r="N170" s="12">
        <f>K170*I170</f>
        <v/>
      </c>
      <c r="O170" s="13">
        <f>IFERROR(N170/E170,0)</f>
        <v/>
      </c>
    </row>
    <row r="171">
      <c r="A171" s="4" t="n"/>
      <c r="B171" s="5" t="n"/>
      <c r="C171" s="5" t="n"/>
      <c r="D171" s="6" t="n"/>
      <c r="E171" s="7" t="n"/>
      <c r="F171" s="7" t="n"/>
      <c r="G171" s="7" t="n"/>
      <c r="H171" s="8" t="n"/>
      <c r="I171" s="7" t="n"/>
      <c r="J171" s="9">
        <f>IFERROR(E171/G171,0)</f>
        <v/>
      </c>
      <c r="K171" s="10">
        <f>IFERROR(E171/F171,0)</f>
        <v/>
      </c>
      <c r="L171" s="10">
        <f>J171*H171</f>
        <v/>
      </c>
      <c r="M171" s="11">
        <f>K171-L171</f>
        <v/>
      </c>
      <c r="N171" s="12">
        <f>K171*I171</f>
        <v/>
      </c>
      <c r="O171" s="13">
        <f>IFERROR(N171/E171,0)</f>
        <v/>
      </c>
    </row>
    <row r="172">
      <c r="A172" s="4" t="n"/>
      <c r="B172" s="5" t="n"/>
      <c r="C172" s="5" t="n"/>
      <c r="D172" s="6" t="n"/>
      <c r="E172" s="7" t="n"/>
      <c r="F172" s="7" t="n"/>
      <c r="G172" s="7" t="n"/>
      <c r="H172" s="8" t="n"/>
      <c r="I172" s="7" t="n"/>
      <c r="J172" s="9">
        <f>IFERROR(E172/G172,0)</f>
        <v/>
      </c>
      <c r="K172" s="10">
        <f>IFERROR(E172/F172,0)</f>
        <v/>
      </c>
      <c r="L172" s="10">
        <f>J172*H172</f>
        <v/>
      </c>
      <c r="M172" s="11">
        <f>K172-L172</f>
        <v/>
      </c>
      <c r="N172" s="12">
        <f>K172*I172</f>
        <v/>
      </c>
      <c r="O172" s="13">
        <f>IFERROR(N172/E172,0)</f>
        <v/>
      </c>
    </row>
    <row r="173">
      <c r="A173" s="4" t="n"/>
      <c r="B173" s="5" t="n"/>
      <c r="C173" s="5" t="n"/>
      <c r="D173" s="6" t="n"/>
      <c r="E173" s="7" t="n"/>
      <c r="F173" s="7" t="n"/>
      <c r="G173" s="7" t="n"/>
      <c r="H173" s="8" t="n"/>
      <c r="I173" s="7" t="n"/>
      <c r="J173" s="9">
        <f>IFERROR(E173/G173,0)</f>
        <v/>
      </c>
      <c r="K173" s="10">
        <f>IFERROR(E173/F173,0)</f>
        <v/>
      </c>
      <c r="L173" s="10">
        <f>J173*H173</f>
        <v/>
      </c>
      <c r="M173" s="11">
        <f>K173-L173</f>
        <v/>
      </c>
      <c r="N173" s="12">
        <f>K173*I173</f>
        <v/>
      </c>
      <c r="O173" s="13">
        <f>IFERROR(N173/E173,0)</f>
        <v/>
      </c>
    </row>
    <row r="174">
      <c r="A174" s="4" t="n"/>
      <c r="B174" s="5" t="n"/>
      <c r="C174" s="5" t="n"/>
      <c r="D174" s="6" t="n"/>
      <c r="E174" s="7" t="n"/>
      <c r="F174" s="7" t="n"/>
      <c r="G174" s="7" t="n"/>
      <c r="H174" s="8" t="n"/>
      <c r="I174" s="7" t="n"/>
      <c r="J174" s="9">
        <f>IFERROR(E174/G174,0)</f>
        <v/>
      </c>
      <c r="K174" s="10">
        <f>IFERROR(E174/F174,0)</f>
        <v/>
      </c>
      <c r="L174" s="10">
        <f>J174*H174</f>
        <v/>
      </c>
      <c r="M174" s="11">
        <f>K174-L174</f>
        <v/>
      </c>
      <c r="N174" s="12">
        <f>K174*I174</f>
        <v/>
      </c>
      <c r="O174" s="13">
        <f>IFERROR(N174/E174,0)</f>
        <v/>
      </c>
    </row>
    <row r="175">
      <c r="A175" s="4" t="n"/>
      <c r="B175" s="5" t="n"/>
      <c r="C175" s="5" t="n"/>
      <c r="D175" s="6" t="n"/>
      <c r="E175" s="7" t="n"/>
      <c r="F175" s="7" t="n"/>
      <c r="G175" s="7" t="n"/>
      <c r="H175" s="8" t="n"/>
      <c r="I175" s="7" t="n"/>
      <c r="J175" s="9">
        <f>IFERROR(E175/G175,0)</f>
        <v/>
      </c>
      <c r="K175" s="10">
        <f>IFERROR(E175/F175,0)</f>
        <v/>
      </c>
      <c r="L175" s="10">
        <f>J175*H175</f>
        <v/>
      </c>
      <c r="M175" s="11">
        <f>K175-L175</f>
        <v/>
      </c>
      <c r="N175" s="12">
        <f>K175*I175</f>
        <v/>
      </c>
      <c r="O175" s="13">
        <f>IFERROR(N175/E175,0)</f>
        <v/>
      </c>
    </row>
    <row r="176">
      <c r="A176" s="4" t="n"/>
      <c r="B176" s="5" t="n"/>
      <c r="C176" s="5" t="n"/>
      <c r="D176" s="6" t="n"/>
      <c r="E176" s="7" t="n"/>
      <c r="F176" s="7" t="n"/>
      <c r="G176" s="7" t="n"/>
      <c r="H176" s="8" t="n"/>
      <c r="I176" s="7" t="n"/>
      <c r="J176" s="9">
        <f>IFERROR(E176/G176,0)</f>
        <v/>
      </c>
      <c r="K176" s="10">
        <f>IFERROR(E176/F176,0)</f>
        <v/>
      </c>
      <c r="L176" s="10">
        <f>J176*H176</f>
        <v/>
      </c>
      <c r="M176" s="11">
        <f>K176-L176</f>
        <v/>
      </c>
      <c r="N176" s="12">
        <f>K176*I176</f>
        <v/>
      </c>
      <c r="O176" s="13">
        <f>IFERROR(N176/E176,0)</f>
        <v/>
      </c>
    </row>
    <row r="177">
      <c r="A177" s="4" t="n"/>
      <c r="B177" s="5" t="n"/>
      <c r="C177" s="5" t="n"/>
      <c r="D177" s="6" t="n"/>
      <c r="E177" s="7" t="n"/>
      <c r="F177" s="7" t="n"/>
      <c r="G177" s="7" t="n"/>
      <c r="H177" s="8" t="n"/>
      <c r="I177" s="7" t="n"/>
      <c r="J177" s="9">
        <f>IFERROR(E177/G177,0)</f>
        <v/>
      </c>
      <c r="K177" s="10">
        <f>IFERROR(E177/F177,0)</f>
        <v/>
      </c>
      <c r="L177" s="10">
        <f>J177*H177</f>
        <v/>
      </c>
      <c r="M177" s="11">
        <f>K177-L177</f>
        <v/>
      </c>
      <c r="N177" s="12">
        <f>K177*I177</f>
        <v/>
      </c>
      <c r="O177" s="13">
        <f>IFERROR(N177/E177,0)</f>
        <v/>
      </c>
    </row>
    <row r="178">
      <c r="A178" s="4" t="n"/>
      <c r="B178" s="5" t="n"/>
      <c r="C178" s="5" t="n"/>
      <c r="D178" s="6" t="n"/>
      <c r="E178" s="7" t="n"/>
      <c r="F178" s="7" t="n"/>
      <c r="G178" s="7" t="n"/>
      <c r="H178" s="8" t="n"/>
      <c r="I178" s="7" t="n"/>
      <c r="J178" s="9">
        <f>IFERROR(E178/G178,0)</f>
        <v/>
      </c>
      <c r="K178" s="10">
        <f>IFERROR(E178/F178,0)</f>
        <v/>
      </c>
      <c r="L178" s="10">
        <f>J178*H178</f>
        <v/>
      </c>
      <c r="M178" s="11">
        <f>K178-L178</f>
        <v/>
      </c>
      <c r="N178" s="12">
        <f>K178*I178</f>
        <v/>
      </c>
      <c r="O178" s="13">
        <f>IFERROR(N178/E178,0)</f>
        <v/>
      </c>
    </row>
    <row r="179">
      <c r="A179" s="4" t="n"/>
      <c r="B179" s="5" t="n"/>
      <c r="C179" s="5" t="n"/>
      <c r="D179" s="6" t="n"/>
      <c r="E179" s="7" t="n"/>
      <c r="F179" s="7" t="n"/>
      <c r="G179" s="7" t="n"/>
      <c r="H179" s="8" t="n"/>
      <c r="I179" s="7" t="n"/>
      <c r="J179" s="9">
        <f>IFERROR(E179/G179,0)</f>
        <v/>
      </c>
      <c r="K179" s="10">
        <f>IFERROR(E179/F179,0)</f>
        <v/>
      </c>
      <c r="L179" s="10">
        <f>J179*H179</f>
        <v/>
      </c>
      <c r="M179" s="11">
        <f>K179-L179</f>
        <v/>
      </c>
      <c r="N179" s="12">
        <f>K179*I179</f>
        <v/>
      </c>
      <c r="O179" s="13">
        <f>IFERROR(N179/E179,0)</f>
        <v/>
      </c>
    </row>
    <row r="180">
      <c r="A180" s="4" t="n"/>
      <c r="B180" s="5" t="n"/>
      <c r="C180" s="5" t="n"/>
      <c r="D180" s="6" t="n"/>
      <c r="E180" s="7" t="n"/>
      <c r="F180" s="7" t="n"/>
      <c r="G180" s="7" t="n"/>
      <c r="H180" s="8" t="n"/>
      <c r="I180" s="7" t="n"/>
      <c r="J180" s="9">
        <f>IFERROR(E180/G180,0)</f>
        <v/>
      </c>
      <c r="K180" s="10">
        <f>IFERROR(E180/F180,0)</f>
        <v/>
      </c>
      <c r="L180" s="10">
        <f>J180*H180</f>
        <v/>
      </c>
      <c r="M180" s="11">
        <f>K180-L180</f>
        <v/>
      </c>
      <c r="N180" s="12">
        <f>K180*I180</f>
        <v/>
      </c>
      <c r="O180" s="13">
        <f>IFERROR(N180/E180,0)</f>
        <v/>
      </c>
    </row>
    <row r="181">
      <c r="A181" s="4" t="n"/>
      <c r="B181" s="5" t="n"/>
      <c r="C181" s="5" t="n"/>
      <c r="D181" s="6" t="n"/>
      <c r="E181" s="7" t="n"/>
      <c r="F181" s="7" t="n"/>
      <c r="G181" s="7" t="n"/>
      <c r="H181" s="8" t="n"/>
      <c r="I181" s="7" t="n"/>
      <c r="J181" s="9">
        <f>IFERROR(E181/G181,0)</f>
        <v/>
      </c>
      <c r="K181" s="10">
        <f>IFERROR(E181/F181,0)</f>
        <v/>
      </c>
      <c r="L181" s="10">
        <f>J181*H181</f>
        <v/>
      </c>
      <c r="M181" s="11">
        <f>K181-L181</f>
        <v/>
      </c>
      <c r="N181" s="12">
        <f>K181*I181</f>
        <v/>
      </c>
      <c r="O181" s="13">
        <f>IFERROR(N181/E181,0)</f>
        <v/>
      </c>
    </row>
    <row r="182">
      <c r="A182" s="4" t="n"/>
      <c r="B182" s="5" t="n"/>
      <c r="C182" s="5" t="n"/>
      <c r="D182" s="6" t="n"/>
      <c r="E182" s="7" t="n"/>
      <c r="F182" s="7" t="n"/>
      <c r="G182" s="7" t="n"/>
      <c r="H182" s="8" t="n"/>
      <c r="I182" s="7" t="n"/>
      <c r="J182" s="9">
        <f>IFERROR(E182/G182,0)</f>
        <v/>
      </c>
      <c r="K182" s="10">
        <f>IFERROR(E182/F182,0)</f>
        <v/>
      </c>
      <c r="L182" s="10">
        <f>J182*H182</f>
        <v/>
      </c>
      <c r="M182" s="11">
        <f>K182-L182</f>
        <v/>
      </c>
      <c r="N182" s="12">
        <f>K182*I182</f>
        <v/>
      </c>
      <c r="O182" s="13">
        <f>IFERROR(N182/E182,0)</f>
        <v/>
      </c>
    </row>
    <row r="183">
      <c r="A183" s="4" t="n"/>
      <c r="B183" s="5" t="n"/>
      <c r="C183" s="5" t="n"/>
      <c r="D183" s="6" t="n"/>
      <c r="E183" s="7" t="n"/>
      <c r="F183" s="7" t="n"/>
      <c r="G183" s="7" t="n"/>
      <c r="H183" s="8" t="n"/>
      <c r="I183" s="7" t="n"/>
      <c r="J183" s="9">
        <f>IFERROR(E183/G183,0)</f>
        <v/>
      </c>
      <c r="K183" s="10">
        <f>IFERROR(E183/F183,0)</f>
        <v/>
      </c>
      <c r="L183" s="10">
        <f>J183*H183</f>
        <v/>
      </c>
      <c r="M183" s="11">
        <f>K183-L183</f>
        <v/>
      </c>
      <c r="N183" s="12">
        <f>K183*I183</f>
        <v/>
      </c>
      <c r="O183" s="13">
        <f>IFERROR(N183/E183,0)</f>
        <v/>
      </c>
    </row>
    <row r="184">
      <c r="A184" s="4" t="n"/>
      <c r="B184" s="5" t="n"/>
      <c r="C184" s="5" t="n"/>
      <c r="D184" s="6" t="n"/>
      <c r="E184" s="7" t="n"/>
      <c r="F184" s="7" t="n"/>
      <c r="G184" s="7" t="n"/>
      <c r="H184" s="8" t="n"/>
      <c r="I184" s="7" t="n"/>
      <c r="J184" s="9">
        <f>IFERROR(E184/G184,0)</f>
        <v/>
      </c>
      <c r="K184" s="10">
        <f>IFERROR(E184/F184,0)</f>
        <v/>
      </c>
      <c r="L184" s="10">
        <f>J184*H184</f>
        <v/>
      </c>
      <c r="M184" s="11">
        <f>K184-L184</f>
        <v/>
      </c>
      <c r="N184" s="12">
        <f>K184*I184</f>
        <v/>
      </c>
      <c r="O184" s="13">
        <f>IFERROR(N184/E184,0)</f>
        <v/>
      </c>
    </row>
    <row r="185">
      <c r="A185" s="4" t="n"/>
      <c r="B185" s="5" t="n"/>
      <c r="C185" s="5" t="n"/>
      <c r="D185" s="6" t="n"/>
      <c r="E185" s="7" t="n"/>
      <c r="F185" s="7" t="n"/>
      <c r="G185" s="7" t="n"/>
      <c r="H185" s="8" t="n"/>
      <c r="I185" s="7" t="n"/>
      <c r="J185" s="9">
        <f>IFERROR(E185/G185,0)</f>
        <v/>
      </c>
      <c r="K185" s="10">
        <f>IFERROR(E185/F185,0)</f>
        <v/>
      </c>
      <c r="L185" s="10">
        <f>J185*H185</f>
        <v/>
      </c>
      <c r="M185" s="11">
        <f>K185-L185</f>
        <v/>
      </c>
      <c r="N185" s="12">
        <f>K185*I185</f>
        <v/>
      </c>
      <c r="O185" s="13">
        <f>IFERROR(N185/E185,0)</f>
        <v/>
      </c>
    </row>
    <row r="186">
      <c r="A186" s="4" t="n"/>
      <c r="B186" s="5" t="n"/>
      <c r="C186" s="5" t="n"/>
      <c r="D186" s="6" t="n"/>
      <c r="E186" s="7" t="n"/>
      <c r="F186" s="7" t="n"/>
      <c r="G186" s="7" t="n"/>
      <c r="H186" s="8" t="n"/>
      <c r="I186" s="7" t="n"/>
      <c r="J186" s="9">
        <f>IFERROR(E186/G186,0)</f>
        <v/>
      </c>
      <c r="K186" s="10">
        <f>IFERROR(E186/F186,0)</f>
        <v/>
      </c>
      <c r="L186" s="10">
        <f>J186*H186</f>
        <v/>
      </c>
      <c r="M186" s="11">
        <f>K186-L186</f>
        <v/>
      </c>
      <c r="N186" s="12">
        <f>K186*I186</f>
        <v/>
      </c>
      <c r="O186" s="13">
        <f>IFERROR(N186/E186,0)</f>
        <v/>
      </c>
    </row>
    <row r="187">
      <c r="A187" s="4" t="n"/>
      <c r="B187" s="5" t="n"/>
      <c r="C187" s="5" t="n"/>
      <c r="D187" s="6" t="n"/>
      <c r="E187" s="7" t="n"/>
      <c r="F187" s="7" t="n"/>
      <c r="G187" s="7" t="n"/>
      <c r="H187" s="8" t="n"/>
      <c r="I187" s="7" t="n"/>
      <c r="J187" s="9">
        <f>IFERROR(E187/G187,0)</f>
        <v/>
      </c>
      <c r="K187" s="10">
        <f>IFERROR(E187/F187,0)</f>
        <v/>
      </c>
      <c r="L187" s="10">
        <f>J187*H187</f>
        <v/>
      </c>
      <c r="M187" s="11">
        <f>K187-L187</f>
        <v/>
      </c>
      <c r="N187" s="12">
        <f>K187*I187</f>
        <v/>
      </c>
      <c r="O187" s="13">
        <f>IFERROR(N187/E187,0)</f>
        <v/>
      </c>
    </row>
    <row r="188">
      <c r="A188" s="4" t="n"/>
      <c r="B188" s="5" t="n"/>
      <c r="C188" s="5" t="n"/>
      <c r="D188" s="6" t="n"/>
      <c r="E188" s="7" t="n"/>
      <c r="F188" s="7" t="n"/>
      <c r="G188" s="7" t="n"/>
      <c r="H188" s="8" t="n"/>
      <c r="I188" s="7" t="n"/>
      <c r="J188" s="9">
        <f>IFERROR(E188/G188,0)</f>
        <v/>
      </c>
      <c r="K188" s="10">
        <f>IFERROR(E188/F188,0)</f>
        <v/>
      </c>
      <c r="L188" s="10">
        <f>J188*H188</f>
        <v/>
      </c>
      <c r="M188" s="11">
        <f>K188-L188</f>
        <v/>
      </c>
      <c r="N188" s="12">
        <f>K188*I188</f>
        <v/>
      </c>
      <c r="O188" s="13">
        <f>IFERROR(N188/E188,0)</f>
        <v/>
      </c>
    </row>
    <row r="189">
      <c r="A189" s="4" t="n"/>
      <c r="B189" s="5" t="n"/>
      <c r="C189" s="5" t="n"/>
      <c r="D189" s="6" t="n"/>
      <c r="E189" s="7" t="n"/>
      <c r="F189" s="7" t="n"/>
      <c r="G189" s="7" t="n"/>
      <c r="H189" s="8" t="n"/>
      <c r="I189" s="7" t="n"/>
      <c r="J189" s="9">
        <f>IFERROR(E189/G189,0)</f>
        <v/>
      </c>
      <c r="K189" s="10">
        <f>IFERROR(E189/F189,0)</f>
        <v/>
      </c>
      <c r="L189" s="10">
        <f>J189*H189</f>
        <v/>
      </c>
      <c r="M189" s="11">
        <f>K189-L189</f>
        <v/>
      </c>
      <c r="N189" s="12">
        <f>K189*I189</f>
        <v/>
      </c>
      <c r="O189" s="13">
        <f>IFERROR(N189/E189,0)</f>
        <v/>
      </c>
    </row>
    <row r="190">
      <c r="A190" s="4" t="n"/>
      <c r="B190" s="5" t="n"/>
      <c r="C190" s="5" t="n"/>
      <c r="D190" s="6" t="n"/>
      <c r="E190" s="7" t="n"/>
      <c r="F190" s="7" t="n"/>
      <c r="G190" s="7" t="n"/>
      <c r="H190" s="8" t="n"/>
      <c r="I190" s="7" t="n"/>
      <c r="J190" s="9">
        <f>IFERROR(E190/G190,0)</f>
        <v/>
      </c>
      <c r="K190" s="10">
        <f>IFERROR(E190/F190,0)</f>
        <v/>
      </c>
      <c r="L190" s="10">
        <f>J190*H190</f>
        <v/>
      </c>
      <c r="M190" s="11">
        <f>K190-L190</f>
        <v/>
      </c>
      <c r="N190" s="12">
        <f>K190*I190</f>
        <v/>
      </c>
      <c r="O190" s="13">
        <f>IFERROR(N190/E190,0)</f>
        <v/>
      </c>
    </row>
    <row r="191">
      <c r="A191" s="4" t="n"/>
      <c r="B191" s="5" t="n"/>
      <c r="C191" s="5" t="n"/>
      <c r="D191" s="6" t="n"/>
      <c r="E191" s="7" t="n"/>
      <c r="F191" s="7" t="n"/>
      <c r="G191" s="7" t="n"/>
      <c r="H191" s="8" t="n"/>
      <c r="I191" s="7" t="n"/>
      <c r="J191" s="9">
        <f>IFERROR(E191/G191,0)</f>
        <v/>
      </c>
      <c r="K191" s="10">
        <f>IFERROR(E191/F191,0)</f>
        <v/>
      </c>
      <c r="L191" s="10">
        <f>J191*H191</f>
        <v/>
      </c>
      <c r="M191" s="11">
        <f>K191-L191</f>
        <v/>
      </c>
      <c r="N191" s="12">
        <f>K191*I191</f>
        <v/>
      </c>
      <c r="O191" s="13">
        <f>IFERROR(N191/E191,0)</f>
        <v/>
      </c>
    </row>
    <row r="192">
      <c r="A192" s="4" t="n"/>
      <c r="B192" s="5" t="n"/>
      <c r="C192" s="5" t="n"/>
      <c r="D192" s="6" t="n"/>
      <c r="E192" s="7" t="n"/>
      <c r="F192" s="7" t="n"/>
      <c r="G192" s="7" t="n"/>
      <c r="H192" s="8" t="n"/>
      <c r="I192" s="7" t="n"/>
      <c r="J192" s="9">
        <f>IFERROR(E192/G192,0)</f>
        <v/>
      </c>
      <c r="K192" s="10">
        <f>IFERROR(E192/F192,0)</f>
        <v/>
      </c>
      <c r="L192" s="10">
        <f>J192*H192</f>
        <v/>
      </c>
      <c r="M192" s="11">
        <f>K192-L192</f>
        <v/>
      </c>
      <c r="N192" s="12">
        <f>K192*I192</f>
        <v/>
      </c>
      <c r="O192" s="13">
        <f>IFERROR(N192/E192,0)</f>
        <v/>
      </c>
    </row>
    <row r="193">
      <c r="A193" s="4" t="n"/>
      <c r="B193" s="5" t="n"/>
      <c r="C193" s="5" t="n"/>
      <c r="D193" s="6" t="n"/>
      <c r="E193" s="7" t="n"/>
      <c r="F193" s="7" t="n"/>
      <c r="G193" s="7" t="n"/>
      <c r="H193" s="8" t="n"/>
      <c r="I193" s="7" t="n"/>
      <c r="J193" s="9">
        <f>IFERROR(E193/G193,0)</f>
        <v/>
      </c>
      <c r="K193" s="10">
        <f>IFERROR(E193/F193,0)</f>
        <v/>
      </c>
      <c r="L193" s="10">
        <f>J193*H193</f>
        <v/>
      </c>
      <c r="M193" s="11">
        <f>K193-L193</f>
        <v/>
      </c>
      <c r="N193" s="12">
        <f>K193*I193</f>
        <v/>
      </c>
      <c r="O193" s="13">
        <f>IFERROR(N193/E193,0)</f>
        <v/>
      </c>
    </row>
    <row r="194">
      <c r="A194" s="4" t="n"/>
      <c r="B194" s="5" t="n"/>
      <c r="C194" s="5" t="n"/>
      <c r="D194" s="6" t="n"/>
      <c r="E194" s="7" t="n"/>
      <c r="F194" s="7" t="n"/>
      <c r="G194" s="7" t="n"/>
      <c r="H194" s="8" t="n"/>
      <c r="I194" s="7" t="n"/>
      <c r="J194" s="9">
        <f>IFERROR(E194/G194,0)</f>
        <v/>
      </c>
      <c r="K194" s="10">
        <f>IFERROR(E194/F194,0)</f>
        <v/>
      </c>
      <c r="L194" s="10">
        <f>J194*H194</f>
        <v/>
      </c>
      <c r="M194" s="11">
        <f>K194-L194</f>
        <v/>
      </c>
      <c r="N194" s="12">
        <f>K194*I194</f>
        <v/>
      </c>
      <c r="O194" s="13">
        <f>IFERROR(N194/E194,0)</f>
        <v/>
      </c>
    </row>
    <row r="195">
      <c r="A195" s="4" t="n"/>
      <c r="B195" s="5" t="n"/>
      <c r="C195" s="5" t="n"/>
      <c r="D195" s="6" t="n"/>
      <c r="E195" s="7" t="n"/>
      <c r="F195" s="7" t="n"/>
      <c r="G195" s="7" t="n"/>
      <c r="H195" s="8" t="n"/>
      <c r="I195" s="7" t="n"/>
      <c r="J195" s="9">
        <f>IFERROR(E195/G195,0)</f>
        <v/>
      </c>
      <c r="K195" s="10">
        <f>IFERROR(E195/F195,0)</f>
        <v/>
      </c>
      <c r="L195" s="10">
        <f>J195*H195</f>
        <v/>
      </c>
      <c r="M195" s="11">
        <f>K195-L195</f>
        <v/>
      </c>
      <c r="N195" s="12">
        <f>K195*I195</f>
        <v/>
      </c>
      <c r="O195" s="13">
        <f>IFERROR(N195/E195,0)</f>
        <v/>
      </c>
    </row>
    <row r="196">
      <c r="A196" s="4" t="n"/>
      <c r="B196" s="5" t="n"/>
      <c r="C196" s="5" t="n"/>
      <c r="D196" s="6" t="n"/>
      <c r="E196" s="7" t="n"/>
      <c r="F196" s="7" t="n"/>
      <c r="G196" s="7" t="n"/>
      <c r="H196" s="8" t="n"/>
      <c r="I196" s="7" t="n"/>
      <c r="J196" s="9">
        <f>IFERROR(E196/G196,0)</f>
        <v/>
      </c>
      <c r="K196" s="10">
        <f>IFERROR(E196/F196,0)</f>
        <v/>
      </c>
      <c r="L196" s="10">
        <f>J196*H196</f>
        <v/>
      </c>
      <c r="M196" s="11">
        <f>K196-L196</f>
        <v/>
      </c>
      <c r="N196" s="12">
        <f>K196*I196</f>
        <v/>
      </c>
      <c r="O196" s="13">
        <f>IFERROR(N196/E196,0)</f>
        <v/>
      </c>
    </row>
    <row r="197">
      <c r="A197" s="4" t="n"/>
      <c r="B197" s="5" t="n"/>
      <c r="C197" s="5" t="n"/>
      <c r="D197" s="6" t="n"/>
      <c r="E197" s="7" t="n"/>
      <c r="F197" s="7" t="n"/>
      <c r="G197" s="7" t="n"/>
      <c r="H197" s="8" t="n"/>
      <c r="I197" s="7" t="n"/>
      <c r="J197" s="9">
        <f>IFERROR(E197/G197,0)</f>
        <v/>
      </c>
      <c r="K197" s="10">
        <f>IFERROR(E197/F197,0)</f>
        <v/>
      </c>
      <c r="L197" s="10">
        <f>J197*H197</f>
        <v/>
      </c>
      <c r="M197" s="11">
        <f>K197-L197</f>
        <v/>
      </c>
      <c r="N197" s="12">
        <f>K197*I197</f>
        <v/>
      </c>
      <c r="O197" s="13">
        <f>IFERROR(N197/E197,0)</f>
        <v/>
      </c>
    </row>
    <row r="198">
      <c r="A198" s="4" t="n"/>
      <c r="B198" s="5" t="n"/>
      <c r="C198" s="5" t="n"/>
      <c r="D198" s="6" t="n"/>
      <c r="E198" s="7" t="n"/>
      <c r="F198" s="7" t="n"/>
      <c r="G198" s="7" t="n"/>
      <c r="H198" s="8" t="n"/>
      <c r="I198" s="7" t="n"/>
      <c r="J198" s="9">
        <f>IFERROR(E198/G198,0)</f>
        <v/>
      </c>
      <c r="K198" s="10">
        <f>IFERROR(E198/F198,0)</f>
        <v/>
      </c>
      <c r="L198" s="10">
        <f>J198*H198</f>
        <v/>
      </c>
      <c r="M198" s="11">
        <f>K198-L198</f>
        <v/>
      </c>
      <c r="N198" s="12">
        <f>K198*I198</f>
        <v/>
      </c>
      <c r="O198" s="13">
        <f>IFERROR(N198/E198,0)</f>
        <v/>
      </c>
    </row>
    <row r="199">
      <c r="A199" s="4" t="n"/>
      <c r="B199" s="5" t="n"/>
      <c r="C199" s="5" t="n"/>
      <c r="D199" s="6" t="n"/>
      <c r="E199" s="7" t="n"/>
      <c r="F199" s="7" t="n"/>
      <c r="G199" s="7" t="n"/>
      <c r="H199" s="8" t="n"/>
      <c r="I199" s="7" t="n"/>
      <c r="J199" s="9">
        <f>IFERROR(E199/G199,0)</f>
        <v/>
      </c>
      <c r="K199" s="10">
        <f>IFERROR(E199/F199,0)</f>
        <v/>
      </c>
      <c r="L199" s="10">
        <f>J199*H199</f>
        <v/>
      </c>
      <c r="M199" s="11">
        <f>K199-L199</f>
        <v/>
      </c>
      <c r="N199" s="12">
        <f>K199*I199</f>
        <v/>
      </c>
      <c r="O199" s="13">
        <f>IFERROR(N199/E199,0)</f>
        <v/>
      </c>
    </row>
    <row r="200">
      <c r="A200" s="4" t="n"/>
      <c r="B200" s="5" t="n"/>
      <c r="C200" s="5" t="n"/>
      <c r="D200" s="6" t="n"/>
      <c r="E200" s="7" t="n"/>
      <c r="F200" s="7" t="n"/>
      <c r="G200" s="7" t="n"/>
      <c r="H200" s="8" t="n"/>
      <c r="I200" s="7" t="n"/>
      <c r="J200" s="9">
        <f>IFERROR(E200/G200,0)</f>
        <v/>
      </c>
      <c r="K200" s="10">
        <f>IFERROR(E200/F200,0)</f>
        <v/>
      </c>
      <c r="L200" s="10">
        <f>J200*H200</f>
        <v/>
      </c>
      <c r="M200" s="11">
        <f>K200-L200</f>
        <v/>
      </c>
      <c r="N200" s="12">
        <f>K200*I200</f>
        <v/>
      </c>
      <c r="O200" s="13">
        <f>IFERROR(N200/E200,0)</f>
        <v/>
      </c>
    </row>
    <row r="201">
      <c r="A201" s="4" t="n"/>
      <c r="B201" s="5" t="n"/>
      <c r="C201" s="5" t="n"/>
      <c r="D201" s="6" t="n"/>
      <c r="E201" s="7" t="n"/>
      <c r="F201" s="7" t="n"/>
      <c r="G201" s="7" t="n"/>
      <c r="H201" s="8" t="n"/>
      <c r="I201" s="7" t="n"/>
      <c r="J201" s="9">
        <f>IFERROR(E201/G201,0)</f>
        <v/>
      </c>
      <c r="K201" s="10">
        <f>IFERROR(E201/F201,0)</f>
        <v/>
      </c>
      <c r="L201" s="10">
        <f>J201*H201</f>
        <v/>
      </c>
      <c r="M201" s="11">
        <f>K201-L201</f>
        <v/>
      </c>
      <c r="N201" s="12">
        <f>K201*I201</f>
        <v/>
      </c>
      <c r="O201" s="13">
        <f>IFERROR(N201/E201,0)</f>
        <v/>
      </c>
    </row>
    <row r="202">
      <c r="A202" s="4" t="n"/>
      <c r="B202" s="5" t="n"/>
      <c r="C202" s="5" t="n"/>
      <c r="D202" s="6" t="n"/>
      <c r="E202" s="7" t="n"/>
      <c r="F202" s="7" t="n"/>
      <c r="G202" s="7" t="n"/>
      <c r="H202" s="8" t="n"/>
      <c r="I202" s="7" t="n"/>
      <c r="J202" s="9">
        <f>IFERROR(E202/G202,0)</f>
        <v/>
      </c>
      <c r="K202" s="10">
        <f>IFERROR(E202/F202,0)</f>
        <v/>
      </c>
      <c r="L202" s="10">
        <f>J202*H202</f>
        <v/>
      </c>
      <c r="M202" s="11">
        <f>K202-L202</f>
        <v/>
      </c>
      <c r="N202" s="12">
        <f>K202*I202</f>
        <v/>
      </c>
      <c r="O202" s="13">
        <f>IFERROR(N202/E202,0)</f>
        <v/>
      </c>
    </row>
    <row r="203">
      <c r="A203" s="4" t="n"/>
      <c r="B203" s="5" t="n"/>
      <c r="C203" s="5" t="n"/>
      <c r="D203" s="6" t="n"/>
      <c r="E203" s="7" t="n"/>
      <c r="F203" s="7" t="n"/>
      <c r="G203" s="7" t="n"/>
      <c r="H203" s="8" t="n"/>
      <c r="I203" s="7" t="n"/>
      <c r="J203" s="9">
        <f>IFERROR(E203/G203,0)</f>
        <v/>
      </c>
      <c r="K203" s="10">
        <f>IFERROR(E203/F203,0)</f>
        <v/>
      </c>
      <c r="L203" s="10">
        <f>J203*H203</f>
        <v/>
      </c>
      <c r="M203" s="11">
        <f>K203-L203</f>
        <v/>
      </c>
      <c r="N203" s="12">
        <f>K203*I203</f>
        <v/>
      </c>
      <c r="O203" s="13">
        <f>IFERROR(N203/E203,0)</f>
        <v/>
      </c>
    </row>
    <row r="204">
      <c r="A204" s="4" t="n"/>
      <c r="B204" s="5" t="n"/>
      <c r="C204" s="5" t="n"/>
      <c r="D204" s="6" t="n"/>
      <c r="E204" s="7" t="n"/>
      <c r="F204" s="7" t="n"/>
      <c r="G204" s="7" t="n"/>
      <c r="H204" s="8" t="n"/>
      <c r="I204" s="7" t="n"/>
      <c r="J204" s="9">
        <f>IFERROR(E204/G204,0)</f>
        <v/>
      </c>
      <c r="K204" s="10">
        <f>IFERROR(E204/F204,0)</f>
        <v/>
      </c>
      <c r="L204" s="10">
        <f>J204*H204</f>
        <v/>
      </c>
      <c r="M204" s="11">
        <f>K204-L204</f>
        <v/>
      </c>
      <c r="N204" s="12">
        <f>K204*I204</f>
        <v/>
      </c>
      <c r="O204" s="13">
        <f>IFERROR(N204/E204,0)</f>
        <v/>
      </c>
    </row>
    <row r="205">
      <c r="A205" s="4" t="n"/>
      <c r="B205" s="5" t="n"/>
      <c r="C205" s="5" t="n"/>
      <c r="D205" s="6" t="n"/>
      <c r="E205" s="7" t="n"/>
      <c r="F205" s="7" t="n"/>
      <c r="G205" s="7" t="n"/>
      <c r="H205" s="8" t="n"/>
      <c r="I205" s="7" t="n"/>
      <c r="J205" s="9">
        <f>IFERROR(E205/G205,0)</f>
        <v/>
      </c>
      <c r="K205" s="10">
        <f>IFERROR(E205/F205,0)</f>
        <v/>
      </c>
      <c r="L205" s="10">
        <f>J205*H205</f>
        <v/>
      </c>
      <c r="M205" s="11">
        <f>K205-L205</f>
        <v/>
      </c>
      <c r="N205" s="12">
        <f>K205*I205</f>
        <v/>
      </c>
      <c r="O205" s="13">
        <f>IFERROR(N205/E205,0)</f>
        <v/>
      </c>
    </row>
    <row r="206">
      <c r="A206" s="4" t="n"/>
      <c r="B206" s="5" t="n"/>
      <c r="C206" s="5" t="n"/>
      <c r="D206" s="6" t="n"/>
      <c r="E206" s="7" t="n"/>
      <c r="F206" s="7" t="n"/>
      <c r="G206" s="7" t="n"/>
      <c r="H206" s="8" t="n"/>
      <c r="I206" s="7" t="n"/>
      <c r="J206" s="9">
        <f>IFERROR(E206/G206,0)</f>
        <v/>
      </c>
      <c r="K206" s="10">
        <f>IFERROR(E206/F206,0)</f>
        <v/>
      </c>
      <c r="L206" s="10">
        <f>J206*H206</f>
        <v/>
      </c>
      <c r="M206" s="11">
        <f>K206-L206</f>
        <v/>
      </c>
      <c r="N206" s="12">
        <f>K206*I206</f>
        <v/>
      </c>
      <c r="O206" s="13">
        <f>IFERROR(N206/E206,0)</f>
        <v/>
      </c>
    </row>
    <row r="207">
      <c r="A207" s="4" t="n"/>
      <c r="B207" s="5" t="n"/>
      <c r="C207" s="5" t="n"/>
      <c r="D207" s="6" t="n"/>
      <c r="E207" s="7" t="n"/>
      <c r="F207" s="7" t="n"/>
      <c r="G207" s="7" t="n"/>
      <c r="H207" s="8" t="n"/>
      <c r="I207" s="7" t="n"/>
      <c r="J207" s="9">
        <f>IFERROR(E207/G207,0)</f>
        <v/>
      </c>
      <c r="K207" s="10">
        <f>IFERROR(E207/F207,0)</f>
        <v/>
      </c>
      <c r="L207" s="10">
        <f>J207*H207</f>
        <v/>
      </c>
      <c r="M207" s="11">
        <f>K207-L207</f>
        <v/>
      </c>
      <c r="N207" s="12">
        <f>K207*I207</f>
        <v/>
      </c>
      <c r="O207" s="13">
        <f>IFERROR(N207/E207,0)</f>
        <v/>
      </c>
    </row>
    <row r="208">
      <c r="A208" s="4" t="n"/>
      <c r="B208" s="5" t="n"/>
      <c r="C208" s="5" t="n"/>
      <c r="D208" s="6" t="n"/>
      <c r="E208" s="7" t="n"/>
      <c r="F208" s="7" t="n"/>
      <c r="G208" s="7" t="n"/>
      <c r="H208" s="8" t="n"/>
      <c r="I208" s="7" t="n"/>
      <c r="J208" s="9">
        <f>IFERROR(E208/G208,0)</f>
        <v/>
      </c>
      <c r="K208" s="10">
        <f>IFERROR(E208/F208,0)</f>
        <v/>
      </c>
      <c r="L208" s="10">
        <f>J208*H208</f>
        <v/>
      </c>
      <c r="M208" s="11">
        <f>K208-L208</f>
        <v/>
      </c>
      <c r="N208" s="12">
        <f>K208*I208</f>
        <v/>
      </c>
      <c r="O208" s="13">
        <f>IFERROR(N208/E208,0)</f>
        <v/>
      </c>
    </row>
    <row r="209">
      <c r="A209" s="4" t="n"/>
      <c r="B209" s="5" t="n"/>
      <c r="C209" s="5" t="n"/>
      <c r="D209" s="6" t="n"/>
      <c r="E209" s="7" t="n"/>
      <c r="F209" s="7" t="n"/>
      <c r="G209" s="7" t="n"/>
      <c r="H209" s="8" t="n"/>
      <c r="I209" s="7" t="n"/>
      <c r="J209" s="9">
        <f>IFERROR(E209/G209,0)</f>
        <v/>
      </c>
      <c r="K209" s="10">
        <f>IFERROR(E209/F209,0)</f>
        <v/>
      </c>
      <c r="L209" s="10">
        <f>J209*H209</f>
        <v/>
      </c>
      <c r="M209" s="11">
        <f>K209-L209</f>
        <v/>
      </c>
      <c r="N209" s="12">
        <f>K209*I209</f>
        <v/>
      </c>
      <c r="O209" s="13">
        <f>IFERROR(N209/E209,0)</f>
        <v/>
      </c>
    </row>
    <row r="210">
      <c r="A210" s="4" t="n"/>
      <c r="B210" s="5" t="n"/>
      <c r="C210" s="5" t="n"/>
      <c r="D210" s="6" t="n"/>
      <c r="E210" s="7" t="n"/>
      <c r="F210" s="7" t="n"/>
      <c r="G210" s="7" t="n"/>
      <c r="H210" s="8" t="n"/>
      <c r="I210" s="7" t="n"/>
      <c r="J210" s="9">
        <f>IFERROR(E210/G210,0)</f>
        <v/>
      </c>
      <c r="K210" s="10">
        <f>IFERROR(E210/F210,0)</f>
        <v/>
      </c>
      <c r="L210" s="10">
        <f>J210*H210</f>
        <v/>
      </c>
      <c r="M210" s="11">
        <f>K210-L210</f>
        <v/>
      </c>
      <c r="N210" s="12">
        <f>K210*I210</f>
        <v/>
      </c>
      <c r="O210" s="13">
        <f>IFERROR(N210/E210,0)</f>
        <v/>
      </c>
    </row>
    <row r="211">
      <c r="A211" s="4" t="n"/>
      <c r="B211" s="5" t="n"/>
      <c r="C211" s="5" t="n"/>
      <c r="D211" s="6" t="n"/>
      <c r="E211" s="7" t="n"/>
      <c r="F211" s="7" t="n"/>
      <c r="G211" s="7" t="n"/>
      <c r="H211" s="8" t="n"/>
      <c r="I211" s="7" t="n"/>
      <c r="J211" s="9">
        <f>IFERROR(E211/G211,0)</f>
        <v/>
      </c>
      <c r="K211" s="10">
        <f>IFERROR(E211/F211,0)</f>
        <v/>
      </c>
      <c r="L211" s="10">
        <f>J211*H211</f>
        <v/>
      </c>
      <c r="M211" s="11">
        <f>K211-L211</f>
        <v/>
      </c>
      <c r="N211" s="12">
        <f>K211*I211</f>
        <v/>
      </c>
      <c r="O211" s="13">
        <f>IFERROR(N211/E211,0)</f>
        <v/>
      </c>
    </row>
    <row r="212">
      <c r="A212" s="4" t="n"/>
      <c r="B212" s="5" t="n"/>
      <c r="C212" s="5" t="n"/>
      <c r="D212" s="6" t="n"/>
      <c r="E212" s="7" t="n"/>
      <c r="F212" s="7" t="n"/>
      <c r="G212" s="7" t="n"/>
      <c r="H212" s="8" t="n"/>
      <c r="I212" s="7" t="n"/>
      <c r="J212" s="9">
        <f>IFERROR(E212/G212,0)</f>
        <v/>
      </c>
      <c r="K212" s="10">
        <f>IFERROR(E212/F212,0)</f>
        <v/>
      </c>
      <c r="L212" s="10">
        <f>J212*H212</f>
        <v/>
      </c>
      <c r="M212" s="11">
        <f>K212-L212</f>
        <v/>
      </c>
      <c r="N212" s="12">
        <f>K212*I212</f>
        <v/>
      </c>
      <c r="O212" s="13">
        <f>IFERROR(N212/E212,0)</f>
        <v/>
      </c>
    </row>
    <row r="213">
      <c r="A213" s="4" t="n"/>
      <c r="B213" s="5" t="n"/>
      <c r="C213" s="5" t="n"/>
      <c r="D213" s="6" t="n"/>
      <c r="E213" s="7" t="n"/>
      <c r="F213" s="7" t="n"/>
      <c r="G213" s="7" t="n"/>
      <c r="H213" s="8" t="n"/>
      <c r="I213" s="7" t="n"/>
      <c r="J213" s="9">
        <f>IFERROR(E213/G213,0)</f>
        <v/>
      </c>
      <c r="K213" s="10">
        <f>IFERROR(E213/F213,0)</f>
        <v/>
      </c>
      <c r="L213" s="10">
        <f>J213*H213</f>
        <v/>
      </c>
      <c r="M213" s="11">
        <f>K213-L213</f>
        <v/>
      </c>
      <c r="N213" s="12">
        <f>K213*I213</f>
        <v/>
      </c>
      <c r="O213" s="13">
        <f>IFERROR(N213/E213,0)</f>
        <v/>
      </c>
    </row>
    <row r="214">
      <c r="A214" s="4" t="n"/>
      <c r="B214" s="5" t="n"/>
      <c r="C214" s="5" t="n"/>
      <c r="D214" s="6" t="n"/>
      <c r="E214" s="7" t="n"/>
      <c r="F214" s="7" t="n"/>
      <c r="G214" s="7" t="n"/>
      <c r="H214" s="8" t="n"/>
      <c r="I214" s="7" t="n"/>
      <c r="J214" s="9">
        <f>IFERROR(E214/G214,0)</f>
        <v/>
      </c>
      <c r="K214" s="10">
        <f>IFERROR(E214/F214,0)</f>
        <v/>
      </c>
      <c r="L214" s="10">
        <f>J214*H214</f>
        <v/>
      </c>
      <c r="M214" s="11">
        <f>K214-L214</f>
        <v/>
      </c>
      <c r="N214" s="12">
        <f>K214*I214</f>
        <v/>
      </c>
      <c r="O214" s="13">
        <f>IFERROR(N214/E214,0)</f>
        <v/>
      </c>
    </row>
    <row r="215">
      <c r="A215" s="4" t="n"/>
      <c r="B215" s="5" t="n"/>
      <c r="C215" s="5" t="n"/>
      <c r="D215" s="6" t="n"/>
      <c r="E215" s="7" t="n"/>
      <c r="F215" s="7" t="n"/>
      <c r="G215" s="7" t="n"/>
      <c r="H215" s="8" t="n"/>
      <c r="I215" s="7" t="n"/>
      <c r="J215" s="9">
        <f>IFERROR(E215/G215,0)</f>
        <v/>
      </c>
      <c r="K215" s="10">
        <f>IFERROR(E215/F215,0)</f>
        <v/>
      </c>
      <c r="L215" s="10">
        <f>J215*H215</f>
        <v/>
      </c>
      <c r="M215" s="11">
        <f>K215-L215</f>
        <v/>
      </c>
      <c r="N215" s="12">
        <f>K215*I215</f>
        <v/>
      </c>
      <c r="O215" s="13">
        <f>IFERROR(N215/E215,0)</f>
        <v/>
      </c>
    </row>
    <row r="216">
      <c r="A216" s="4" t="n"/>
      <c r="B216" s="5" t="n"/>
      <c r="C216" s="5" t="n"/>
      <c r="D216" s="6" t="n"/>
      <c r="E216" s="7" t="n"/>
      <c r="F216" s="7" t="n"/>
      <c r="G216" s="7" t="n"/>
      <c r="H216" s="8" t="n"/>
      <c r="I216" s="7" t="n"/>
      <c r="J216" s="9">
        <f>IFERROR(E216/G216,0)</f>
        <v/>
      </c>
      <c r="K216" s="10">
        <f>IFERROR(E216/F216,0)</f>
        <v/>
      </c>
      <c r="L216" s="10">
        <f>J216*H216</f>
        <v/>
      </c>
      <c r="M216" s="11">
        <f>K216-L216</f>
        <v/>
      </c>
      <c r="N216" s="12">
        <f>K216*I216</f>
        <v/>
      </c>
      <c r="O216" s="13">
        <f>IFERROR(N216/E216,0)</f>
        <v/>
      </c>
    </row>
    <row r="217">
      <c r="A217" s="4" t="n"/>
      <c r="B217" s="5" t="n"/>
      <c r="C217" s="5" t="n"/>
      <c r="D217" s="6" t="n"/>
      <c r="E217" s="7" t="n"/>
      <c r="F217" s="7" t="n"/>
      <c r="G217" s="7" t="n"/>
      <c r="H217" s="8" t="n"/>
      <c r="I217" s="7" t="n"/>
      <c r="J217" s="9">
        <f>IFERROR(E217/G217,0)</f>
        <v/>
      </c>
      <c r="K217" s="10">
        <f>IFERROR(E217/F217,0)</f>
        <v/>
      </c>
      <c r="L217" s="10">
        <f>J217*H217</f>
        <v/>
      </c>
      <c r="M217" s="11">
        <f>K217-L217</f>
        <v/>
      </c>
      <c r="N217" s="12">
        <f>K217*I217</f>
        <v/>
      </c>
      <c r="O217" s="13">
        <f>IFERROR(N217/E217,0)</f>
        <v/>
      </c>
    </row>
    <row r="218">
      <c r="A218" s="4" t="n"/>
      <c r="B218" s="5" t="n"/>
      <c r="C218" s="5" t="n"/>
      <c r="D218" s="6" t="n"/>
      <c r="E218" s="7" t="n"/>
      <c r="F218" s="7" t="n"/>
      <c r="G218" s="7" t="n"/>
      <c r="H218" s="8" t="n"/>
      <c r="I218" s="7" t="n"/>
      <c r="J218" s="9">
        <f>IFERROR(E218/G218,0)</f>
        <v/>
      </c>
      <c r="K218" s="10">
        <f>IFERROR(E218/F218,0)</f>
        <v/>
      </c>
      <c r="L218" s="10">
        <f>J218*H218</f>
        <v/>
      </c>
      <c r="M218" s="11">
        <f>K218-L218</f>
        <v/>
      </c>
      <c r="N218" s="12">
        <f>K218*I218</f>
        <v/>
      </c>
      <c r="O218" s="13">
        <f>IFERROR(N218/E218,0)</f>
        <v/>
      </c>
    </row>
    <row r="219">
      <c r="A219" s="4" t="n"/>
      <c r="B219" s="5" t="n"/>
      <c r="C219" s="5" t="n"/>
      <c r="D219" s="6" t="n"/>
      <c r="E219" s="7" t="n"/>
      <c r="F219" s="7" t="n"/>
      <c r="G219" s="7" t="n"/>
      <c r="H219" s="8" t="n"/>
      <c r="I219" s="7" t="n"/>
      <c r="J219" s="9">
        <f>IFERROR(E219/G219,0)</f>
        <v/>
      </c>
      <c r="K219" s="10">
        <f>IFERROR(E219/F219,0)</f>
        <v/>
      </c>
      <c r="L219" s="10">
        <f>J219*H219</f>
        <v/>
      </c>
      <c r="M219" s="11">
        <f>K219-L219</f>
        <v/>
      </c>
      <c r="N219" s="12">
        <f>K219*I219</f>
        <v/>
      </c>
      <c r="O219" s="13">
        <f>IFERROR(N219/E219,0)</f>
        <v/>
      </c>
    </row>
    <row r="220">
      <c r="A220" s="4" t="n"/>
      <c r="B220" s="5" t="n"/>
      <c r="C220" s="5" t="n"/>
      <c r="D220" s="6" t="n"/>
      <c r="E220" s="7" t="n"/>
      <c r="F220" s="7" t="n"/>
      <c r="G220" s="7" t="n"/>
      <c r="H220" s="8" t="n"/>
      <c r="I220" s="7" t="n"/>
      <c r="J220" s="9">
        <f>IFERROR(E220/G220,0)</f>
        <v/>
      </c>
      <c r="K220" s="10">
        <f>IFERROR(E220/F220,0)</f>
        <v/>
      </c>
      <c r="L220" s="10">
        <f>J220*H220</f>
        <v/>
      </c>
      <c r="M220" s="11">
        <f>K220-L220</f>
        <v/>
      </c>
      <c r="N220" s="12">
        <f>K220*I220</f>
        <v/>
      </c>
      <c r="O220" s="13">
        <f>IFERROR(N220/E220,0)</f>
        <v/>
      </c>
    </row>
    <row r="221">
      <c r="A221" s="4" t="n"/>
      <c r="B221" s="5" t="n"/>
      <c r="C221" s="5" t="n"/>
      <c r="D221" s="6" t="n"/>
      <c r="E221" s="7" t="n"/>
      <c r="F221" s="7" t="n"/>
      <c r="G221" s="7" t="n"/>
      <c r="H221" s="8" t="n"/>
      <c r="I221" s="7" t="n"/>
      <c r="J221" s="9">
        <f>IFERROR(E221/G221,0)</f>
        <v/>
      </c>
      <c r="K221" s="10">
        <f>IFERROR(E221/F221,0)</f>
        <v/>
      </c>
      <c r="L221" s="10">
        <f>J221*H221</f>
        <v/>
      </c>
      <c r="M221" s="11">
        <f>K221-L221</f>
        <v/>
      </c>
      <c r="N221" s="12">
        <f>K221*I221</f>
        <v/>
      </c>
      <c r="O221" s="13">
        <f>IFERROR(N221/E221,0)</f>
        <v/>
      </c>
    </row>
    <row r="222">
      <c r="A222" s="4" t="n"/>
      <c r="B222" s="5" t="n"/>
      <c r="C222" s="5" t="n"/>
      <c r="D222" s="6" t="n"/>
      <c r="E222" s="7" t="n"/>
      <c r="F222" s="7" t="n"/>
      <c r="G222" s="7" t="n"/>
      <c r="H222" s="8" t="n"/>
      <c r="I222" s="7" t="n"/>
      <c r="J222" s="9">
        <f>IFERROR(E222/G222,0)</f>
        <v/>
      </c>
      <c r="K222" s="10">
        <f>IFERROR(E222/F222,0)</f>
        <v/>
      </c>
      <c r="L222" s="10">
        <f>J222*H222</f>
        <v/>
      </c>
      <c r="M222" s="11">
        <f>K222-L222</f>
        <v/>
      </c>
      <c r="N222" s="12">
        <f>K222*I222</f>
        <v/>
      </c>
      <c r="O222" s="13">
        <f>IFERROR(N222/E222,0)</f>
        <v/>
      </c>
    </row>
    <row r="223">
      <c r="A223" s="4" t="n"/>
      <c r="B223" s="5" t="n"/>
      <c r="C223" s="5" t="n"/>
      <c r="D223" s="6" t="n"/>
      <c r="E223" s="7" t="n"/>
      <c r="F223" s="7" t="n"/>
      <c r="G223" s="7" t="n"/>
      <c r="H223" s="8" t="n"/>
      <c r="I223" s="7" t="n"/>
      <c r="J223" s="9">
        <f>IFERROR(E223/G223,0)</f>
        <v/>
      </c>
      <c r="K223" s="10">
        <f>IFERROR(E223/F223,0)</f>
        <v/>
      </c>
      <c r="L223" s="10">
        <f>J223*H223</f>
        <v/>
      </c>
      <c r="M223" s="11">
        <f>K223-L223</f>
        <v/>
      </c>
      <c r="N223" s="12">
        <f>K223*I223</f>
        <v/>
      </c>
      <c r="O223" s="13">
        <f>IFERROR(N223/E223,0)</f>
        <v/>
      </c>
    </row>
    <row r="224">
      <c r="A224" s="4" t="n"/>
      <c r="B224" s="5" t="n"/>
      <c r="C224" s="5" t="n"/>
      <c r="D224" s="6" t="n"/>
      <c r="E224" s="7" t="n"/>
      <c r="F224" s="7" t="n"/>
      <c r="G224" s="7" t="n"/>
      <c r="H224" s="8" t="n"/>
      <c r="I224" s="7" t="n"/>
      <c r="J224" s="9">
        <f>IFERROR(E224/G224,0)</f>
        <v/>
      </c>
      <c r="K224" s="10">
        <f>IFERROR(E224/F224,0)</f>
        <v/>
      </c>
      <c r="L224" s="10">
        <f>J224*H224</f>
        <v/>
      </c>
      <c r="M224" s="11">
        <f>K224-L224</f>
        <v/>
      </c>
      <c r="N224" s="12">
        <f>K224*I224</f>
        <v/>
      </c>
      <c r="O224" s="13">
        <f>IFERROR(N224/E224,0)</f>
        <v/>
      </c>
    </row>
    <row r="225">
      <c r="A225" s="4" t="n"/>
      <c r="B225" s="5" t="n"/>
      <c r="C225" s="5" t="n"/>
      <c r="D225" s="6" t="n"/>
      <c r="E225" s="7" t="n"/>
      <c r="F225" s="7" t="n"/>
      <c r="G225" s="7" t="n"/>
      <c r="H225" s="8" t="n"/>
      <c r="I225" s="7" t="n"/>
      <c r="J225" s="9">
        <f>IFERROR(E225/G225,0)</f>
        <v/>
      </c>
      <c r="K225" s="10">
        <f>IFERROR(E225/F225,0)</f>
        <v/>
      </c>
      <c r="L225" s="10">
        <f>J225*H225</f>
        <v/>
      </c>
      <c r="M225" s="11">
        <f>K225-L225</f>
        <v/>
      </c>
      <c r="N225" s="12">
        <f>K225*I225</f>
        <v/>
      </c>
      <c r="O225" s="13">
        <f>IFERROR(N225/E225,0)</f>
        <v/>
      </c>
    </row>
    <row r="226">
      <c r="A226" s="4" t="n"/>
      <c r="B226" s="5" t="n"/>
      <c r="C226" s="5" t="n"/>
      <c r="D226" s="6" t="n"/>
      <c r="E226" s="7" t="n"/>
      <c r="F226" s="7" t="n"/>
      <c r="G226" s="7" t="n"/>
      <c r="H226" s="8" t="n"/>
      <c r="I226" s="7" t="n"/>
      <c r="J226" s="9">
        <f>IFERROR(E226/G226,0)</f>
        <v/>
      </c>
      <c r="K226" s="10">
        <f>IFERROR(E226/F226,0)</f>
        <v/>
      </c>
      <c r="L226" s="10">
        <f>J226*H226</f>
        <v/>
      </c>
      <c r="M226" s="11">
        <f>K226-L226</f>
        <v/>
      </c>
      <c r="N226" s="12">
        <f>K226*I226</f>
        <v/>
      </c>
      <c r="O226" s="13">
        <f>IFERROR(N226/E226,0)</f>
        <v/>
      </c>
    </row>
    <row r="227">
      <c r="A227" s="4" t="n"/>
      <c r="B227" s="5" t="n"/>
      <c r="C227" s="5" t="n"/>
      <c r="D227" s="6" t="n"/>
      <c r="E227" s="7" t="n"/>
      <c r="F227" s="7" t="n"/>
      <c r="G227" s="7" t="n"/>
      <c r="H227" s="8" t="n"/>
      <c r="I227" s="7" t="n"/>
      <c r="J227" s="9">
        <f>IFERROR(E227/G227,0)</f>
        <v/>
      </c>
      <c r="K227" s="10">
        <f>IFERROR(E227/F227,0)</f>
        <v/>
      </c>
      <c r="L227" s="10">
        <f>J227*H227</f>
        <v/>
      </c>
      <c r="M227" s="11">
        <f>K227-L227</f>
        <v/>
      </c>
      <c r="N227" s="12">
        <f>K227*I227</f>
        <v/>
      </c>
      <c r="O227" s="13">
        <f>IFERROR(N227/E227,0)</f>
        <v/>
      </c>
    </row>
    <row r="228">
      <c r="A228" s="4" t="n"/>
      <c r="B228" s="5" t="n"/>
      <c r="C228" s="5" t="n"/>
      <c r="D228" s="6" t="n"/>
      <c r="E228" s="7" t="n"/>
      <c r="F228" s="7" t="n"/>
      <c r="G228" s="7" t="n"/>
      <c r="H228" s="8" t="n"/>
      <c r="I228" s="7" t="n"/>
      <c r="J228" s="9">
        <f>IFERROR(E228/G228,0)</f>
        <v/>
      </c>
      <c r="K228" s="10">
        <f>IFERROR(E228/F228,0)</f>
        <v/>
      </c>
      <c r="L228" s="10">
        <f>J228*H228</f>
        <v/>
      </c>
      <c r="M228" s="11">
        <f>K228-L228</f>
        <v/>
      </c>
      <c r="N228" s="12">
        <f>K228*I228</f>
        <v/>
      </c>
      <c r="O228" s="13">
        <f>IFERROR(N228/E228,0)</f>
        <v/>
      </c>
    </row>
    <row r="229">
      <c r="A229" s="4" t="n"/>
      <c r="B229" s="5" t="n"/>
      <c r="C229" s="5" t="n"/>
      <c r="D229" s="6" t="n"/>
      <c r="E229" s="7" t="n"/>
      <c r="F229" s="7" t="n"/>
      <c r="G229" s="7" t="n"/>
      <c r="H229" s="8" t="n"/>
      <c r="I229" s="7" t="n"/>
      <c r="J229" s="9">
        <f>IFERROR(E229/G229,0)</f>
        <v/>
      </c>
      <c r="K229" s="10">
        <f>IFERROR(E229/F229,0)</f>
        <v/>
      </c>
      <c r="L229" s="10">
        <f>J229*H229</f>
        <v/>
      </c>
      <c r="M229" s="11">
        <f>K229-L229</f>
        <v/>
      </c>
      <c r="N229" s="12">
        <f>K229*I229</f>
        <v/>
      </c>
      <c r="O229" s="13">
        <f>IFERROR(N229/E229,0)</f>
        <v/>
      </c>
    </row>
    <row r="230">
      <c r="A230" s="4" t="n"/>
      <c r="B230" s="5" t="n"/>
      <c r="C230" s="5" t="n"/>
      <c r="D230" s="6" t="n"/>
      <c r="E230" s="7" t="n"/>
      <c r="F230" s="7" t="n"/>
      <c r="G230" s="7" t="n"/>
      <c r="H230" s="8" t="n"/>
      <c r="I230" s="7" t="n"/>
      <c r="J230" s="9">
        <f>IFERROR(E230/G230,0)</f>
        <v/>
      </c>
      <c r="K230" s="10">
        <f>IFERROR(E230/F230,0)</f>
        <v/>
      </c>
      <c r="L230" s="10">
        <f>J230*H230</f>
        <v/>
      </c>
      <c r="M230" s="11">
        <f>K230-L230</f>
        <v/>
      </c>
      <c r="N230" s="12">
        <f>K230*I230</f>
        <v/>
      </c>
      <c r="O230" s="13">
        <f>IFERROR(N230/E230,0)</f>
        <v/>
      </c>
    </row>
    <row r="231">
      <c r="A231" s="4" t="n"/>
      <c r="B231" s="5" t="n"/>
      <c r="C231" s="5" t="n"/>
      <c r="D231" s="6" t="n"/>
      <c r="E231" s="7" t="n"/>
      <c r="F231" s="7" t="n"/>
      <c r="G231" s="7" t="n"/>
      <c r="H231" s="8" t="n"/>
      <c r="I231" s="7" t="n"/>
      <c r="J231" s="9">
        <f>IFERROR(E231/G231,0)</f>
        <v/>
      </c>
      <c r="K231" s="10">
        <f>IFERROR(E231/F231,0)</f>
        <v/>
      </c>
      <c r="L231" s="10">
        <f>J231*H231</f>
        <v/>
      </c>
      <c r="M231" s="11">
        <f>K231-L231</f>
        <v/>
      </c>
      <c r="N231" s="12">
        <f>K231*I231</f>
        <v/>
      </c>
      <c r="O231" s="13">
        <f>IFERROR(N231/E231,0)</f>
        <v/>
      </c>
    </row>
    <row r="232">
      <c r="A232" s="4" t="n"/>
      <c r="B232" s="5" t="n"/>
      <c r="C232" s="5" t="n"/>
      <c r="D232" s="6" t="n"/>
      <c r="E232" s="7" t="n"/>
      <c r="F232" s="7" t="n"/>
      <c r="G232" s="7" t="n"/>
      <c r="H232" s="8" t="n"/>
      <c r="I232" s="7" t="n"/>
      <c r="J232" s="9">
        <f>IFERROR(E232/G232,0)</f>
        <v/>
      </c>
      <c r="K232" s="10">
        <f>IFERROR(E232/F232,0)</f>
        <v/>
      </c>
      <c r="L232" s="10">
        <f>J232*H232</f>
        <v/>
      </c>
      <c r="M232" s="11">
        <f>K232-L232</f>
        <v/>
      </c>
      <c r="N232" s="12">
        <f>K232*I232</f>
        <v/>
      </c>
      <c r="O232" s="13">
        <f>IFERROR(N232/E232,0)</f>
        <v/>
      </c>
    </row>
    <row r="233">
      <c r="A233" s="4" t="n"/>
      <c r="B233" s="5" t="n"/>
      <c r="C233" s="5" t="n"/>
      <c r="D233" s="6" t="n"/>
      <c r="E233" s="7" t="n"/>
      <c r="F233" s="7" t="n"/>
      <c r="G233" s="7" t="n"/>
      <c r="H233" s="8" t="n"/>
      <c r="I233" s="7" t="n"/>
      <c r="J233" s="9">
        <f>IFERROR(E233/G233,0)</f>
        <v/>
      </c>
      <c r="K233" s="10">
        <f>IFERROR(E233/F233,0)</f>
        <v/>
      </c>
      <c r="L233" s="10">
        <f>J233*H233</f>
        <v/>
      </c>
      <c r="M233" s="11">
        <f>K233-L233</f>
        <v/>
      </c>
      <c r="N233" s="12">
        <f>K233*I233</f>
        <v/>
      </c>
      <c r="O233" s="13">
        <f>IFERROR(N233/E233,0)</f>
        <v/>
      </c>
    </row>
    <row r="234">
      <c r="A234" s="4" t="n"/>
      <c r="B234" s="5" t="n"/>
      <c r="C234" s="5" t="n"/>
      <c r="D234" s="6" t="n"/>
      <c r="E234" s="7" t="n"/>
      <c r="F234" s="7" t="n"/>
      <c r="G234" s="7" t="n"/>
      <c r="H234" s="8" t="n"/>
      <c r="I234" s="7" t="n"/>
      <c r="J234" s="9">
        <f>IFERROR(E234/G234,0)</f>
        <v/>
      </c>
      <c r="K234" s="10">
        <f>IFERROR(E234/F234,0)</f>
        <v/>
      </c>
      <c r="L234" s="10">
        <f>J234*H234</f>
        <v/>
      </c>
      <c r="M234" s="11">
        <f>K234-L234</f>
        <v/>
      </c>
      <c r="N234" s="12">
        <f>K234*I234</f>
        <v/>
      </c>
      <c r="O234" s="13">
        <f>IFERROR(N234/E234,0)</f>
        <v/>
      </c>
    </row>
    <row r="235">
      <c r="A235" s="4" t="n"/>
      <c r="B235" s="5" t="n"/>
      <c r="C235" s="5" t="n"/>
      <c r="D235" s="6" t="n"/>
      <c r="E235" s="7" t="n"/>
      <c r="F235" s="7" t="n"/>
      <c r="G235" s="7" t="n"/>
      <c r="H235" s="8" t="n"/>
      <c r="I235" s="7" t="n"/>
      <c r="J235" s="9">
        <f>IFERROR(E235/G235,0)</f>
        <v/>
      </c>
      <c r="K235" s="10">
        <f>IFERROR(E235/F235,0)</f>
        <v/>
      </c>
      <c r="L235" s="10">
        <f>J235*H235</f>
        <v/>
      </c>
      <c r="M235" s="11">
        <f>K235-L235</f>
        <v/>
      </c>
      <c r="N235" s="12">
        <f>K235*I235</f>
        <v/>
      </c>
      <c r="O235" s="13">
        <f>IFERROR(N235/E235,0)</f>
        <v/>
      </c>
    </row>
    <row r="236">
      <c r="A236" s="4" t="n"/>
      <c r="B236" s="5" t="n"/>
      <c r="C236" s="5" t="n"/>
      <c r="D236" s="6" t="n"/>
      <c r="E236" s="7" t="n"/>
      <c r="F236" s="7" t="n"/>
      <c r="G236" s="7" t="n"/>
      <c r="H236" s="8" t="n"/>
      <c r="I236" s="7" t="n"/>
      <c r="J236" s="9">
        <f>IFERROR(E236/G236,0)</f>
        <v/>
      </c>
      <c r="K236" s="10">
        <f>IFERROR(E236/F236,0)</f>
        <v/>
      </c>
      <c r="L236" s="10">
        <f>J236*H236</f>
        <v/>
      </c>
      <c r="M236" s="11">
        <f>K236-L236</f>
        <v/>
      </c>
      <c r="N236" s="12">
        <f>K236*I236</f>
        <v/>
      </c>
      <c r="O236" s="13">
        <f>IFERROR(N236/E236,0)</f>
        <v/>
      </c>
    </row>
    <row r="237">
      <c r="A237" s="4" t="n"/>
      <c r="B237" s="5" t="n"/>
      <c r="C237" s="5" t="n"/>
      <c r="D237" s="6" t="n"/>
      <c r="E237" s="7" t="n"/>
      <c r="F237" s="7" t="n"/>
      <c r="G237" s="7" t="n"/>
      <c r="H237" s="8" t="n"/>
      <c r="I237" s="7" t="n"/>
      <c r="J237" s="9">
        <f>IFERROR(E237/G237,0)</f>
        <v/>
      </c>
      <c r="K237" s="10">
        <f>IFERROR(E237/F237,0)</f>
        <v/>
      </c>
      <c r="L237" s="10">
        <f>J237*H237</f>
        <v/>
      </c>
      <c r="M237" s="11">
        <f>K237-L237</f>
        <v/>
      </c>
      <c r="N237" s="12">
        <f>K237*I237</f>
        <v/>
      </c>
      <c r="O237" s="13">
        <f>IFERROR(N237/E237,0)</f>
        <v/>
      </c>
    </row>
    <row r="238">
      <c r="A238" s="4" t="n"/>
      <c r="B238" s="5" t="n"/>
      <c r="C238" s="5" t="n"/>
      <c r="D238" s="6" t="n"/>
      <c r="E238" s="7" t="n"/>
      <c r="F238" s="7" t="n"/>
      <c r="G238" s="7" t="n"/>
      <c r="H238" s="8" t="n"/>
      <c r="I238" s="7" t="n"/>
      <c r="J238" s="9">
        <f>IFERROR(E238/G238,0)</f>
        <v/>
      </c>
      <c r="K238" s="10">
        <f>IFERROR(E238/F238,0)</f>
        <v/>
      </c>
      <c r="L238" s="10">
        <f>J238*H238</f>
        <v/>
      </c>
      <c r="M238" s="11">
        <f>K238-L238</f>
        <v/>
      </c>
      <c r="N238" s="12">
        <f>K238*I238</f>
        <v/>
      </c>
      <c r="O238" s="13">
        <f>IFERROR(N238/E238,0)</f>
        <v/>
      </c>
    </row>
    <row r="239">
      <c r="A239" s="4" t="n"/>
      <c r="B239" s="5" t="n"/>
      <c r="C239" s="5" t="n"/>
      <c r="D239" s="6" t="n"/>
      <c r="E239" s="7" t="n"/>
      <c r="F239" s="7" t="n"/>
      <c r="G239" s="7" t="n"/>
      <c r="H239" s="8" t="n"/>
      <c r="I239" s="7" t="n"/>
      <c r="J239" s="9">
        <f>IFERROR(E239/G239,0)</f>
        <v/>
      </c>
      <c r="K239" s="10">
        <f>IFERROR(E239/F239,0)</f>
        <v/>
      </c>
      <c r="L239" s="10">
        <f>J239*H239</f>
        <v/>
      </c>
      <c r="M239" s="11">
        <f>K239-L239</f>
        <v/>
      </c>
      <c r="N239" s="12">
        <f>K239*I239</f>
        <v/>
      </c>
      <c r="O239" s="13">
        <f>IFERROR(N239/E239,0)</f>
        <v/>
      </c>
    </row>
    <row r="240">
      <c r="A240" s="4" t="n"/>
      <c r="B240" s="5" t="n"/>
      <c r="C240" s="5" t="n"/>
      <c r="D240" s="6" t="n"/>
      <c r="E240" s="7" t="n"/>
      <c r="F240" s="7" t="n"/>
      <c r="G240" s="7" t="n"/>
      <c r="H240" s="8" t="n"/>
      <c r="I240" s="7" t="n"/>
      <c r="J240" s="9">
        <f>IFERROR(E240/G240,0)</f>
        <v/>
      </c>
      <c r="K240" s="10">
        <f>IFERROR(E240/F240,0)</f>
        <v/>
      </c>
      <c r="L240" s="10">
        <f>J240*H240</f>
        <v/>
      </c>
      <c r="M240" s="11">
        <f>K240-L240</f>
        <v/>
      </c>
      <c r="N240" s="12">
        <f>K240*I240</f>
        <v/>
      </c>
      <c r="O240" s="13">
        <f>IFERROR(N240/E240,0)</f>
        <v/>
      </c>
    </row>
    <row r="241">
      <c r="A241" s="4" t="n"/>
      <c r="B241" s="5" t="n"/>
      <c r="C241" s="5" t="n"/>
      <c r="D241" s="6" t="n"/>
      <c r="E241" s="7" t="n"/>
      <c r="F241" s="7" t="n"/>
      <c r="G241" s="7" t="n"/>
      <c r="H241" s="8" t="n"/>
      <c r="I241" s="7" t="n"/>
      <c r="J241" s="9">
        <f>IFERROR(E241/G241,0)</f>
        <v/>
      </c>
      <c r="K241" s="10">
        <f>IFERROR(E241/F241,0)</f>
        <v/>
      </c>
      <c r="L241" s="10">
        <f>J241*H241</f>
        <v/>
      </c>
      <c r="M241" s="11">
        <f>K241-L241</f>
        <v/>
      </c>
      <c r="N241" s="12">
        <f>K241*I241</f>
        <v/>
      </c>
      <c r="O241" s="13">
        <f>IFERROR(N241/E241,0)</f>
        <v/>
      </c>
    </row>
    <row r="242">
      <c r="A242" s="4" t="n"/>
      <c r="B242" s="5" t="n"/>
      <c r="C242" s="5" t="n"/>
      <c r="D242" s="6" t="n"/>
      <c r="E242" s="7" t="n"/>
      <c r="F242" s="7" t="n"/>
      <c r="G242" s="7" t="n"/>
      <c r="H242" s="8" t="n"/>
      <c r="I242" s="7" t="n"/>
      <c r="J242" s="9">
        <f>IFERROR(E242/G242,0)</f>
        <v/>
      </c>
      <c r="K242" s="10">
        <f>IFERROR(E242/F242,0)</f>
        <v/>
      </c>
      <c r="L242" s="10">
        <f>J242*H242</f>
        <v/>
      </c>
      <c r="M242" s="11">
        <f>K242-L242</f>
        <v/>
      </c>
      <c r="N242" s="12">
        <f>K242*I242</f>
        <v/>
      </c>
      <c r="O242" s="13">
        <f>IFERROR(N242/E242,0)</f>
        <v/>
      </c>
    </row>
    <row r="243">
      <c r="A243" s="4" t="n"/>
      <c r="B243" s="5" t="n"/>
      <c r="C243" s="5" t="n"/>
      <c r="D243" s="6" t="n"/>
      <c r="E243" s="7" t="n"/>
      <c r="F243" s="7" t="n"/>
      <c r="G243" s="7" t="n"/>
      <c r="H243" s="8" t="n"/>
      <c r="I243" s="7" t="n"/>
      <c r="J243" s="9">
        <f>IFERROR(E243/G243,0)</f>
        <v/>
      </c>
      <c r="K243" s="10">
        <f>IFERROR(E243/F243,0)</f>
        <v/>
      </c>
      <c r="L243" s="10">
        <f>J243*H243</f>
        <v/>
      </c>
      <c r="M243" s="11">
        <f>K243-L243</f>
        <v/>
      </c>
      <c r="N243" s="12">
        <f>K243*I243</f>
        <v/>
      </c>
      <c r="O243" s="13">
        <f>IFERROR(N243/E243,0)</f>
        <v/>
      </c>
    </row>
    <row r="244">
      <c r="A244" s="4" t="n"/>
      <c r="B244" s="5" t="n"/>
      <c r="C244" s="5" t="n"/>
      <c r="D244" s="6" t="n"/>
      <c r="E244" s="7" t="n"/>
      <c r="F244" s="7" t="n"/>
      <c r="G244" s="7" t="n"/>
      <c r="H244" s="8" t="n"/>
      <c r="I244" s="7" t="n"/>
      <c r="J244" s="9">
        <f>IFERROR(E244/G244,0)</f>
        <v/>
      </c>
      <c r="K244" s="10">
        <f>IFERROR(E244/F244,0)</f>
        <v/>
      </c>
      <c r="L244" s="10">
        <f>J244*H244</f>
        <v/>
      </c>
      <c r="M244" s="11">
        <f>K244-L244</f>
        <v/>
      </c>
      <c r="N244" s="12">
        <f>K244*I244</f>
        <v/>
      </c>
      <c r="O244" s="13">
        <f>IFERROR(N244/E244,0)</f>
        <v/>
      </c>
    </row>
    <row r="245">
      <c r="A245" s="4" t="n"/>
      <c r="B245" s="5" t="n"/>
      <c r="C245" s="5" t="n"/>
      <c r="D245" s="6" t="n"/>
      <c r="E245" s="7" t="n"/>
      <c r="F245" s="7" t="n"/>
      <c r="G245" s="7" t="n"/>
      <c r="H245" s="8" t="n"/>
      <c r="I245" s="7" t="n"/>
      <c r="J245" s="9">
        <f>IFERROR(E245/G245,0)</f>
        <v/>
      </c>
      <c r="K245" s="10">
        <f>IFERROR(E245/F245,0)</f>
        <v/>
      </c>
      <c r="L245" s="10">
        <f>J245*H245</f>
        <v/>
      </c>
      <c r="M245" s="11">
        <f>K245-L245</f>
        <v/>
      </c>
      <c r="N245" s="12">
        <f>K245*I245</f>
        <v/>
      </c>
      <c r="O245" s="13">
        <f>IFERROR(N245/E245,0)</f>
        <v/>
      </c>
    </row>
    <row r="246">
      <c r="A246" s="4" t="n"/>
      <c r="B246" s="5" t="n"/>
      <c r="C246" s="5" t="n"/>
      <c r="D246" s="6" t="n"/>
      <c r="E246" s="7" t="n"/>
      <c r="F246" s="7" t="n"/>
      <c r="G246" s="7" t="n"/>
      <c r="H246" s="8" t="n"/>
      <c r="I246" s="7" t="n"/>
      <c r="J246" s="9">
        <f>IFERROR(E246/G246,0)</f>
        <v/>
      </c>
      <c r="K246" s="10">
        <f>IFERROR(E246/F246,0)</f>
        <v/>
      </c>
      <c r="L246" s="10">
        <f>J246*H246</f>
        <v/>
      </c>
      <c r="M246" s="11">
        <f>K246-L246</f>
        <v/>
      </c>
      <c r="N246" s="12">
        <f>K246*I246</f>
        <v/>
      </c>
      <c r="O246" s="13">
        <f>IFERROR(N246/E246,0)</f>
        <v/>
      </c>
    </row>
    <row r="247">
      <c r="A247" s="4" t="n"/>
      <c r="B247" s="5" t="n"/>
      <c r="C247" s="5" t="n"/>
      <c r="D247" s="6" t="n"/>
      <c r="E247" s="7" t="n"/>
      <c r="F247" s="7" t="n"/>
      <c r="G247" s="7" t="n"/>
      <c r="H247" s="8" t="n"/>
      <c r="I247" s="7" t="n"/>
      <c r="J247" s="9">
        <f>IFERROR(E247/G247,0)</f>
        <v/>
      </c>
      <c r="K247" s="10">
        <f>IFERROR(E247/F247,0)</f>
        <v/>
      </c>
      <c r="L247" s="10">
        <f>J247*H247</f>
        <v/>
      </c>
      <c r="M247" s="11">
        <f>K247-L247</f>
        <v/>
      </c>
      <c r="N247" s="12">
        <f>K247*I247</f>
        <v/>
      </c>
      <c r="O247" s="13">
        <f>IFERROR(N247/E247,0)</f>
        <v/>
      </c>
    </row>
    <row r="248">
      <c r="A248" s="4" t="n"/>
      <c r="B248" s="5" t="n"/>
      <c r="C248" s="5" t="n"/>
      <c r="D248" s="6" t="n"/>
      <c r="E248" s="7" t="n"/>
      <c r="F248" s="7" t="n"/>
      <c r="G248" s="7" t="n"/>
      <c r="H248" s="8" t="n"/>
      <c r="I248" s="7" t="n"/>
      <c r="J248" s="9">
        <f>IFERROR(E248/G248,0)</f>
        <v/>
      </c>
      <c r="K248" s="10">
        <f>IFERROR(E248/F248,0)</f>
        <v/>
      </c>
      <c r="L248" s="10">
        <f>J248*H248</f>
        <v/>
      </c>
      <c r="M248" s="11">
        <f>K248-L248</f>
        <v/>
      </c>
      <c r="N248" s="12">
        <f>K248*I248</f>
        <v/>
      </c>
      <c r="O248" s="13">
        <f>IFERROR(N248/E248,0)</f>
        <v/>
      </c>
    </row>
    <row r="249">
      <c r="A249" s="4" t="n"/>
      <c r="B249" s="5" t="n"/>
      <c r="C249" s="5" t="n"/>
      <c r="D249" s="6" t="n"/>
      <c r="E249" s="7" t="n"/>
      <c r="F249" s="7" t="n"/>
      <c r="G249" s="7" t="n"/>
      <c r="H249" s="8" t="n"/>
      <c r="I249" s="7" t="n"/>
      <c r="J249" s="9">
        <f>IFERROR(E249/G249,0)</f>
        <v/>
      </c>
      <c r="K249" s="10">
        <f>IFERROR(E249/F249,0)</f>
        <v/>
      </c>
      <c r="L249" s="10">
        <f>J249*H249</f>
        <v/>
      </c>
      <c r="M249" s="11">
        <f>K249-L249</f>
        <v/>
      </c>
      <c r="N249" s="12">
        <f>K249*I249</f>
        <v/>
      </c>
      <c r="O249" s="13">
        <f>IFERROR(N249/E249,0)</f>
        <v/>
      </c>
    </row>
    <row r="250">
      <c r="A250" s="4" t="n"/>
      <c r="B250" s="5" t="n"/>
      <c r="C250" s="5" t="n"/>
      <c r="D250" s="6" t="n"/>
      <c r="E250" s="7" t="n"/>
      <c r="F250" s="7" t="n"/>
      <c r="G250" s="7" t="n"/>
      <c r="H250" s="8" t="n"/>
      <c r="I250" s="7" t="n"/>
      <c r="J250" s="9">
        <f>IFERROR(E250/G250,0)</f>
        <v/>
      </c>
      <c r="K250" s="10">
        <f>IFERROR(E250/F250,0)</f>
        <v/>
      </c>
      <c r="L250" s="10">
        <f>J250*H250</f>
        <v/>
      </c>
      <c r="M250" s="11">
        <f>K250-L250</f>
        <v/>
      </c>
      <c r="N250" s="12">
        <f>K250*I250</f>
        <v/>
      </c>
      <c r="O250" s="13">
        <f>IFERROR(N250/E250,0)</f>
        <v/>
      </c>
    </row>
    <row r="251">
      <c r="A251" s="4" t="n"/>
      <c r="B251" s="5" t="n"/>
      <c r="C251" s="5" t="n"/>
      <c r="D251" s="6" t="n"/>
      <c r="E251" s="7" t="n"/>
      <c r="F251" s="7" t="n"/>
      <c r="G251" s="7" t="n"/>
      <c r="H251" s="8" t="n"/>
      <c r="I251" s="7" t="n"/>
      <c r="J251" s="9">
        <f>IFERROR(E251/G251,0)</f>
        <v/>
      </c>
      <c r="K251" s="10">
        <f>IFERROR(E251/F251,0)</f>
        <v/>
      </c>
      <c r="L251" s="10">
        <f>J251*H251</f>
        <v/>
      </c>
      <c r="M251" s="11">
        <f>K251-L251</f>
        <v/>
      </c>
      <c r="N251" s="12">
        <f>K251*I251</f>
        <v/>
      </c>
      <c r="O251" s="13">
        <f>IFERROR(N251/E251,0)</f>
        <v/>
      </c>
    </row>
    <row r="252">
      <c r="A252" s="4" t="n"/>
      <c r="B252" s="5" t="n"/>
      <c r="C252" s="5" t="n"/>
      <c r="D252" s="6" t="n"/>
      <c r="E252" s="7" t="n"/>
      <c r="F252" s="7" t="n"/>
      <c r="G252" s="7" t="n"/>
      <c r="H252" s="8" t="n"/>
      <c r="I252" s="7" t="n"/>
      <c r="J252" s="9">
        <f>IFERROR(E252/G252,0)</f>
        <v/>
      </c>
      <c r="K252" s="10">
        <f>IFERROR(E252/F252,0)</f>
        <v/>
      </c>
      <c r="L252" s="10">
        <f>J252*H252</f>
        <v/>
      </c>
      <c r="M252" s="11">
        <f>K252-L252</f>
        <v/>
      </c>
      <c r="N252" s="12">
        <f>K252*I252</f>
        <v/>
      </c>
      <c r="O252" s="13">
        <f>IFERROR(N252/E252,0)</f>
        <v/>
      </c>
    </row>
    <row r="253">
      <c r="A253" s="4" t="n"/>
      <c r="B253" s="5" t="n"/>
      <c r="C253" s="5" t="n"/>
      <c r="D253" s="6" t="n"/>
      <c r="E253" s="7" t="n"/>
      <c r="F253" s="7" t="n"/>
      <c r="G253" s="7" t="n"/>
      <c r="H253" s="8" t="n"/>
      <c r="I253" s="7" t="n"/>
      <c r="J253" s="9">
        <f>IFERROR(E253/G253,0)</f>
        <v/>
      </c>
      <c r="K253" s="10">
        <f>IFERROR(E253/F253,0)</f>
        <v/>
      </c>
      <c r="L253" s="10">
        <f>J253*H253</f>
        <v/>
      </c>
      <c r="M253" s="11">
        <f>K253-L253</f>
        <v/>
      </c>
      <c r="N253" s="12">
        <f>K253*I253</f>
        <v/>
      </c>
      <c r="O253" s="13">
        <f>IFERROR(N253/E253,0)</f>
        <v/>
      </c>
    </row>
    <row r="254">
      <c r="A254" s="4" t="n"/>
      <c r="B254" s="5" t="n"/>
      <c r="C254" s="5" t="n"/>
      <c r="D254" s="6" t="n"/>
      <c r="E254" s="7" t="n"/>
      <c r="F254" s="7" t="n"/>
      <c r="G254" s="7" t="n"/>
      <c r="H254" s="8" t="n"/>
      <c r="I254" s="7" t="n"/>
      <c r="J254" s="9">
        <f>IFERROR(E254/G254,0)</f>
        <v/>
      </c>
      <c r="K254" s="10">
        <f>IFERROR(E254/F254,0)</f>
        <v/>
      </c>
      <c r="L254" s="10">
        <f>J254*H254</f>
        <v/>
      </c>
      <c r="M254" s="11">
        <f>K254-L254</f>
        <v/>
      </c>
      <c r="N254" s="12">
        <f>K254*I254</f>
        <v/>
      </c>
      <c r="O254" s="13">
        <f>IFERROR(N254/E254,0)</f>
        <v/>
      </c>
    </row>
    <row r="255">
      <c r="A255" s="4" t="n"/>
      <c r="B255" s="5" t="n"/>
      <c r="C255" s="5" t="n"/>
      <c r="D255" s="6" t="n"/>
      <c r="E255" s="7" t="n"/>
      <c r="F255" s="7" t="n"/>
      <c r="G255" s="7" t="n"/>
      <c r="H255" s="8" t="n"/>
      <c r="I255" s="7" t="n"/>
      <c r="J255" s="9">
        <f>IFERROR(E255/G255,0)</f>
        <v/>
      </c>
      <c r="K255" s="10">
        <f>IFERROR(E255/F255,0)</f>
        <v/>
      </c>
      <c r="L255" s="10">
        <f>J255*H255</f>
        <v/>
      </c>
      <c r="M255" s="11">
        <f>K255-L255</f>
        <v/>
      </c>
      <c r="N255" s="12">
        <f>K255*I255</f>
        <v/>
      </c>
      <c r="O255" s="13">
        <f>IFERROR(N255/E255,0)</f>
        <v/>
      </c>
    </row>
    <row r="256">
      <c r="A256" s="4" t="n"/>
      <c r="B256" s="5" t="n"/>
      <c r="C256" s="5" t="n"/>
      <c r="D256" s="6" t="n"/>
      <c r="E256" s="7" t="n"/>
      <c r="F256" s="7" t="n"/>
      <c r="G256" s="7" t="n"/>
      <c r="H256" s="8" t="n"/>
      <c r="I256" s="7" t="n"/>
      <c r="J256" s="9">
        <f>IFERROR(E256/G256,0)</f>
        <v/>
      </c>
      <c r="K256" s="10">
        <f>IFERROR(E256/F256,0)</f>
        <v/>
      </c>
      <c r="L256" s="10">
        <f>J256*H256</f>
        <v/>
      </c>
      <c r="M256" s="11">
        <f>K256-L256</f>
        <v/>
      </c>
      <c r="N256" s="12">
        <f>K256*I256</f>
        <v/>
      </c>
      <c r="O256" s="13">
        <f>IFERROR(N256/E256,0)</f>
        <v/>
      </c>
    </row>
    <row r="257">
      <c r="A257" s="4" t="n"/>
      <c r="B257" s="5" t="n"/>
      <c r="C257" s="5" t="n"/>
      <c r="D257" s="6" t="n"/>
      <c r="E257" s="7" t="n"/>
      <c r="F257" s="7" t="n"/>
      <c r="G257" s="7" t="n"/>
      <c r="H257" s="8" t="n"/>
      <c r="I257" s="7" t="n"/>
      <c r="J257" s="9">
        <f>IFERROR(E257/G257,0)</f>
        <v/>
      </c>
      <c r="K257" s="10">
        <f>IFERROR(E257/F257,0)</f>
        <v/>
      </c>
      <c r="L257" s="10">
        <f>J257*H257</f>
        <v/>
      </c>
      <c r="M257" s="11">
        <f>K257-L257</f>
        <v/>
      </c>
      <c r="N257" s="12">
        <f>K257*I257</f>
        <v/>
      </c>
      <c r="O257" s="13">
        <f>IFERROR(N257/E257,0)</f>
        <v/>
      </c>
    </row>
    <row r="258">
      <c r="A258" s="4" t="n"/>
      <c r="B258" s="5" t="n"/>
      <c r="C258" s="5" t="n"/>
      <c r="D258" s="6" t="n"/>
      <c r="E258" s="7" t="n"/>
      <c r="F258" s="7" t="n"/>
      <c r="G258" s="7" t="n"/>
      <c r="H258" s="8" t="n"/>
      <c r="I258" s="7" t="n"/>
      <c r="J258" s="9">
        <f>IFERROR(E258/G258,0)</f>
        <v/>
      </c>
      <c r="K258" s="10">
        <f>IFERROR(E258/F258,0)</f>
        <v/>
      </c>
      <c r="L258" s="10">
        <f>J258*H258</f>
        <v/>
      </c>
      <c r="M258" s="11">
        <f>K258-L258</f>
        <v/>
      </c>
      <c r="N258" s="12">
        <f>K258*I258</f>
        <v/>
      </c>
      <c r="O258" s="13">
        <f>IFERROR(N258/E258,0)</f>
        <v/>
      </c>
    </row>
    <row r="259">
      <c r="A259" s="4" t="n"/>
      <c r="B259" s="5" t="n"/>
      <c r="C259" s="5" t="n"/>
      <c r="D259" s="6" t="n"/>
      <c r="E259" s="7" t="n"/>
      <c r="F259" s="7" t="n"/>
      <c r="G259" s="7" t="n"/>
      <c r="H259" s="8" t="n"/>
      <c r="I259" s="7" t="n"/>
      <c r="J259" s="9">
        <f>IFERROR(E259/G259,0)</f>
        <v/>
      </c>
      <c r="K259" s="10">
        <f>IFERROR(E259/F259,0)</f>
        <v/>
      </c>
      <c r="L259" s="10">
        <f>J259*H259</f>
        <v/>
      </c>
      <c r="M259" s="11">
        <f>K259-L259</f>
        <v/>
      </c>
      <c r="N259" s="12">
        <f>K259*I259</f>
        <v/>
      </c>
      <c r="O259" s="13">
        <f>IFERROR(N259/E259,0)</f>
        <v/>
      </c>
    </row>
    <row r="260">
      <c r="A260" s="4" t="n"/>
      <c r="B260" s="5" t="n"/>
      <c r="C260" s="5" t="n"/>
      <c r="D260" s="6" t="n"/>
      <c r="E260" s="7" t="n"/>
      <c r="F260" s="7" t="n"/>
      <c r="G260" s="7" t="n"/>
      <c r="H260" s="8" t="n"/>
      <c r="I260" s="7" t="n"/>
      <c r="J260" s="9">
        <f>IFERROR(E260/G260,0)</f>
        <v/>
      </c>
      <c r="K260" s="10">
        <f>IFERROR(E260/F260,0)</f>
        <v/>
      </c>
      <c r="L260" s="10">
        <f>J260*H260</f>
        <v/>
      </c>
      <c r="M260" s="11">
        <f>K260-L260</f>
        <v/>
      </c>
      <c r="N260" s="12">
        <f>K260*I260</f>
        <v/>
      </c>
      <c r="O260" s="13">
        <f>IFERROR(N260/E260,0)</f>
        <v/>
      </c>
    </row>
    <row r="261">
      <c r="A261" s="4" t="n"/>
      <c r="B261" s="5" t="n"/>
      <c r="C261" s="5" t="n"/>
      <c r="D261" s="6" t="n"/>
      <c r="E261" s="7" t="n"/>
      <c r="F261" s="7" t="n"/>
      <c r="G261" s="7" t="n"/>
      <c r="H261" s="8" t="n"/>
      <c r="I261" s="7" t="n"/>
      <c r="J261" s="9">
        <f>IFERROR(E261/G261,0)</f>
        <v/>
      </c>
      <c r="K261" s="10">
        <f>IFERROR(E261/F261,0)</f>
        <v/>
      </c>
      <c r="L261" s="10">
        <f>J261*H261</f>
        <v/>
      </c>
      <c r="M261" s="11">
        <f>K261-L261</f>
        <v/>
      </c>
      <c r="N261" s="12">
        <f>K261*I261</f>
        <v/>
      </c>
      <c r="O261" s="13">
        <f>IFERROR(N261/E261,0)</f>
        <v/>
      </c>
    </row>
    <row r="262">
      <c r="A262" s="4" t="n"/>
      <c r="B262" s="5" t="n"/>
      <c r="C262" s="5" t="n"/>
      <c r="D262" s="6" t="n"/>
      <c r="E262" s="7" t="n"/>
      <c r="F262" s="7" t="n"/>
      <c r="G262" s="7" t="n"/>
      <c r="H262" s="8" t="n"/>
      <c r="I262" s="7" t="n"/>
      <c r="J262" s="9">
        <f>IFERROR(E262/G262,0)</f>
        <v/>
      </c>
      <c r="K262" s="10">
        <f>IFERROR(E262/F262,0)</f>
        <v/>
      </c>
      <c r="L262" s="10">
        <f>J262*H262</f>
        <v/>
      </c>
      <c r="M262" s="11">
        <f>K262-L262</f>
        <v/>
      </c>
      <c r="N262" s="12">
        <f>K262*I262</f>
        <v/>
      </c>
      <c r="O262" s="13">
        <f>IFERROR(N262/E262,0)</f>
        <v/>
      </c>
    </row>
    <row r="263">
      <c r="A263" s="4" t="n"/>
      <c r="B263" s="5" t="n"/>
      <c r="C263" s="5" t="n"/>
      <c r="D263" s="6" t="n"/>
      <c r="E263" s="7" t="n"/>
      <c r="F263" s="7" t="n"/>
      <c r="G263" s="7" t="n"/>
      <c r="H263" s="8" t="n"/>
      <c r="I263" s="7" t="n"/>
      <c r="J263" s="9">
        <f>IFERROR(E263/G263,0)</f>
        <v/>
      </c>
      <c r="K263" s="10">
        <f>IFERROR(E263/F263,0)</f>
        <v/>
      </c>
      <c r="L263" s="10">
        <f>J263*H263</f>
        <v/>
      </c>
      <c r="M263" s="11">
        <f>K263-L263</f>
        <v/>
      </c>
      <c r="N263" s="12">
        <f>K263*I263</f>
        <v/>
      </c>
      <c r="O263" s="13">
        <f>IFERROR(N263/E263,0)</f>
        <v/>
      </c>
    </row>
    <row r="264">
      <c r="A264" s="4" t="n"/>
      <c r="B264" s="5" t="n"/>
      <c r="C264" s="5" t="n"/>
      <c r="D264" s="6" t="n"/>
      <c r="E264" s="7" t="n"/>
      <c r="F264" s="7" t="n"/>
      <c r="G264" s="7" t="n"/>
      <c r="H264" s="8" t="n"/>
      <c r="I264" s="7" t="n"/>
      <c r="J264" s="9">
        <f>IFERROR(E264/G264,0)</f>
        <v/>
      </c>
      <c r="K264" s="10">
        <f>IFERROR(E264/F264,0)</f>
        <v/>
      </c>
      <c r="L264" s="10">
        <f>J264*H264</f>
        <v/>
      </c>
      <c r="M264" s="11">
        <f>K264-L264</f>
        <v/>
      </c>
      <c r="N264" s="12">
        <f>K264*I264</f>
        <v/>
      </c>
      <c r="O264" s="13">
        <f>IFERROR(N264/E264,0)</f>
        <v/>
      </c>
    </row>
    <row r="265">
      <c r="A265" s="4" t="n"/>
      <c r="B265" s="5" t="n"/>
      <c r="C265" s="5" t="n"/>
      <c r="D265" s="6" t="n"/>
      <c r="E265" s="7" t="n"/>
      <c r="F265" s="7" t="n"/>
      <c r="G265" s="7" t="n"/>
      <c r="H265" s="8" t="n"/>
      <c r="I265" s="7" t="n"/>
      <c r="J265" s="9">
        <f>IFERROR(E265/G265,0)</f>
        <v/>
      </c>
      <c r="K265" s="10">
        <f>IFERROR(E265/F265,0)</f>
        <v/>
      </c>
      <c r="L265" s="10">
        <f>J265*H265</f>
        <v/>
      </c>
      <c r="M265" s="11">
        <f>K265-L265</f>
        <v/>
      </c>
      <c r="N265" s="12">
        <f>K265*I265</f>
        <v/>
      </c>
      <c r="O265" s="13">
        <f>IFERROR(N265/E265,0)</f>
        <v/>
      </c>
    </row>
    <row r="266">
      <c r="A266" s="4" t="n"/>
      <c r="B266" s="5" t="n"/>
      <c r="C266" s="5" t="n"/>
      <c r="D266" s="6" t="n"/>
      <c r="E266" s="7" t="n"/>
      <c r="F266" s="7" t="n"/>
      <c r="G266" s="7" t="n"/>
      <c r="H266" s="8" t="n"/>
      <c r="I266" s="7" t="n"/>
      <c r="J266" s="9">
        <f>IFERROR(E266/G266,0)</f>
        <v/>
      </c>
      <c r="K266" s="10">
        <f>IFERROR(E266/F266,0)</f>
        <v/>
      </c>
      <c r="L266" s="10">
        <f>J266*H266</f>
        <v/>
      </c>
      <c r="M266" s="11">
        <f>K266-L266</f>
        <v/>
      </c>
      <c r="N266" s="12">
        <f>K266*I266</f>
        <v/>
      </c>
      <c r="O266" s="13">
        <f>IFERROR(N266/E266,0)</f>
        <v/>
      </c>
    </row>
    <row r="267">
      <c r="A267" s="4" t="n"/>
      <c r="B267" s="5" t="n"/>
      <c r="C267" s="5" t="n"/>
      <c r="D267" s="6" t="n"/>
      <c r="E267" s="7" t="n"/>
      <c r="F267" s="7" t="n"/>
      <c r="G267" s="7" t="n"/>
      <c r="H267" s="8" t="n"/>
      <c r="I267" s="7" t="n"/>
      <c r="J267" s="9">
        <f>IFERROR(E267/G267,0)</f>
        <v/>
      </c>
      <c r="K267" s="10">
        <f>IFERROR(E267/F267,0)</f>
        <v/>
      </c>
      <c r="L267" s="10">
        <f>J267*H267</f>
        <v/>
      </c>
      <c r="M267" s="11">
        <f>K267-L267</f>
        <v/>
      </c>
      <c r="N267" s="12">
        <f>K267*I267</f>
        <v/>
      </c>
      <c r="O267" s="13">
        <f>IFERROR(N267/E267,0)</f>
        <v/>
      </c>
    </row>
    <row r="268">
      <c r="A268" s="4" t="n"/>
      <c r="B268" s="5" t="n"/>
      <c r="C268" s="5" t="n"/>
      <c r="D268" s="6" t="n"/>
      <c r="E268" s="7" t="n"/>
      <c r="F268" s="7" t="n"/>
      <c r="G268" s="7" t="n"/>
      <c r="H268" s="8" t="n"/>
      <c r="I268" s="7" t="n"/>
      <c r="J268" s="9">
        <f>IFERROR(E268/G268,0)</f>
        <v/>
      </c>
      <c r="K268" s="10">
        <f>IFERROR(E268/F268,0)</f>
        <v/>
      </c>
      <c r="L268" s="10">
        <f>J268*H268</f>
        <v/>
      </c>
      <c r="M268" s="11">
        <f>K268-L268</f>
        <v/>
      </c>
      <c r="N268" s="12">
        <f>K268*I268</f>
        <v/>
      </c>
      <c r="O268" s="13">
        <f>IFERROR(N268/E268,0)</f>
        <v/>
      </c>
    </row>
    <row r="269">
      <c r="A269" s="4" t="n"/>
      <c r="B269" s="5" t="n"/>
      <c r="C269" s="5" t="n"/>
      <c r="D269" s="6" t="n"/>
      <c r="E269" s="7" t="n"/>
      <c r="F269" s="7" t="n"/>
      <c r="G269" s="7" t="n"/>
      <c r="H269" s="8" t="n"/>
      <c r="I269" s="7" t="n"/>
      <c r="J269" s="9">
        <f>IFERROR(E269/G269,0)</f>
        <v/>
      </c>
      <c r="K269" s="10">
        <f>IFERROR(E269/F269,0)</f>
        <v/>
      </c>
      <c r="L269" s="10">
        <f>J269*H269</f>
        <v/>
      </c>
      <c r="M269" s="11">
        <f>K269-L269</f>
        <v/>
      </c>
      <c r="N269" s="12">
        <f>K269*I269</f>
        <v/>
      </c>
      <c r="O269" s="13">
        <f>IFERROR(N269/E269,0)</f>
        <v/>
      </c>
    </row>
    <row r="270">
      <c r="A270" s="4" t="n"/>
      <c r="B270" s="5" t="n"/>
      <c r="C270" s="5" t="n"/>
      <c r="D270" s="6" t="n"/>
      <c r="E270" s="7" t="n"/>
      <c r="F270" s="7" t="n"/>
      <c r="G270" s="7" t="n"/>
      <c r="H270" s="8" t="n"/>
      <c r="I270" s="7" t="n"/>
      <c r="J270" s="9">
        <f>IFERROR(E270/G270,0)</f>
        <v/>
      </c>
      <c r="K270" s="10">
        <f>IFERROR(E270/F270,0)</f>
        <v/>
      </c>
      <c r="L270" s="10">
        <f>J270*H270</f>
        <v/>
      </c>
      <c r="M270" s="11">
        <f>K270-L270</f>
        <v/>
      </c>
      <c r="N270" s="12">
        <f>K270*I270</f>
        <v/>
      </c>
      <c r="O270" s="13">
        <f>IFERROR(N270/E270,0)</f>
        <v/>
      </c>
    </row>
    <row r="271">
      <c r="A271" s="4" t="n"/>
      <c r="B271" s="5" t="n"/>
      <c r="C271" s="5" t="n"/>
      <c r="D271" s="6" t="n"/>
      <c r="E271" s="7" t="n"/>
      <c r="F271" s="7" t="n"/>
      <c r="G271" s="7" t="n"/>
      <c r="H271" s="8" t="n"/>
      <c r="I271" s="7" t="n"/>
      <c r="J271" s="9">
        <f>IFERROR(E271/G271,0)</f>
        <v/>
      </c>
      <c r="K271" s="10">
        <f>IFERROR(E271/F271,0)</f>
        <v/>
      </c>
      <c r="L271" s="10">
        <f>J271*H271</f>
        <v/>
      </c>
      <c r="M271" s="11">
        <f>K271-L271</f>
        <v/>
      </c>
      <c r="N271" s="12">
        <f>K271*I271</f>
        <v/>
      </c>
      <c r="O271" s="13">
        <f>IFERROR(N271/E271,0)</f>
        <v/>
      </c>
    </row>
    <row r="272">
      <c r="A272" s="4" t="n"/>
      <c r="B272" s="5" t="n"/>
      <c r="C272" s="5" t="n"/>
      <c r="D272" s="6" t="n"/>
      <c r="E272" s="7" t="n"/>
      <c r="F272" s="7" t="n"/>
      <c r="G272" s="7" t="n"/>
      <c r="H272" s="8" t="n"/>
      <c r="I272" s="7" t="n"/>
      <c r="J272" s="9">
        <f>IFERROR(E272/G272,0)</f>
        <v/>
      </c>
      <c r="K272" s="10">
        <f>IFERROR(E272/F272,0)</f>
        <v/>
      </c>
      <c r="L272" s="10">
        <f>J272*H272</f>
        <v/>
      </c>
      <c r="M272" s="11">
        <f>K272-L272</f>
        <v/>
      </c>
      <c r="N272" s="12">
        <f>K272*I272</f>
        <v/>
      </c>
      <c r="O272" s="13">
        <f>IFERROR(N272/E272,0)</f>
        <v/>
      </c>
    </row>
    <row r="273">
      <c r="A273" s="4" t="n"/>
      <c r="B273" s="5" t="n"/>
      <c r="C273" s="5" t="n"/>
      <c r="D273" s="6" t="n"/>
      <c r="E273" s="7" t="n"/>
      <c r="F273" s="7" t="n"/>
      <c r="G273" s="7" t="n"/>
      <c r="H273" s="8" t="n"/>
      <c r="I273" s="7" t="n"/>
      <c r="J273" s="9">
        <f>IFERROR(E273/G273,0)</f>
        <v/>
      </c>
      <c r="K273" s="10">
        <f>IFERROR(E273/F273,0)</f>
        <v/>
      </c>
      <c r="L273" s="10">
        <f>J273*H273</f>
        <v/>
      </c>
      <c r="M273" s="11">
        <f>K273-L273</f>
        <v/>
      </c>
      <c r="N273" s="12">
        <f>K273*I273</f>
        <v/>
      </c>
      <c r="O273" s="13">
        <f>IFERROR(N273/E273,0)</f>
        <v/>
      </c>
    </row>
    <row r="274">
      <c r="A274" s="4" t="n"/>
      <c r="B274" s="5" t="n"/>
      <c r="C274" s="5" t="n"/>
      <c r="D274" s="6" t="n"/>
      <c r="E274" s="7" t="n"/>
      <c r="F274" s="7" t="n"/>
      <c r="G274" s="7" t="n"/>
      <c r="H274" s="8" t="n"/>
      <c r="I274" s="7" t="n"/>
      <c r="J274" s="9">
        <f>IFERROR(E274/G274,0)</f>
        <v/>
      </c>
      <c r="K274" s="10">
        <f>IFERROR(E274/F274,0)</f>
        <v/>
      </c>
      <c r="L274" s="10">
        <f>J274*H274</f>
        <v/>
      </c>
      <c r="M274" s="11">
        <f>K274-L274</f>
        <v/>
      </c>
      <c r="N274" s="12">
        <f>K274*I274</f>
        <v/>
      </c>
      <c r="O274" s="13">
        <f>IFERROR(N274/E274,0)</f>
        <v/>
      </c>
    </row>
    <row r="275">
      <c r="A275" s="4" t="n"/>
      <c r="B275" s="5" t="n"/>
      <c r="C275" s="5" t="n"/>
      <c r="D275" s="6" t="n"/>
      <c r="E275" s="7" t="n"/>
      <c r="F275" s="7" t="n"/>
      <c r="G275" s="7" t="n"/>
      <c r="H275" s="8" t="n"/>
      <c r="I275" s="7" t="n"/>
      <c r="J275" s="9">
        <f>IFERROR(E275/G275,0)</f>
        <v/>
      </c>
      <c r="K275" s="10">
        <f>IFERROR(E275/F275,0)</f>
        <v/>
      </c>
      <c r="L275" s="10">
        <f>J275*H275</f>
        <v/>
      </c>
      <c r="M275" s="11">
        <f>K275-L275</f>
        <v/>
      </c>
      <c r="N275" s="12">
        <f>K275*I275</f>
        <v/>
      </c>
      <c r="O275" s="13">
        <f>IFERROR(N275/E275,0)</f>
        <v/>
      </c>
    </row>
    <row r="276">
      <c r="A276" s="4" t="n"/>
      <c r="B276" s="5" t="n"/>
      <c r="C276" s="5" t="n"/>
      <c r="D276" s="6" t="n"/>
      <c r="E276" s="7" t="n"/>
      <c r="F276" s="7" t="n"/>
      <c r="G276" s="7" t="n"/>
      <c r="H276" s="8" t="n"/>
      <c r="I276" s="7" t="n"/>
      <c r="J276" s="9">
        <f>IFERROR(E276/G276,0)</f>
        <v/>
      </c>
      <c r="K276" s="10">
        <f>IFERROR(E276/F276,0)</f>
        <v/>
      </c>
      <c r="L276" s="10">
        <f>J276*H276</f>
        <v/>
      </c>
      <c r="M276" s="11">
        <f>K276-L276</f>
        <v/>
      </c>
      <c r="N276" s="12">
        <f>K276*I276</f>
        <v/>
      </c>
      <c r="O276" s="13">
        <f>IFERROR(N276/E276,0)</f>
        <v/>
      </c>
    </row>
    <row r="277">
      <c r="A277" s="4" t="n"/>
      <c r="B277" s="5" t="n"/>
      <c r="C277" s="5" t="n"/>
      <c r="D277" s="6" t="n"/>
      <c r="E277" s="7" t="n"/>
      <c r="F277" s="7" t="n"/>
      <c r="G277" s="7" t="n"/>
      <c r="H277" s="8" t="n"/>
      <c r="I277" s="7" t="n"/>
      <c r="J277" s="9">
        <f>IFERROR(E277/G277,0)</f>
        <v/>
      </c>
      <c r="K277" s="10">
        <f>IFERROR(E277/F277,0)</f>
        <v/>
      </c>
      <c r="L277" s="10">
        <f>J277*H277</f>
        <v/>
      </c>
      <c r="M277" s="11">
        <f>K277-L277</f>
        <v/>
      </c>
      <c r="N277" s="12">
        <f>K277*I277</f>
        <v/>
      </c>
      <c r="O277" s="13">
        <f>IFERROR(N277/E277,0)</f>
        <v/>
      </c>
    </row>
    <row r="278">
      <c r="A278" s="4" t="n"/>
      <c r="B278" s="5" t="n"/>
      <c r="C278" s="5" t="n"/>
      <c r="D278" s="6" t="n"/>
      <c r="E278" s="7" t="n"/>
      <c r="F278" s="7" t="n"/>
      <c r="G278" s="7" t="n"/>
      <c r="H278" s="8" t="n"/>
      <c r="I278" s="7" t="n"/>
      <c r="J278" s="9">
        <f>IFERROR(E278/G278,0)</f>
        <v/>
      </c>
      <c r="K278" s="10">
        <f>IFERROR(E278/F278,0)</f>
        <v/>
      </c>
      <c r="L278" s="10">
        <f>J278*H278</f>
        <v/>
      </c>
      <c r="M278" s="11">
        <f>K278-L278</f>
        <v/>
      </c>
      <c r="N278" s="12">
        <f>K278*I278</f>
        <v/>
      </c>
      <c r="O278" s="13">
        <f>IFERROR(N278/E278,0)</f>
        <v/>
      </c>
    </row>
    <row r="279">
      <c r="A279" s="4" t="n"/>
      <c r="B279" s="5" t="n"/>
      <c r="C279" s="5" t="n"/>
      <c r="D279" s="6" t="n"/>
      <c r="E279" s="7" t="n"/>
      <c r="F279" s="7" t="n"/>
      <c r="G279" s="7" t="n"/>
      <c r="H279" s="8" t="n"/>
      <c r="I279" s="7" t="n"/>
      <c r="J279" s="9">
        <f>IFERROR(E279/G279,0)</f>
        <v/>
      </c>
      <c r="K279" s="10">
        <f>IFERROR(E279/F279,0)</f>
        <v/>
      </c>
      <c r="L279" s="10">
        <f>J279*H279</f>
        <v/>
      </c>
      <c r="M279" s="11">
        <f>K279-L279</f>
        <v/>
      </c>
      <c r="N279" s="12">
        <f>K279*I279</f>
        <v/>
      </c>
      <c r="O279" s="13">
        <f>IFERROR(N279/E279,0)</f>
        <v/>
      </c>
    </row>
    <row r="280">
      <c r="A280" s="4" t="n"/>
      <c r="B280" s="5" t="n"/>
      <c r="C280" s="5" t="n"/>
      <c r="D280" s="6" t="n"/>
      <c r="E280" s="7" t="n"/>
      <c r="F280" s="7" t="n"/>
      <c r="G280" s="7" t="n"/>
      <c r="H280" s="8" t="n"/>
      <c r="I280" s="7" t="n"/>
      <c r="J280" s="9">
        <f>IFERROR(E280/G280,0)</f>
        <v/>
      </c>
      <c r="K280" s="10">
        <f>IFERROR(E280/F280,0)</f>
        <v/>
      </c>
      <c r="L280" s="10">
        <f>J280*H280</f>
        <v/>
      </c>
      <c r="M280" s="11">
        <f>K280-L280</f>
        <v/>
      </c>
      <c r="N280" s="12">
        <f>K280*I280</f>
        <v/>
      </c>
      <c r="O280" s="13">
        <f>IFERROR(N280/E280,0)</f>
        <v/>
      </c>
    </row>
    <row r="281">
      <c r="A281" s="4" t="n"/>
      <c r="B281" s="5" t="n"/>
      <c r="C281" s="5" t="n"/>
      <c r="D281" s="6" t="n"/>
      <c r="E281" s="7" t="n"/>
      <c r="F281" s="7" t="n"/>
      <c r="G281" s="7" t="n"/>
      <c r="H281" s="8" t="n"/>
      <c r="I281" s="7" t="n"/>
      <c r="J281" s="9">
        <f>IFERROR(E281/G281,0)</f>
        <v/>
      </c>
      <c r="K281" s="10">
        <f>IFERROR(E281/F281,0)</f>
        <v/>
      </c>
      <c r="L281" s="10">
        <f>J281*H281</f>
        <v/>
      </c>
      <c r="M281" s="11">
        <f>K281-L281</f>
        <v/>
      </c>
      <c r="N281" s="12">
        <f>K281*I281</f>
        <v/>
      </c>
      <c r="O281" s="13">
        <f>IFERROR(N281/E281,0)</f>
        <v/>
      </c>
    </row>
    <row r="282">
      <c r="A282" s="4" t="n"/>
      <c r="B282" s="5" t="n"/>
      <c r="C282" s="5" t="n"/>
      <c r="D282" s="6" t="n"/>
      <c r="E282" s="7" t="n"/>
      <c r="F282" s="7" t="n"/>
      <c r="G282" s="7" t="n"/>
      <c r="H282" s="8" t="n"/>
      <c r="I282" s="7" t="n"/>
      <c r="J282" s="9">
        <f>IFERROR(E282/G282,0)</f>
        <v/>
      </c>
      <c r="K282" s="10">
        <f>IFERROR(E282/F282,0)</f>
        <v/>
      </c>
      <c r="L282" s="10">
        <f>J282*H282</f>
        <v/>
      </c>
      <c r="M282" s="11">
        <f>K282-L282</f>
        <v/>
      </c>
      <c r="N282" s="12">
        <f>K282*I282</f>
        <v/>
      </c>
      <c r="O282" s="13">
        <f>IFERROR(N282/E282,0)</f>
        <v/>
      </c>
    </row>
    <row r="283">
      <c r="A283" s="4" t="n"/>
      <c r="B283" s="5" t="n"/>
      <c r="C283" s="5" t="n"/>
      <c r="D283" s="6" t="n"/>
      <c r="E283" s="7" t="n"/>
      <c r="F283" s="7" t="n"/>
      <c r="G283" s="7" t="n"/>
      <c r="H283" s="8" t="n"/>
      <c r="I283" s="7" t="n"/>
      <c r="J283" s="9">
        <f>IFERROR(E283/G283,0)</f>
        <v/>
      </c>
      <c r="K283" s="10">
        <f>IFERROR(E283/F283,0)</f>
        <v/>
      </c>
      <c r="L283" s="10">
        <f>J283*H283</f>
        <v/>
      </c>
      <c r="M283" s="11">
        <f>K283-L283</f>
        <v/>
      </c>
      <c r="N283" s="12">
        <f>K283*I283</f>
        <v/>
      </c>
      <c r="O283" s="13">
        <f>IFERROR(N283/E283,0)</f>
        <v/>
      </c>
    </row>
    <row r="284">
      <c r="A284" s="4" t="n"/>
      <c r="B284" s="5" t="n"/>
      <c r="C284" s="5" t="n"/>
      <c r="D284" s="6" t="n"/>
      <c r="E284" s="7" t="n"/>
      <c r="F284" s="7" t="n"/>
      <c r="G284" s="7" t="n"/>
      <c r="H284" s="8" t="n"/>
      <c r="I284" s="7" t="n"/>
      <c r="J284" s="9">
        <f>IFERROR(E284/G284,0)</f>
        <v/>
      </c>
      <c r="K284" s="10">
        <f>IFERROR(E284/F284,0)</f>
        <v/>
      </c>
      <c r="L284" s="10">
        <f>J284*H284</f>
        <v/>
      </c>
      <c r="M284" s="11">
        <f>K284-L284</f>
        <v/>
      </c>
      <c r="N284" s="12">
        <f>K284*I284</f>
        <v/>
      </c>
      <c r="O284" s="13">
        <f>IFERROR(N284/E284,0)</f>
        <v/>
      </c>
    </row>
    <row r="285">
      <c r="A285" s="4" t="n"/>
      <c r="B285" s="5" t="n"/>
      <c r="C285" s="5" t="n"/>
      <c r="D285" s="6" t="n"/>
      <c r="E285" s="7" t="n"/>
      <c r="F285" s="7" t="n"/>
      <c r="G285" s="7" t="n"/>
      <c r="H285" s="8" t="n"/>
      <c r="I285" s="7" t="n"/>
      <c r="J285" s="9">
        <f>IFERROR(E285/G285,0)</f>
        <v/>
      </c>
      <c r="K285" s="10">
        <f>IFERROR(E285/F285,0)</f>
        <v/>
      </c>
      <c r="L285" s="10">
        <f>J285*H285</f>
        <v/>
      </c>
      <c r="M285" s="11">
        <f>K285-L285</f>
        <v/>
      </c>
      <c r="N285" s="12">
        <f>K285*I285</f>
        <v/>
      </c>
      <c r="O285" s="13">
        <f>IFERROR(N285/E285,0)</f>
        <v/>
      </c>
    </row>
    <row r="286">
      <c r="A286" s="4" t="n"/>
      <c r="B286" s="5" t="n"/>
      <c r="C286" s="5" t="n"/>
      <c r="D286" s="6" t="n"/>
      <c r="E286" s="7" t="n"/>
      <c r="F286" s="7" t="n"/>
      <c r="G286" s="7" t="n"/>
      <c r="H286" s="8" t="n"/>
      <c r="I286" s="7" t="n"/>
      <c r="J286" s="9">
        <f>IFERROR(E286/G286,0)</f>
        <v/>
      </c>
      <c r="K286" s="10">
        <f>IFERROR(E286/F286,0)</f>
        <v/>
      </c>
      <c r="L286" s="10">
        <f>J286*H286</f>
        <v/>
      </c>
      <c r="M286" s="11">
        <f>K286-L286</f>
        <v/>
      </c>
      <c r="N286" s="12">
        <f>K286*I286</f>
        <v/>
      </c>
      <c r="O286" s="13">
        <f>IFERROR(N286/E286,0)</f>
        <v/>
      </c>
    </row>
    <row r="287">
      <c r="A287" s="4" t="n"/>
      <c r="B287" s="5" t="n"/>
      <c r="C287" s="5" t="n"/>
      <c r="D287" s="6" t="n"/>
      <c r="E287" s="7" t="n"/>
      <c r="F287" s="7" t="n"/>
      <c r="G287" s="7" t="n"/>
      <c r="H287" s="8" t="n"/>
      <c r="I287" s="7" t="n"/>
      <c r="J287" s="9">
        <f>IFERROR(E287/G287,0)</f>
        <v/>
      </c>
      <c r="K287" s="10">
        <f>IFERROR(E287/F287,0)</f>
        <v/>
      </c>
      <c r="L287" s="10">
        <f>J287*H287</f>
        <v/>
      </c>
      <c r="M287" s="11">
        <f>K287-L287</f>
        <v/>
      </c>
      <c r="N287" s="12">
        <f>K287*I287</f>
        <v/>
      </c>
      <c r="O287" s="13">
        <f>IFERROR(N287/E287,0)</f>
        <v/>
      </c>
    </row>
    <row r="288">
      <c r="A288" s="4" t="n"/>
      <c r="B288" s="5" t="n"/>
      <c r="C288" s="5" t="n"/>
      <c r="D288" s="6" t="n"/>
      <c r="E288" s="7" t="n"/>
      <c r="F288" s="7" t="n"/>
      <c r="G288" s="7" t="n"/>
      <c r="H288" s="8" t="n"/>
      <c r="I288" s="7" t="n"/>
      <c r="J288" s="9">
        <f>IFERROR(E288/G288,0)</f>
        <v/>
      </c>
      <c r="K288" s="10">
        <f>IFERROR(E288/F288,0)</f>
        <v/>
      </c>
      <c r="L288" s="10">
        <f>J288*H288</f>
        <v/>
      </c>
      <c r="M288" s="11">
        <f>K288-L288</f>
        <v/>
      </c>
      <c r="N288" s="12">
        <f>K288*I288</f>
        <v/>
      </c>
      <c r="O288" s="13">
        <f>IFERROR(N288/E288,0)</f>
        <v/>
      </c>
    </row>
    <row r="289">
      <c r="A289" s="4" t="n"/>
      <c r="B289" s="5" t="n"/>
      <c r="C289" s="5" t="n"/>
      <c r="D289" s="6" t="n"/>
      <c r="E289" s="7" t="n"/>
      <c r="F289" s="7" t="n"/>
      <c r="G289" s="7" t="n"/>
      <c r="H289" s="8" t="n"/>
      <c r="I289" s="7" t="n"/>
      <c r="J289" s="9">
        <f>IFERROR(E289/G289,0)</f>
        <v/>
      </c>
      <c r="K289" s="10">
        <f>IFERROR(E289/F289,0)</f>
        <v/>
      </c>
      <c r="L289" s="10">
        <f>J289*H289</f>
        <v/>
      </c>
      <c r="M289" s="11">
        <f>K289-L289</f>
        <v/>
      </c>
      <c r="N289" s="12">
        <f>K289*I289</f>
        <v/>
      </c>
      <c r="O289" s="13">
        <f>IFERROR(N289/E289,0)</f>
        <v/>
      </c>
    </row>
    <row r="290">
      <c r="A290" s="4" t="n"/>
      <c r="B290" s="5" t="n"/>
      <c r="C290" s="5" t="n"/>
      <c r="D290" s="6" t="n"/>
      <c r="E290" s="7" t="n"/>
      <c r="F290" s="7" t="n"/>
      <c r="G290" s="7" t="n"/>
      <c r="H290" s="8" t="n"/>
      <c r="I290" s="7" t="n"/>
      <c r="J290" s="9">
        <f>IFERROR(E290/G290,0)</f>
        <v/>
      </c>
      <c r="K290" s="10">
        <f>IFERROR(E290/F290,0)</f>
        <v/>
      </c>
      <c r="L290" s="10">
        <f>J290*H290</f>
        <v/>
      </c>
      <c r="M290" s="11">
        <f>K290-L290</f>
        <v/>
      </c>
      <c r="N290" s="12">
        <f>K290*I290</f>
        <v/>
      </c>
      <c r="O290" s="13">
        <f>IFERROR(N290/E290,0)</f>
        <v/>
      </c>
    </row>
    <row r="291">
      <c r="A291" s="4" t="n"/>
      <c r="B291" s="5" t="n"/>
      <c r="C291" s="5" t="n"/>
      <c r="D291" s="6" t="n"/>
      <c r="E291" s="7" t="n"/>
      <c r="F291" s="7" t="n"/>
      <c r="G291" s="7" t="n"/>
      <c r="H291" s="8" t="n"/>
      <c r="I291" s="7" t="n"/>
      <c r="J291" s="9">
        <f>IFERROR(E291/G291,0)</f>
        <v/>
      </c>
      <c r="K291" s="10">
        <f>IFERROR(E291/F291,0)</f>
        <v/>
      </c>
      <c r="L291" s="10">
        <f>J291*H291</f>
        <v/>
      </c>
      <c r="M291" s="11">
        <f>K291-L291</f>
        <v/>
      </c>
      <c r="N291" s="12">
        <f>K291*I291</f>
        <v/>
      </c>
      <c r="O291" s="13">
        <f>IFERROR(N291/E291,0)</f>
        <v/>
      </c>
    </row>
    <row r="292">
      <c r="A292" s="4" t="n"/>
      <c r="B292" s="5" t="n"/>
      <c r="C292" s="5" t="n"/>
      <c r="D292" s="6" t="n"/>
      <c r="E292" s="7" t="n"/>
      <c r="F292" s="7" t="n"/>
      <c r="G292" s="7" t="n"/>
      <c r="H292" s="8" t="n"/>
      <c r="I292" s="7" t="n"/>
      <c r="J292" s="9">
        <f>IFERROR(E292/G292,0)</f>
        <v/>
      </c>
      <c r="K292" s="10">
        <f>IFERROR(E292/F292,0)</f>
        <v/>
      </c>
      <c r="L292" s="10">
        <f>J292*H292</f>
        <v/>
      </c>
      <c r="M292" s="11">
        <f>K292-L292</f>
        <v/>
      </c>
      <c r="N292" s="12">
        <f>K292*I292</f>
        <v/>
      </c>
      <c r="O292" s="13">
        <f>IFERROR(N292/E292,0)</f>
        <v/>
      </c>
    </row>
    <row r="293">
      <c r="A293" s="4" t="n"/>
      <c r="B293" s="5" t="n"/>
      <c r="C293" s="5" t="n"/>
      <c r="D293" s="6" t="n"/>
      <c r="E293" s="7" t="n"/>
      <c r="F293" s="7" t="n"/>
      <c r="G293" s="7" t="n"/>
      <c r="H293" s="8" t="n"/>
      <c r="I293" s="7" t="n"/>
      <c r="J293" s="9">
        <f>IFERROR(E293/G293,0)</f>
        <v/>
      </c>
      <c r="K293" s="10">
        <f>IFERROR(E293/F293,0)</f>
        <v/>
      </c>
      <c r="L293" s="10">
        <f>J293*H293</f>
        <v/>
      </c>
      <c r="M293" s="11">
        <f>K293-L293</f>
        <v/>
      </c>
      <c r="N293" s="12">
        <f>K293*I293</f>
        <v/>
      </c>
      <c r="O293" s="13">
        <f>IFERROR(N293/E293,0)</f>
        <v/>
      </c>
    </row>
    <row r="294">
      <c r="A294" s="4" t="n"/>
      <c r="B294" s="5" t="n"/>
      <c r="C294" s="5" t="n"/>
      <c r="D294" s="6" t="n"/>
      <c r="E294" s="7" t="n"/>
      <c r="F294" s="7" t="n"/>
      <c r="G294" s="7" t="n"/>
      <c r="H294" s="8" t="n"/>
      <c r="I294" s="7" t="n"/>
      <c r="J294" s="9">
        <f>IFERROR(E294/G294,0)</f>
        <v/>
      </c>
      <c r="K294" s="10">
        <f>IFERROR(E294/F294,0)</f>
        <v/>
      </c>
      <c r="L294" s="10">
        <f>J294*H294</f>
        <v/>
      </c>
      <c r="M294" s="11">
        <f>K294-L294</f>
        <v/>
      </c>
      <c r="N294" s="12">
        <f>K294*I294</f>
        <v/>
      </c>
      <c r="O294" s="13">
        <f>IFERROR(N294/E294,0)</f>
        <v/>
      </c>
    </row>
    <row r="295">
      <c r="A295" s="4" t="n"/>
      <c r="B295" s="5" t="n"/>
      <c r="C295" s="5" t="n"/>
      <c r="D295" s="6" t="n"/>
      <c r="E295" s="7" t="n"/>
      <c r="F295" s="7" t="n"/>
      <c r="G295" s="7" t="n"/>
      <c r="H295" s="8" t="n"/>
      <c r="I295" s="7" t="n"/>
      <c r="J295" s="9">
        <f>IFERROR(E295/G295,0)</f>
        <v/>
      </c>
      <c r="K295" s="10">
        <f>IFERROR(E295/F295,0)</f>
        <v/>
      </c>
      <c r="L295" s="10">
        <f>J295*H295</f>
        <v/>
      </c>
      <c r="M295" s="11">
        <f>K295-L295</f>
        <v/>
      </c>
      <c r="N295" s="12">
        <f>K295*I295</f>
        <v/>
      </c>
      <c r="O295" s="13">
        <f>IFERROR(N295/E295,0)</f>
        <v/>
      </c>
    </row>
    <row r="296">
      <c r="A296" s="4" t="n"/>
      <c r="B296" s="5" t="n"/>
      <c r="C296" s="5" t="n"/>
      <c r="D296" s="6" t="n"/>
      <c r="E296" s="7" t="n"/>
      <c r="F296" s="7" t="n"/>
      <c r="G296" s="7" t="n"/>
      <c r="H296" s="8" t="n"/>
      <c r="I296" s="7" t="n"/>
      <c r="J296" s="9">
        <f>IFERROR(E296/G296,0)</f>
        <v/>
      </c>
      <c r="K296" s="10">
        <f>IFERROR(E296/F296,0)</f>
        <v/>
      </c>
      <c r="L296" s="10">
        <f>J296*H296</f>
        <v/>
      </c>
      <c r="M296" s="11">
        <f>K296-L296</f>
        <v/>
      </c>
      <c r="N296" s="12">
        <f>K296*I296</f>
        <v/>
      </c>
      <c r="O296" s="13">
        <f>IFERROR(N296/E296,0)</f>
        <v/>
      </c>
    </row>
    <row r="297">
      <c r="A297" s="4" t="n"/>
      <c r="B297" s="5" t="n"/>
      <c r="C297" s="5" t="n"/>
      <c r="D297" s="6" t="n"/>
      <c r="E297" s="7" t="n"/>
      <c r="F297" s="7" t="n"/>
      <c r="G297" s="7" t="n"/>
      <c r="H297" s="8" t="n"/>
      <c r="I297" s="7" t="n"/>
      <c r="J297" s="9">
        <f>IFERROR(E297/G297,0)</f>
        <v/>
      </c>
      <c r="K297" s="10">
        <f>IFERROR(E297/F297,0)</f>
        <v/>
      </c>
      <c r="L297" s="10">
        <f>J297*H297</f>
        <v/>
      </c>
      <c r="M297" s="11">
        <f>K297-L297</f>
        <v/>
      </c>
      <c r="N297" s="12">
        <f>K297*I297</f>
        <v/>
      </c>
      <c r="O297" s="13">
        <f>IFERROR(N297/E297,0)</f>
        <v/>
      </c>
    </row>
    <row r="298">
      <c r="A298" s="4" t="n"/>
      <c r="B298" s="5" t="n"/>
      <c r="C298" s="5" t="n"/>
      <c r="D298" s="6" t="n"/>
      <c r="E298" s="7" t="n"/>
      <c r="F298" s="7" t="n"/>
      <c r="G298" s="7" t="n"/>
      <c r="H298" s="8" t="n"/>
      <c r="I298" s="7" t="n"/>
      <c r="J298" s="9">
        <f>IFERROR(E298/G298,0)</f>
        <v/>
      </c>
      <c r="K298" s="10">
        <f>IFERROR(E298/F298,0)</f>
        <v/>
      </c>
      <c r="L298" s="10">
        <f>J298*H298</f>
        <v/>
      </c>
      <c r="M298" s="11">
        <f>K298-L298</f>
        <v/>
      </c>
      <c r="N298" s="12">
        <f>K298*I298</f>
        <v/>
      </c>
      <c r="O298" s="13">
        <f>IFERROR(N298/E298,0)</f>
        <v/>
      </c>
    </row>
    <row r="299">
      <c r="A299" s="4" t="n"/>
      <c r="B299" s="5" t="n"/>
      <c r="C299" s="5" t="n"/>
      <c r="D299" s="6" t="n"/>
      <c r="E299" s="7" t="n"/>
      <c r="F299" s="7" t="n"/>
      <c r="G299" s="7" t="n"/>
      <c r="H299" s="8" t="n"/>
      <c r="I299" s="7" t="n"/>
      <c r="J299" s="9">
        <f>IFERROR(E299/G299,0)</f>
        <v/>
      </c>
      <c r="K299" s="10">
        <f>IFERROR(E299/F299,0)</f>
        <v/>
      </c>
      <c r="L299" s="10">
        <f>J299*H299</f>
        <v/>
      </c>
      <c r="M299" s="11">
        <f>K299-L299</f>
        <v/>
      </c>
      <c r="N299" s="12">
        <f>K299*I299</f>
        <v/>
      </c>
      <c r="O299" s="13">
        <f>IFERROR(N299/E299,0)</f>
        <v/>
      </c>
    </row>
    <row r="300">
      <c r="A300" s="4" t="n"/>
      <c r="B300" s="5" t="n"/>
      <c r="C300" s="5" t="n"/>
      <c r="D300" s="6" t="n"/>
      <c r="E300" s="7" t="n"/>
      <c r="F300" s="7" t="n"/>
      <c r="G300" s="7" t="n"/>
      <c r="H300" s="8" t="n"/>
      <c r="I300" s="7" t="n"/>
      <c r="J300" s="9">
        <f>IFERROR(E300/G300,0)</f>
        <v/>
      </c>
      <c r="K300" s="10">
        <f>IFERROR(E300/F300,0)</f>
        <v/>
      </c>
      <c r="L300" s="10">
        <f>J300*H300</f>
        <v/>
      </c>
      <c r="M300" s="11">
        <f>K300-L300</f>
        <v/>
      </c>
      <c r="N300" s="12">
        <f>K300*I300</f>
        <v/>
      </c>
      <c r="O300" s="13">
        <f>IFERROR(N300/E300,0)</f>
        <v/>
      </c>
    </row>
    <row r="301">
      <c r="A301" s="4" t="n"/>
      <c r="B301" s="5" t="n"/>
      <c r="C301" s="5" t="n"/>
      <c r="D301" s="6" t="n"/>
      <c r="E301" s="7" t="n"/>
      <c r="F301" s="7" t="n"/>
      <c r="G301" s="7" t="n"/>
      <c r="H301" s="8" t="n"/>
      <c r="I301" s="7" t="n"/>
      <c r="J301" s="9">
        <f>IFERROR(E301/G301,0)</f>
        <v/>
      </c>
      <c r="K301" s="10">
        <f>IFERROR(E301/F301,0)</f>
        <v/>
      </c>
      <c r="L301" s="10">
        <f>J301*H301</f>
        <v/>
      </c>
      <c r="M301" s="11">
        <f>K301-L301</f>
        <v/>
      </c>
      <c r="N301" s="12">
        <f>K301*I301</f>
        <v/>
      </c>
      <c r="O301" s="13">
        <f>IFERROR(N301/E301,0)</f>
        <v/>
      </c>
    </row>
    <row r="302">
      <c r="A302" s="4" t="n"/>
      <c r="B302" s="5" t="n"/>
      <c r="C302" s="5" t="n"/>
      <c r="D302" s="6" t="n"/>
      <c r="E302" s="7" t="n"/>
      <c r="F302" s="7" t="n"/>
      <c r="G302" s="7" t="n"/>
      <c r="H302" s="8" t="n"/>
      <c r="I302" s="7" t="n"/>
      <c r="J302" s="9">
        <f>IFERROR(E302/G302,0)</f>
        <v/>
      </c>
      <c r="K302" s="10">
        <f>IFERROR(E302/F302,0)</f>
        <v/>
      </c>
      <c r="L302" s="10">
        <f>J302*H302</f>
        <v/>
      </c>
      <c r="M302" s="11">
        <f>K302-L302</f>
        <v/>
      </c>
      <c r="N302" s="12">
        <f>K302*I302</f>
        <v/>
      </c>
      <c r="O302" s="13">
        <f>IFERROR(N302/E302,0)</f>
        <v/>
      </c>
    </row>
    <row r="303">
      <c r="A303" s="4" t="n"/>
      <c r="B303" s="5" t="n"/>
      <c r="C303" s="5" t="n"/>
      <c r="D303" s="6" t="n"/>
      <c r="E303" s="7" t="n"/>
      <c r="F303" s="7" t="n"/>
      <c r="G303" s="7" t="n"/>
      <c r="H303" s="8" t="n"/>
      <c r="I303" s="7" t="n"/>
      <c r="J303" s="9">
        <f>IFERROR(E303/G303,0)</f>
        <v/>
      </c>
      <c r="K303" s="10">
        <f>IFERROR(E303/F303,0)</f>
        <v/>
      </c>
      <c r="L303" s="10">
        <f>J303*H303</f>
        <v/>
      </c>
      <c r="M303" s="11">
        <f>K303-L303</f>
        <v/>
      </c>
      <c r="N303" s="12">
        <f>K303*I303</f>
        <v/>
      </c>
      <c r="O303" s="13">
        <f>IFERROR(N303/E303,0)</f>
        <v/>
      </c>
    </row>
    <row r="304">
      <c r="A304" s="4" t="n"/>
      <c r="B304" s="5" t="n"/>
      <c r="C304" s="5" t="n"/>
      <c r="D304" s="6" t="n"/>
      <c r="E304" s="7" t="n"/>
      <c r="F304" s="7" t="n"/>
      <c r="G304" s="7" t="n"/>
      <c r="H304" s="8" t="n"/>
      <c r="I304" s="7" t="n"/>
      <c r="J304" s="9">
        <f>IFERROR(E304/G304,0)</f>
        <v/>
      </c>
      <c r="K304" s="10">
        <f>IFERROR(E304/F304,0)</f>
        <v/>
      </c>
      <c r="L304" s="10">
        <f>J304*H304</f>
        <v/>
      </c>
      <c r="M304" s="11">
        <f>K304-L304</f>
        <v/>
      </c>
      <c r="N304" s="12">
        <f>K304*I304</f>
        <v/>
      </c>
      <c r="O304" s="13">
        <f>IFERROR(N304/E304,0)</f>
        <v/>
      </c>
    </row>
    <row r="305">
      <c r="A305" s="4" t="n"/>
      <c r="B305" s="5" t="n"/>
      <c r="C305" s="5" t="n"/>
      <c r="D305" s="6" t="n"/>
      <c r="E305" s="7" t="n"/>
      <c r="F305" s="7" t="n"/>
      <c r="G305" s="7" t="n"/>
      <c r="H305" s="8" t="n"/>
      <c r="I305" s="7" t="n"/>
      <c r="J305" s="9">
        <f>IFERROR(E305/G305,0)</f>
        <v/>
      </c>
      <c r="K305" s="10">
        <f>IFERROR(E305/F305,0)</f>
        <v/>
      </c>
      <c r="L305" s="10">
        <f>J305*H305</f>
        <v/>
      </c>
      <c r="M305" s="11">
        <f>K305-L305</f>
        <v/>
      </c>
      <c r="N305" s="12">
        <f>K305*I305</f>
        <v/>
      </c>
      <c r="O305" s="13">
        <f>IFERROR(N305/E305,0)</f>
        <v/>
      </c>
    </row>
    <row r="306">
      <c r="A306" s="4" t="n"/>
      <c r="B306" s="5" t="n"/>
      <c r="C306" s="5" t="n"/>
      <c r="D306" s="6" t="n"/>
      <c r="E306" s="7" t="n"/>
      <c r="F306" s="7" t="n"/>
      <c r="G306" s="7" t="n"/>
      <c r="H306" s="8" t="n"/>
      <c r="I306" s="7" t="n"/>
      <c r="J306" s="9">
        <f>IFERROR(E306/G306,0)</f>
        <v/>
      </c>
      <c r="K306" s="10">
        <f>IFERROR(E306/F306,0)</f>
        <v/>
      </c>
      <c r="L306" s="10">
        <f>J306*H306</f>
        <v/>
      </c>
      <c r="M306" s="11">
        <f>K306-L306</f>
        <v/>
      </c>
      <c r="N306" s="12">
        <f>K306*I306</f>
        <v/>
      </c>
      <c r="O306" s="13">
        <f>IFERROR(N306/E306,0)</f>
        <v/>
      </c>
    </row>
    <row r="307">
      <c r="A307" s="4" t="n"/>
      <c r="B307" s="5" t="n"/>
      <c r="C307" s="5" t="n"/>
      <c r="D307" s="6" t="n"/>
      <c r="E307" s="7" t="n"/>
      <c r="F307" s="7" t="n"/>
      <c r="G307" s="7" t="n"/>
      <c r="H307" s="8" t="n"/>
      <c r="I307" s="7" t="n"/>
      <c r="J307" s="9">
        <f>IFERROR(E307/G307,0)</f>
        <v/>
      </c>
      <c r="K307" s="10">
        <f>IFERROR(E307/F307,0)</f>
        <v/>
      </c>
      <c r="L307" s="10">
        <f>J307*H307</f>
        <v/>
      </c>
      <c r="M307" s="11">
        <f>K307-L307</f>
        <v/>
      </c>
      <c r="N307" s="12">
        <f>K307*I307</f>
        <v/>
      </c>
      <c r="O307" s="13">
        <f>IFERROR(N307/E307,0)</f>
        <v/>
      </c>
    </row>
    <row r="308">
      <c r="A308" s="4" t="n"/>
      <c r="B308" s="5" t="n"/>
      <c r="C308" s="5" t="n"/>
      <c r="D308" s="6" t="n"/>
      <c r="E308" s="7" t="n"/>
      <c r="F308" s="7" t="n"/>
      <c r="G308" s="7" t="n"/>
      <c r="H308" s="8" t="n"/>
      <c r="I308" s="7" t="n"/>
      <c r="J308" s="9">
        <f>IFERROR(E308/G308,0)</f>
        <v/>
      </c>
      <c r="K308" s="10">
        <f>IFERROR(E308/F308,0)</f>
        <v/>
      </c>
      <c r="L308" s="10">
        <f>J308*H308</f>
        <v/>
      </c>
      <c r="M308" s="11">
        <f>K308-L308</f>
        <v/>
      </c>
      <c r="N308" s="12">
        <f>K308*I308</f>
        <v/>
      </c>
      <c r="O308" s="13">
        <f>IFERROR(N308/E308,0)</f>
        <v/>
      </c>
    </row>
    <row r="309">
      <c r="A309" s="4" t="n"/>
      <c r="B309" s="5" t="n"/>
      <c r="C309" s="5" t="n"/>
      <c r="D309" s="6" t="n"/>
      <c r="E309" s="7" t="n"/>
      <c r="F309" s="7" t="n"/>
      <c r="G309" s="7" t="n"/>
      <c r="H309" s="8" t="n"/>
      <c r="I309" s="7" t="n"/>
      <c r="J309" s="9">
        <f>IFERROR(E309/G309,0)</f>
        <v/>
      </c>
      <c r="K309" s="10">
        <f>IFERROR(E309/F309,0)</f>
        <v/>
      </c>
      <c r="L309" s="10">
        <f>J309*H309</f>
        <v/>
      </c>
      <c r="M309" s="11">
        <f>K309-L309</f>
        <v/>
      </c>
      <c r="N309" s="12">
        <f>K309*I309</f>
        <v/>
      </c>
      <c r="O309" s="13">
        <f>IFERROR(N309/E309,0)</f>
        <v/>
      </c>
    </row>
    <row r="310">
      <c r="A310" s="4" t="n"/>
      <c r="B310" s="5" t="n"/>
      <c r="C310" s="5" t="n"/>
      <c r="D310" s="6" t="n"/>
      <c r="E310" s="7" t="n"/>
      <c r="F310" s="7" t="n"/>
      <c r="G310" s="7" t="n"/>
      <c r="H310" s="8" t="n"/>
      <c r="I310" s="7" t="n"/>
      <c r="J310" s="9">
        <f>IFERROR(E310/G310,0)</f>
        <v/>
      </c>
      <c r="K310" s="10">
        <f>IFERROR(E310/F310,0)</f>
        <v/>
      </c>
      <c r="L310" s="10">
        <f>J310*H310</f>
        <v/>
      </c>
      <c r="M310" s="11">
        <f>K310-L310</f>
        <v/>
      </c>
      <c r="N310" s="12">
        <f>K310*I310</f>
        <v/>
      </c>
      <c r="O310" s="13">
        <f>IFERROR(N310/E310,0)</f>
        <v/>
      </c>
    </row>
    <row r="311">
      <c r="A311" s="4" t="n"/>
      <c r="B311" s="5" t="n"/>
      <c r="C311" s="5" t="n"/>
      <c r="D311" s="6" t="n"/>
      <c r="E311" s="7" t="n"/>
      <c r="F311" s="7" t="n"/>
      <c r="G311" s="7" t="n"/>
      <c r="H311" s="8" t="n"/>
      <c r="I311" s="7" t="n"/>
      <c r="J311" s="9">
        <f>IFERROR(E311/G311,0)</f>
        <v/>
      </c>
      <c r="K311" s="10">
        <f>IFERROR(E311/F311,0)</f>
        <v/>
      </c>
      <c r="L311" s="10">
        <f>J311*H311</f>
        <v/>
      </c>
      <c r="M311" s="11">
        <f>K311-L311</f>
        <v/>
      </c>
      <c r="N311" s="12">
        <f>K311*I311</f>
        <v/>
      </c>
      <c r="O311" s="13">
        <f>IFERROR(N311/E311,0)</f>
        <v/>
      </c>
    </row>
    <row r="312">
      <c r="A312" s="4" t="n"/>
      <c r="B312" s="5" t="n"/>
      <c r="C312" s="5" t="n"/>
      <c r="D312" s="6" t="n"/>
      <c r="E312" s="7" t="n"/>
      <c r="F312" s="7" t="n"/>
      <c r="G312" s="7" t="n"/>
      <c r="H312" s="8" t="n"/>
      <c r="I312" s="7" t="n"/>
      <c r="J312" s="9">
        <f>IFERROR(E312/G312,0)</f>
        <v/>
      </c>
      <c r="K312" s="10">
        <f>IFERROR(E312/F312,0)</f>
        <v/>
      </c>
      <c r="L312" s="10">
        <f>J312*H312</f>
        <v/>
      </c>
      <c r="M312" s="11">
        <f>K312-L312</f>
        <v/>
      </c>
      <c r="N312" s="12">
        <f>K312*I312</f>
        <v/>
      </c>
      <c r="O312" s="13">
        <f>IFERROR(N312/E312,0)</f>
        <v/>
      </c>
    </row>
    <row r="313">
      <c r="A313" s="4" t="n"/>
      <c r="B313" s="5" t="n"/>
      <c r="C313" s="5" t="n"/>
      <c r="D313" s="6" t="n"/>
      <c r="E313" s="7" t="n"/>
      <c r="F313" s="7" t="n"/>
      <c r="G313" s="7" t="n"/>
      <c r="H313" s="8" t="n"/>
      <c r="I313" s="7" t="n"/>
      <c r="J313" s="9">
        <f>IFERROR(E313/G313,0)</f>
        <v/>
      </c>
      <c r="K313" s="10">
        <f>IFERROR(E313/F313,0)</f>
        <v/>
      </c>
      <c r="L313" s="10">
        <f>J313*H313</f>
        <v/>
      </c>
      <c r="M313" s="11">
        <f>K313-L313</f>
        <v/>
      </c>
      <c r="N313" s="12">
        <f>K313*I313</f>
        <v/>
      </c>
      <c r="O313" s="13">
        <f>IFERROR(N313/E313,0)</f>
        <v/>
      </c>
    </row>
    <row r="314">
      <c r="A314" s="4" t="n"/>
      <c r="B314" s="5" t="n"/>
      <c r="C314" s="5" t="n"/>
      <c r="D314" s="6" t="n"/>
      <c r="E314" s="7" t="n"/>
      <c r="F314" s="7" t="n"/>
      <c r="G314" s="7" t="n"/>
      <c r="H314" s="8" t="n"/>
      <c r="I314" s="7" t="n"/>
      <c r="J314" s="9">
        <f>IFERROR(E314/G314,0)</f>
        <v/>
      </c>
      <c r="K314" s="10">
        <f>IFERROR(E314/F314,0)</f>
        <v/>
      </c>
      <c r="L314" s="10">
        <f>J314*H314</f>
        <v/>
      </c>
      <c r="M314" s="11">
        <f>K314-L314</f>
        <v/>
      </c>
      <c r="N314" s="12">
        <f>K314*I314</f>
        <v/>
      </c>
      <c r="O314" s="13">
        <f>IFERROR(N314/E314,0)</f>
        <v/>
      </c>
    </row>
    <row r="315">
      <c r="A315" s="4" t="n"/>
      <c r="B315" s="5" t="n"/>
      <c r="C315" s="5" t="n"/>
      <c r="D315" s="6" t="n"/>
      <c r="E315" s="7" t="n"/>
      <c r="F315" s="7" t="n"/>
      <c r="G315" s="7" t="n"/>
      <c r="H315" s="8" t="n"/>
      <c r="I315" s="7" t="n"/>
      <c r="J315" s="9">
        <f>IFERROR(E315/G315,0)</f>
        <v/>
      </c>
      <c r="K315" s="10">
        <f>IFERROR(E315/F315,0)</f>
        <v/>
      </c>
      <c r="L315" s="10">
        <f>J315*H315</f>
        <v/>
      </c>
      <c r="M315" s="11">
        <f>K315-L315</f>
        <v/>
      </c>
      <c r="N315" s="12">
        <f>K315*I315</f>
        <v/>
      </c>
      <c r="O315" s="13">
        <f>IFERROR(N315/E315,0)</f>
        <v/>
      </c>
    </row>
    <row r="316">
      <c r="A316" s="4" t="n"/>
      <c r="B316" s="5" t="n"/>
      <c r="C316" s="5" t="n"/>
      <c r="D316" s="6" t="n"/>
      <c r="E316" s="7" t="n"/>
      <c r="F316" s="7" t="n"/>
      <c r="G316" s="7" t="n"/>
      <c r="H316" s="8" t="n"/>
      <c r="I316" s="7" t="n"/>
      <c r="J316" s="9">
        <f>IFERROR(E316/G316,0)</f>
        <v/>
      </c>
      <c r="K316" s="10">
        <f>IFERROR(E316/F316,0)</f>
        <v/>
      </c>
      <c r="L316" s="10">
        <f>J316*H316</f>
        <v/>
      </c>
      <c r="M316" s="11">
        <f>K316-L316</f>
        <v/>
      </c>
      <c r="N316" s="12">
        <f>K316*I316</f>
        <v/>
      </c>
      <c r="O316" s="13">
        <f>IFERROR(N316/E316,0)</f>
        <v/>
      </c>
    </row>
    <row r="317">
      <c r="A317" s="4" t="n"/>
      <c r="B317" s="5" t="n"/>
      <c r="C317" s="5" t="n"/>
      <c r="D317" s="6" t="n"/>
      <c r="E317" s="7" t="n"/>
      <c r="F317" s="7" t="n"/>
      <c r="G317" s="7" t="n"/>
      <c r="H317" s="8" t="n"/>
      <c r="I317" s="7" t="n"/>
      <c r="J317" s="9">
        <f>IFERROR(E317/G317,0)</f>
        <v/>
      </c>
      <c r="K317" s="10">
        <f>IFERROR(E317/F317,0)</f>
        <v/>
      </c>
      <c r="L317" s="10">
        <f>J317*H317</f>
        <v/>
      </c>
      <c r="M317" s="11">
        <f>K317-L317</f>
        <v/>
      </c>
      <c r="N317" s="12">
        <f>K317*I317</f>
        <v/>
      </c>
      <c r="O317" s="13">
        <f>IFERROR(N317/E317,0)</f>
        <v/>
      </c>
    </row>
    <row r="318">
      <c r="A318" s="4" t="n"/>
      <c r="B318" s="5" t="n"/>
      <c r="C318" s="5" t="n"/>
      <c r="D318" s="6" t="n"/>
      <c r="E318" s="7" t="n"/>
      <c r="F318" s="7" t="n"/>
      <c r="G318" s="7" t="n"/>
      <c r="H318" s="8" t="n"/>
      <c r="I318" s="7" t="n"/>
      <c r="J318" s="9">
        <f>IFERROR(E318/G318,0)</f>
        <v/>
      </c>
      <c r="K318" s="10">
        <f>IFERROR(E318/F318,0)</f>
        <v/>
      </c>
      <c r="L318" s="10">
        <f>J318*H318</f>
        <v/>
      </c>
      <c r="M318" s="11">
        <f>K318-L318</f>
        <v/>
      </c>
      <c r="N318" s="12">
        <f>K318*I318</f>
        <v/>
      </c>
      <c r="O318" s="13">
        <f>IFERROR(N318/E318,0)</f>
        <v/>
      </c>
    </row>
    <row r="319">
      <c r="A319" s="4" t="n"/>
      <c r="B319" s="5" t="n"/>
      <c r="C319" s="5" t="n"/>
      <c r="D319" s="6" t="n"/>
      <c r="E319" s="7" t="n"/>
      <c r="F319" s="7" t="n"/>
      <c r="G319" s="7" t="n"/>
      <c r="H319" s="8" t="n"/>
      <c r="I319" s="7" t="n"/>
      <c r="J319" s="9">
        <f>IFERROR(E319/G319,0)</f>
        <v/>
      </c>
      <c r="K319" s="10">
        <f>IFERROR(E319/F319,0)</f>
        <v/>
      </c>
      <c r="L319" s="10">
        <f>J319*H319</f>
        <v/>
      </c>
      <c r="M319" s="11">
        <f>K319-L319</f>
        <v/>
      </c>
      <c r="N319" s="12">
        <f>K319*I319</f>
        <v/>
      </c>
      <c r="O319" s="13">
        <f>IFERROR(N319/E319,0)</f>
        <v/>
      </c>
    </row>
    <row r="320">
      <c r="A320" s="4" t="n"/>
      <c r="B320" s="5" t="n"/>
      <c r="C320" s="5" t="n"/>
      <c r="D320" s="6" t="n"/>
      <c r="E320" s="7" t="n"/>
      <c r="F320" s="7" t="n"/>
      <c r="G320" s="7" t="n"/>
      <c r="H320" s="8" t="n"/>
      <c r="I320" s="7" t="n"/>
      <c r="J320" s="9">
        <f>IFERROR(E320/G320,0)</f>
        <v/>
      </c>
      <c r="K320" s="10">
        <f>IFERROR(E320/F320,0)</f>
        <v/>
      </c>
      <c r="L320" s="10">
        <f>J320*H320</f>
        <v/>
      </c>
      <c r="M320" s="11">
        <f>K320-L320</f>
        <v/>
      </c>
      <c r="N320" s="12">
        <f>K320*I320</f>
        <v/>
      </c>
      <c r="O320" s="13">
        <f>IFERROR(N320/E320,0)</f>
        <v/>
      </c>
    </row>
    <row r="321">
      <c r="A321" s="4" t="n"/>
      <c r="B321" s="5" t="n"/>
      <c r="C321" s="5" t="n"/>
      <c r="D321" s="6" t="n"/>
      <c r="E321" s="7" t="n"/>
      <c r="F321" s="7" t="n"/>
      <c r="G321" s="7" t="n"/>
      <c r="H321" s="8" t="n"/>
      <c r="I321" s="7" t="n"/>
      <c r="J321" s="9">
        <f>IFERROR(E321/G321,0)</f>
        <v/>
      </c>
      <c r="K321" s="10">
        <f>IFERROR(E321/F321,0)</f>
        <v/>
      </c>
      <c r="L321" s="10">
        <f>J321*H321</f>
        <v/>
      </c>
      <c r="M321" s="11">
        <f>K321-L321</f>
        <v/>
      </c>
      <c r="N321" s="12">
        <f>K321*I321</f>
        <v/>
      </c>
      <c r="O321" s="13">
        <f>IFERROR(N321/E321,0)</f>
        <v/>
      </c>
    </row>
    <row r="322">
      <c r="A322" s="4" t="n"/>
      <c r="B322" s="5" t="n"/>
      <c r="C322" s="5" t="n"/>
      <c r="D322" s="6" t="n"/>
      <c r="E322" s="7" t="n"/>
      <c r="F322" s="7" t="n"/>
      <c r="G322" s="7" t="n"/>
      <c r="H322" s="8" t="n"/>
      <c r="I322" s="7" t="n"/>
      <c r="J322" s="9">
        <f>IFERROR(E322/G322,0)</f>
        <v/>
      </c>
      <c r="K322" s="10">
        <f>IFERROR(E322/F322,0)</f>
        <v/>
      </c>
      <c r="L322" s="10">
        <f>J322*H322</f>
        <v/>
      </c>
      <c r="M322" s="11">
        <f>K322-L322</f>
        <v/>
      </c>
      <c r="N322" s="12">
        <f>K322*I322</f>
        <v/>
      </c>
      <c r="O322" s="13">
        <f>IFERROR(N322/E322,0)</f>
        <v/>
      </c>
    </row>
    <row r="323">
      <c r="A323" s="4" t="n"/>
      <c r="B323" s="5" t="n"/>
      <c r="C323" s="5" t="n"/>
      <c r="D323" s="6" t="n"/>
      <c r="E323" s="7" t="n"/>
      <c r="F323" s="7" t="n"/>
      <c r="G323" s="7" t="n"/>
      <c r="H323" s="8" t="n"/>
      <c r="I323" s="7" t="n"/>
      <c r="J323" s="9">
        <f>IFERROR(E323/G323,0)</f>
        <v/>
      </c>
      <c r="K323" s="10">
        <f>IFERROR(E323/F323,0)</f>
        <v/>
      </c>
      <c r="L323" s="10">
        <f>J323*H323</f>
        <v/>
      </c>
      <c r="M323" s="11">
        <f>K323-L323</f>
        <v/>
      </c>
      <c r="N323" s="12">
        <f>K323*I323</f>
        <v/>
      </c>
      <c r="O323" s="13">
        <f>IFERROR(N323/E323,0)</f>
        <v/>
      </c>
    </row>
    <row r="324">
      <c r="A324" s="4" t="n"/>
      <c r="B324" s="5" t="n"/>
      <c r="C324" s="5" t="n"/>
      <c r="D324" s="6" t="n"/>
      <c r="E324" s="7" t="n"/>
      <c r="F324" s="7" t="n"/>
      <c r="G324" s="7" t="n"/>
      <c r="H324" s="8" t="n"/>
      <c r="I324" s="7" t="n"/>
      <c r="J324" s="9">
        <f>IFERROR(E324/G324,0)</f>
        <v/>
      </c>
      <c r="K324" s="10">
        <f>IFERROR(E324/F324,0)</f>
        <v/>
      </c>
      <c r="L324" s="10">
        <f>J324*H324</f>
        <v/>
      </c>
      <c r="M324" s="11">
        <f>K324-L324</f>
        <v/>
      </c>
      <c r="N324" s="12">
        <f>K324*I324</f>
        <v/>
      </c>
      <c r="O324" s="13">
        <f>IFERROR(N324/E324,0)</f>
        <v/>
      </c>
    </row>
    <row r="325">
      <c r="A325" s="4" t="n"/>
      <c r="B325" s="5" t="n"/>
      <c r="C325" s="5" t="n"/>
      <c r="D325" s="6" t="n"/>
      <c r="E325" s="7" t="n"/>
      <c r="F325" s="7" t="n"/>
      <c r="G325" s="7" t="n"/>
      <c r="H325" s="8" t="n"/>
      <c r="I325" s="7" t="n"/>
      <c r="J325" s="9">
        <f>IFERROR(E325/G325,0)</f>
        <v/>
      </c>
      <c r="K325" s="10">
        <f>IFERROR(E325/F325,0)</f>
        <v/>
      </c>
      <c r="L325" s="10">
        <f>J325*H325</f>
        <v/>
      </c>
      <c r="M325" s="11">
        <f>K325-L325</f>
        <v/>
      </c>
      <c r="N325" s="12">
        <f>K325*I325</f>
        <v/>
      </c>
      <c r="O325" s="13">
        <f>IFERROR(N325/E325,0)</f>
        <v/>
      </c>
    </row>
    <row r="326">
      <c r="A326" s="4" t="n"/>
      <c r="B326" s="5" t="n"/>
      <c r="C326" s="5" t="n"/>
      <c r="D326" s="6" t="n"/>
      <c r="E326" s="7" t="n"/>
      <c r="F326" s="7" t="n"/>
      <c r="G326" s="7" t="n"/>
      <c r="H326" s="8" t="n"/>
      <c r="I326" s="7" t="n"/>
      <c r="J326" s="9">
        <f>IFERROR(E326/G326,0)</f>
        <v/>
      </c>
      <c r="K326" s="10">
        <f>IFERROR(E326/F326,0)</f>
        <v/>
      </c>
      <c r="L326" s="10">
        <f>J326*H326</f>
        <v/>
      </c>
      <c r="M326" s="11">
        <f>K326-L326</f>
        <v/>
      </c>
      <c r="N326" s="12">
        <f>K326*I326</f>
        <v/>
      </c>
      <c r="O326" s="13">
        <f>IFERROR(N326/E326,0)</f>
        <v/>
      </c>
    </row>
    <row r="327">
      <c r="A327" s="4" t="n"/>
      <c r="B327" s="5" t="n"/>
      <c r="C327" s="5" t="n"/>
      <c r="D327" s="6" t="n"/>
      <c r="E327" s="7" t="n"/>
      <c r="F327" s="7" t="n"/>
      <c r="G327" s="7" t="n"/>
      <c r="H327" s="8" t="n"/>
      <c r="I327" s="7" t="n"/>
      <c r="J327" s="9">
        <f>IFERROR(E327/G327,0)</f>
        <v/>
      </c>
      <c r="K327" s="10">
        <f>IFERROR(E327/F327,0)</f>
        <v/>
      </c>
      <c r="L327" s="10">
        <f>J327*H327</f>
        <v/>
      </c>
      <c r="M327" s="11">
        <f>K327-L327</f>
        <v/>
      </c>
      <c r="N327" s="12">
        <f>K327*I327</f>
        <v/>
      </c>
      <c r="O327" s="13">
        <f>IFERROR(N327/E327,0)</f>
        <v/>
      </c>
    </row>
    <row r="328">
      <c r="A328" s="4" t="n"/>
      <c r="B328" s="5" t="n"/>
      <c r="C328" s="5" t="n"/>
      <c r="D328" s="6" t="n"/>
      <c r="E328" s="7" t="n"/>
      <c r="F328" s="7" t="n"/>
      <c r="G328" s="7" t="n"/>
      <c r="H328" s="8" t="n"/>
      <c r="I328" s="7" t="n"/>
      <c r="J328" s="9">
        <f>IFERROR(E328/G328,0)</f>
        <v/>
      </c>
      <c r="K328" s="10">
        <f>IFERROR(E328/F328,0)</f>
        <v/>
      </c>
      <c r="L328" s="10">
        <f>J328*H328</f>
        <v/>
      </c>
      <c r="M328" s="11">
        <f>K328-L328</f>
        <v/>
      </c>
      <c r="N328" s="12">
        <f>K328*I328</f>
        <v/>
      </c>
      <c r="O328" s="13">
        <f>IFERROR(N328/E328,0)</f>
        <v/>
      </c>
    </row>
    <row r="329">
      <c r="A329" s="4" t="n"/>
      <c r="B329" s="5" t="n"/>
      <c r="C329" s="5" t="n"/>
      <c r="D329" s="6" t="n"/>
      <c r="E329" s="7" t="n"/>
      <c r="F329" s="7" t="n"/>
      <c r="G329" s="7" t="n"/>
      <c r="H329" s="8" t="n"/>
      <c r="I329" s="7" t="n"/>
      <c r="J329" s="9">
        <f>IFERROR(E329/G329,0)</f>
        <v/>
      </c>
      <c r="K329" s="10">
        <f>IFERROR(E329/F329,0)</f>
        <v/>
      </c>
      <c r="L329" s="10">
        <f>J329*H329</f>
        <v/>
      </c>
      <c r="M329" s="11">
        <f>K329-L329</f>
        <v/>
      </c>
      <c r="N329" s="12">
        <f>K329*I329</f>
        <v/>
      </c>
      <c r="O329" s="13">
        <f>IFERROR(N329/E329,0)</f>
        <v/>
      </c>
    </row>
    <row r="330">
      <c r="A330" s="4" t="n"/>
      <c r="B330" s="5" t="n"/>
      <c r="C330" s="5" t="n"/>
      <c r="D330" s="6" t="n"/>
      <c r="E330" s="7" t="n"/>
      <c r="F330" s="7" t="n"/>
      <c r="G330" s="7" t="n"/>
      <c r="H330" s="8" t="n"/>
      <c r="I330" s="7" t="n"/>
      <c r="J330" s="9">
        <f>IFERROR(E330/G330,0)</f>
        <v/>
      </c>
      <c r="K330" s="10">
        <f>IFERROR(E330/F330,0)</f>
        <v/>
      </c>
      <c r="L330" s="10">
        <f>J330*H330</f>
        <v/>
      </c>
      <c r="M330" s="11">
        <f>K330-L330</f>
        <v/>
      </c>
      <c r="N330" s="12">
        <f>K330*I330</f>
        <v/>
      </c>
      <c r="O330" s="13">
        <f>IFERROR(N330/E330,0)</f>
        <v/>
      </c>
    </row>
    <row r="331">
      <c r="A331" s="4" t="n"/>
      <c r="B331" s="5" t="n"/>
      <c r="C331" s="5" t="n"/>
      <c r="D331" s="6" t="n"/>
      <c r="E331" s="7" t="n"/>
      <c r="F331" s="7" t="n"/>
      <c r="G331" s="7" t="n"/>
      <c r="H331" s="8" t="n"/>
      <c r="I331" s="7" t="n"/>
      <c r="J331" s="9">
        <f>IFERROR(E331/G331,0)</f>
        <v/>
      </c>
      <c r="K331" s="10">
        <f>IFERROR(E331/F331,0)</f>
        <v/>
      </c>
      <c r="L331" s="10">
        <f>J331*H331</f>
        <v/>
      </c>
      <c r="M331" s="11">
        <f>K331-L331</f>
        <v/>
      </c>
      <c r="N331" s="12">
        <f>K331*I331</f>
        <v/>
      </c>
      <c r="O331" s="13">
        <f>IFERROR(N331/E331,0)</f>
        <v/>
      </c>
    </row>
    <row r="332">
      <c r="A332" s="4" t="n"/>
      <c r="B332" s="5" t="n"/>
      <c r="C332" s="5" t="n"/>
      <c r="D332" s="6" t="n"/>
      <c r="E332" s="7" t="n"/>
      <c r="F332" s="7" t="n"/>
      <c r="G332" s="7" t="n"/>
      <c r="H332" s="8" t="n"/>
      <c r="I332" s="7" t="n"/>
      <c r="J332" s="9">
        <f>IFERROR(E332/G332,0)</f>
        <v/>
      </c>
      <c r="K332" s="10">
        <f>IFERROR(E332/F332,0)</f>
        <v/>
      </c>
      <c r="L332" s="10">
        <f>J332*H332</f>
        <v/>
      </c>
      <c r="M332" s="11">
        <f>K332-L332</f>
        <v/>
      </c>
      <c r="N332" s="12">
        <f>K332*I332</f>
        <v/>
      </c>
      <c r="O332" s="13">
        <f>IFERROR(N332/E332,0)</f>
        <v/>
      </c>
    </row>
    <row r="333">
      <c r="A333" s="4" t="n"/>
      <c r="B333" s="5" t="n"/>
      <c r="C333" s="5" t="n"/>
      <c r="D333" s="6" t="n"/>
      <c r="E333" s="7" t="n"/>
      <c r="F333" s="7" t="n"/>
      <c r="G333" s="7" t="n"/>
      <c r="H333" s="8" t="n"/>
      <c r="I333" s="7" t="n"/>
      <c r="J333" s="9">
        <f>IFERROR(E333/G333,0)</f>
        <v/>
      </c>
      <c r="K333" s="10">
        <f>IFERROR(E333/F333,0)</f>
        <v/>
      </c>
      <c r="L333" s="10">
        <f>J333*H333</f>
        <v/>
      </c>
      <c r="M333" s="11">
        <f>K333-L333</f>
        <v/>
      </c>
      <c r="N333" s="12">
        <f>K333*I333</f>
        <v/>
      </c>
      <c r="O333" s="13">
        <f>IFERROR(N333/E333,0)</f>
        <v/>
      </c>
    </row>
    <row r="334">
      <c r="A334" s="4" t="n"/>
      <c r="B334" s="5" t="n"/>
      <c r="C334" s="5" t="n"/>
      <c r="D334" s="6" t="n"/>
      <c r="E334" s="7" t="n"/>
      <c r="F334" s="7" t="n"/>
      <c r="G334" s="7" t="n"/>
      <c r="H334" s="8" t="n"/>
      <c r="I334" s="7" t="n"/>
      <c r="J334" s="9">
        <f>IFERROR(E334/G334,0)</f>
        <v/>
      </c>
      <c r="K334" s="10">
        <f>IFERROR(E334/F334,0)</f>
        <v/>
      </c>
      <c r="L334" s="10">
        <f>J334*H334</f>
        <v/>
      </c>
      <c r="M334" s="11">
        <f>K334-L334</f>
        <v/>
      </c>
      <c r="N334" s="12">
        <f>K334*I334</f>
        <v/>
      </c>
      <c r="O334" s="13">
        <f>IFERROR(N334/E334,0)</f>
        <v/>
      </c>
    </row>
    <row r="335">
      <c r="A335" s="4" t="n"/>
      <c r="B335" s="5" t="n"/>
      <c r="C335" s="5" t="n"/>
      <c r="D335" s="6" t="n"/>
      <c r="E335" s="7" t="n"/>
      <c r="F335" s="7" t="n"/>
      <c r="G335" s="7" t="n"/>
      <c r="H335" s="8" t="n"/>
      <c r="I335" s="7" t="n"/>
      <c r="J335" s="9">
        <f>IFERROR(E335/G335,0)</f>
        <v/>
      </c>
      <c r="K335" s="10">
        <f>IFERROR(E335/F335,0)</f>
        <v/>
      </c>
      <c r="L335" s="10">
        <f>J335*H335</f>
        <v/>
      </c>
      <c r="M335" s="11">
        <f>K335-L335</f>
        <v/>
      </c>
      <c r="N335" s="12">
        <f>K335*I335</f>
        <v/>
      </c>
      <c r="O335" s="13">
        <f>IFERROR(N335/E335,0)</f>
        <v/>
      </c>
    </row>
    <row r="336">
      <c r="A336" s="4" t="n"/>
      <c r="B336" s="5" t="n"/>
      <c r="C336" s="5" t="n"/>
      <c r="D336" s="6" t="n"/>
      <c r="E336" s="7" t="n"/>
      <c r="F336" s="7" t="n"/>
      <c r="G336" s="7" t="n"/>
      <c r="H336" s="8" t="n"/>
      <c r="I336" s="7" t="n"/>
      <c r="J336" s="9">
        <f>IFERROR(E336/G336,0)</f>
        <v/>
      </c>
      <c r="K336" s="10">
        <f>IFERROR(E336/F336,0)</f>
        <v/>
      </c>
      <c r="L336" s="10">
        <f>J336*H336</f>
        <v/>
      </c>
      <c r="M336" s="11">
        <f>K336-L336</f>
        <v/>
      </c>
      <c r="N336" s="12">
        <f>K336*I336</f>
        <v/>
      </c>
      <c r="O336" s="13">
        <f>IFERROR(N336/E336,0)</f>
        <v/>
      </c>
    </row>
    <row r="337">
      <c r="A337" s="4" t="n"/>
      <c r="B337" s="5" t="n"/>
      <c r="C337" s="5" t="n"/>
      <c r="D337" s="6" t="n"/>
      <c r="E337" s="7" t="n"/>
      <c r="F337" s="7" t="n"/>
      <c r="G337" s="7" t="n"/>
      <c r="H337" s="8" t="n"/>
      <c r="I337" s="7" t="n"/>
      <c r="J337" s="9">
        <f>IFERROR(E337/G337,0)</f>
        <v/>
      </c>
      <c r="K337" s="10">
        <f>IFERROR(E337/F337,0)</f>
        <v/>
      </c>
      <c r="L337" s="10">
        <f>J337*H337</f>
        <v/>
      </c>
      <c r="M337" s="11">
        <f>K337-L337</f>
        <v/>
      </c>
      <c r="N337" s="12">
        <f>K337*I337</f>
        <v/>
      </c>
      <c r="O337" s="13">
        <f>IFERROR(N337/E337,0)</f>
        <v/>
      </c>
    </row>
    <row r="338">
      <c r="A338" s="4" t="n"/>
      <c r="B338" s="5" t="n"/>
      <c r="C338" s="5" t="n"/>
      <c r="D338" s="6" t="n"/>
      <c r="E338" s="7" t="n"/>
      <c r="F338" s="7" t="n"/>
      <c r="G338" s="7" t="n"/>
      <c r="H338" s="8" t="n"/>
      <c r="I338" s="7" t="n"/>
      <c r="J338" s="9">
        <f>IFERROR(E338/G338,0)</f>
        <v/>
      </c>
      <c r="K338" s="10">
        <f>IFERROR(E338/F338,0)</f>
        <v/>
      </c>
      <c r="L338" s="10">
        <f>J338*H338</f>
        <v/>
      </c>
      <c r="M338" s="11">
        <f>K338-L338</f>
        <v/>
      </c>
      <c r="N338" s="12">
        <f>K338*I338</f>
        <v/>
      </c>
      <c r="O338" s="13">
        <f>IFERROR(N338/E338,0)</f>
        <v/>
      </c>
    </row>
    <row r="339">
      <c r="A339" s="4" t="n"/>
      <c r="B339" s="5" t="n"/>
      <c r="C339" s="5" t="n"/>
      <c r="D339" s="6" t="n"/>
      <c r="E339" s="7" t="n"/>
      <c r="F339" s="7" t="n"/>
      <c r="G339" s="7" t="n"/>
      <c r="H339" s="8" t="n"/>
      <c r="I339" s="7" t="n"/>
      <c r="J339" s="9">
        <f>IFERROR(E339/G339,0)</f>
        <v/>
      </c>
      <c r="K339" s="10">
        <f>IFERROR(E339/F339,0)</f>
        <v/>
      </c>
      <c r="L339" s="10">
        <f>J339*H339</f>
        <v/>
      </c>
      <c r="M339" s="11">
        <f>K339-L339</f>
        <v/>
      </c>
      <c r="N339" s="12">
        <f>K339*I339</f>
        <v/>
      </c>
      <c r="O339" s="13">
        <f>IFERROR(N339/E339,0)</f>
        <v/>
      </c>
    </row>
    <row r="340">
      <c r="A340" s="4" t="n"/>
      <c r="B340" s="5" t="n"/>
      <c r="C340" s="5" t="n"/>
      <c r="D340" s="6" t="n"/>
      <c r="E340" s="7" t="n"/>
      <c r="F340" s="7" t="n"/>
      <c r="G340" s="7" t="n"/>
      <c r="H340" s="8" t="n"/>
      <c r="I340" s="7" t="n"/>
      <c r="J340" s="9">
        <f>IFERROR(E340/G340,0)</f>
        <v/>
      </c>
      <c r="K340" s="10">
        <f>IFERROR(E340/F340,0)</f>
        <v/>
      </c>
      <c r="L340" s="10">
        <f>J340*H340</f>
        <v/>
      </c>
      <c r="M340" s="11">
        <f>K340-L340</f>
        <v/>
      </c>
      <c r="N340" s="12">
        <f>K340*I340</f>
        <v/>
      </c>
      <c r="O340" s="13">
        <f>IFERROR(N340/E340,0)</f>
        <v/>
      </c>
    </row>
    <row r="341">
      <c r="A341" s="4" t="n"/>
      <c r="B341" s="5" t="n"/>
      <c r="C341" s="5" t="n"/>
      <c r="D341" s="6" t="n"/>
      <c r="E341" s="7" t="n"/>
      <c r="F341" s="7" t="n"/>
      <c r="G341" s="7" t="n"/>
      <c r="H341" s="8" t="n"/>
      <c r="I341" s="7" t="n"/>
      <c r="J341" s="9">
        <f>IFERROR(E341/G341,0)</f>
        <v/>
      </c>
      <c r="K341" s="10">
        <f>IFERROR(E341/F341,0)</f>
        <v/>
      </c>
      <c r="L341" s="10">
        <f>J341*H341</f>
        <v/>
      </c>
      <c r="M341" s="11">
        <f>K341-L341</f>
        <v/>
      </c>
      <c r="N341" s="12">
        <f>K341*I341</f>
        <v/>
      </c>
      <c r="O341" s="13">
        <f>IFERROR(N341/E341,0)</f>
        <v/>
      </c>
    </row>
    <row r="342">
      <c r="A342" s="4" t="n"/>
      <c r="B342" s="5" t="n"/>
      <c r="C342" s="5" t="n"/>
      <c r="D342" s="6" t="n"/>
      <c r="E342" s="7" t="n"/>
      <c r="F342" s="7" t="n"/>
      <c r="G342" s="7" t="n"/>
      <c r="H342" s="8" t="n"/>
      <c r="I342" s="7" t="n"/>
      <c r="J342" s="9">
        <f>IFERROR(E342/G342,0)</f>
        <v/>
      </c>
      <c r="K342" s="10">
        <f>IFERROR(E342/F342,0)</f>
        <v/>
      </c>
      <c r="L342" s="10">
        <f>J342*H342</f>
        <v/>
      </c>
      <c r="M342" s="11">
        <f>K342-L342</f>
        <v/>
      </c>
      <c r="N342" s="12">
        <f>K342*I342</f>
        <v/>
      </c>
      <c r="O342" s="13">
        <f>IFERROR(N342/E342,0)</f>
        <v/>
      </c>
    </row>
    <row r="343">
      <c r="A343" s="4" t="n"/>
      <c r="B343" s="5" t="n"/>
      <c r="C343" s="5" t="n"/>
      <c r="D343" s="6" t="n"/>
      <c r="E343" s="7" t="n"/>
      <c r="F343" s="7" t="n"/>
      <c r="G343" s="7" t="n"/>
      <c r="H343" s="8" t="n"/>
      <c r="I343" s="7" t="n"/>
      <c r="J343" s="9">
        <f>IFERROR(E343/G343,0)</f>
        <v/>
      </c>
      <c r="K343" s="10">
        <f>IFERROR(E343/F343,0)</f>
        <v/>
      </c>
      <c r="L343" s="10">
        <f>J343*H343</f>
        <v/>
      </c>
      <c r="M343" s="11">
        <f>K343-L343</f>
        <v/>
      </c>
      <c r="N343" s="12">
        <f>K343*I343</f>
        <v/>
      </c>
      <c r="O343" s="13">
        <f>IFERROR(N343/E343,0)</f>
        <v/>
      </c>
    </row>
    <row r="344">
      <c r="A344" s="4" t="n"/>
      <c r="B344" s="5" t="n"/>
      <c r="C344" s="5" t="n"/>
      <c r="D344" s="6" t="n"/>
      <c r="E344" s="7" t="n"/>
      <c r="F344" s="7" t="n"/>
      <c r="G344" s="7" t="n"/>
      <c r="H344" s="8" t="n"/>
      <c r="I344" s="7" t="n"/>
      <c r="J344" s="9">
        <f>IFERROR(E344/G344,0)</f>
        <v/>
      </c>
      <c r="K344" s="10">
        <f>IFERROR(E344/F344,0)</f>
        <v/>
      </c>
      <c r="L344" s="10">
        <f>J344*H344</f>
        <v/>
      </c>
      <c r="M344" s="11">
        <f>K344-L344</f>
        <v/>
      </c>
      <c r="N344" s="12">
        <f>K344*I344</f>
        <v/>
      </c>
      <c r="O344" s="13">
        <f>IFERROR(N344/E344,0)</f>
        <v/>
      </c>
    </row>
    <row r="345">
      <c r="A345" s="4" t="n"/>
      <c r="B345" s="5" t="n"/>
      <c r="C345" s="5" t="n"/>
      <c r="D345" s="6" t="n"/>
      <c r="E345" s="7" t="n"/>
      <c r="F345" s="7" t="n"/>
      <c r="G345" s="7" t="n"/>
      <c r="H345" s="8" t="n"/>
      <c r="I345" s="7" t="n"/>
      <c r="J345" s="9">
        <f>IFERROR(E345/G345,0)</f>
        <v/>
      </c>
      <c r="K345" s="10">
        <f>IFERROR(E345/F345,0)</f>
        <v/>
      </c>
      <c r="L345" s="10">
        <f>J345*H345</f>
        <v/>
      </c>
      <c r="M345" s="11">
        <f>K345-L345</f>
        <v/>
      </c>
      <c r="N345" s="12">
        <f>K345*I345</f>
        <v/>
      </c>
      <c r="O345" s="13">
        <f>IFERROR(N345/E345,0)</f>
        <v/>
      </c>
    </row>
    <row r="346">
      <c r="A346" s="4" t="n"/>
      <c r="B346" s="5" t="n"/>
      <c r="C346" s="5" t="n"/>
      <c r="D346" s="6" t="n"/>
      <c r="E346" s="7" t="n"/>
      <c r="F346" s="7" t="n"/>
      <c r="G346" s="7" t="n"/>
      <c r="H346" s="8" t="n"/>
      <c r="I346" s="7" t="n"/>
      <c r="J346" s="9">
        <f>IFERROR(E346/G346,0)</f>
        <v/>
      </c>
      <c r="K346" s="10">
        <f>IFERROR(E346/F346,0)</f>
        <v/>
      </c>
      <c r="L346" s="10">
        <f>J346*H346</f>
        <v/>
      </c>
      <c r="M346" s="11">
        <f>K346-L346</f>
        <v/>
      </c>
      <c r="N346" s="12">
        <f>K346*I346</f>
        <v/>
      </c>
      <c r="O346" s="13">
        <f>IFERROR(N346/E346,0)</f>
        <v/>
      </c>
    </row>
    <row r="347">
      <c r="A347" s="4" t="n"/>
      <c r="B347" s="5" t="n"/>
      <c r="C347" s="5" t="n"/>
      <c r="D347" s="6" t="n"/>
      <c r="E347" s="7" t="n"/>
      <c r="F347" s="7" t="n"/>
      <c r="G347" s="7" t="n"/>
      <c r="H347" s="8" t="n"/>
      <c r="I347" s="7" t="n"/>
      <c r="J347" s="9">
        <f>IFERROR(E347/G347,0)</f>
        <v/>
      </c>
      <c r="K347" s="10">
        <f>IFERROR(E347/F347,0)</f>
        <v/>
      </c>
      <c r="L347" s="10">
        <f>J347*H347</f>
        <v/>
      </c>
      <c r="M347" s="11">
        <f>K347-L347</f>
        <v/>
      </c>
      <c r="N347" s="12">
        <f>K347*I347</f>
        <v/>
      </c>
      <c r="O347" s="13">
        <f>IFERROR(N347/E347,0)</f>
        <v/>
      </c>
    </row>
    <row r="348">
      <c r="A348" s="4" t="n"/>
      <c r="B348" s="5" t="n"/>
      <c r="C348" s="5" t="n"/>
      <c r="D348" s="6" t="n"/>
      <c r="E348" s="7" t="n"/>
      <c r="F348" s="7" t="n"/>
      <c r="G348" s="7" t="n"/>
      <c r="H348" s="8" t="n"/>
      <c r="I348" s="7" t="n"/>
      <c r="J348" s="9">
        <f>IFERROR(E348/G348,0)</f>
        <v/>
      </c>
      <c r="K348" s="10">
        <f>IFERROR(E348/F348,0)</f>
        <v/>
      </c>
      <c r="L348" s="10">
        <f>J348*H348</f>
        <v/>
      </c>
      <c r="M348" s="11">
        <f>K348-L348</f>
        <v/>
      </c>
      <c r="N348" s="12">
        <f>K348*I348</f>
        <v/>
      </c>
      <c r="O348" s="13">
        <f>IFERROR(N348/E348,0)</f>
        <v/>
      </c>
    </row>
    <row r="349">
      <c r="A349" s="4" t="n"/>
      <c r="B349" s="5" t="n"/>
      <c r="C349" s="5" t="n"/>
      <c r="D349" s="6" t="n"/>
      <c r="E349" s="7" t="n"/>
      <c r="F349" s="7" t="n"/>
      <c r="G349" s="7" t="n"/>
      <c r="H349" s="8" t="n"/>
      <c r="I349" s="7" t="n"/>
      <c r="J349" s="9">
        <f>IFERROR(E349/G349,0)</f>
        <v/>
      </c>
      <c r="K349" s="10">
        <f>IFERROR(E349/F349,0)</f>
        <v/>
      </c>
      <c r="L349" s="10">
        <f>J349*H349</f>
        <v/>
      </c>
      <c r="M349" s="11">
        <f>K349-L349</f>
        <v/>
      </c>
      <c r="N349" s="12">
        <f>K349*I349</f>
        <v/>
      </c>
      <c r="O349" s="13">
        <f>IFERROR(N349/E349,0)</f>
        <v/>
      </c>
    </row>
    <row r="350">
      <c r="A350" s="4" t="n"/>
      <c r="B350" s="5" t="n"/>
      <c r="C350" s="5" t="n"/>
      <c r="D350" s="6" t="n"/>
      <c r="E350" s="7" t="n"/>
      <c r="F350" s="7" t="n"/>
      <c r="G350" s="7" t="n"/>
      <c r="H350" s="8" t="n"/>
      <c r="I350" s="7" t="n"/>
      <c r="J350" s="9">
        <f>IFERROR(E350/G350,0)</f>
        <v/>
      </c>
      <c r="K350" s="10">
        <f>IFERROR(E350/F350,0)</f>
        <v/>
      </c>
      <c r="L350" s="10">
        <f>J350*H350</f>
        <v/>
      </c>
      <c r="M350" s="11">
        <f>K350-L350</f>
        <v/>
      </c>
      <c r="N350" s="12">
        <f>K350*I350</f>
        <v/>
      </c>
      <c r="O350" s="13">
        <f>IFERROR(N350/E350,0)</f>
        <v/>
      </c>
    </row>
    <row r="351">
      <c r="A351" s="4" t="n"/>
      <c r="B351" s="5" t="n"/>
      <c r="C351" s="5" t="n"/>
      <c r="D351" s="6" t="n"/>
      <c r="E351" s="7" t="n"/>
      <c r="F351" s="7" t="n"/>
      <c r="G351" s="7" t="n"/>
      <c r="H351" s="8" t="n"/>
      <c r="I351" s="7" t="n"/>
      <c r="J351" s="9">
        <f>IFERROR(E351/G351,0)</f>
        <v/>
      </c>
      <c r="K351" s="10">
        <f>IFERROR(E351/F351,0)</f>
        <v/>
      </c>
      <c r="L351" s="10">
        <f>J351*H351</f>
        <v/>
      </c>
      <c r="M351" s="11">
        <f>K351-L351</f>
        <v/>
      </c>
      <c r="N351" s="12">
        <f>K351*I351</f>
        <v/>
      </c>
      <c r="O351" s="13">
        <f>IFERROR(N351/E351,0)</f>
        <v/>
      </c>
    </row>
    <row r="352">
      <c r="A352" s="4" t="n"/>
      <c r="B352" s="5" t="n"/>
      <c r="C352" s="5" t="n"/>
      <c r="D352" s="6" t="n"/>
      <c r="E352" s="7" t="n"/>
      <c r="F352" s="7" t="n"/>
      <c r="G352" s="7" t="n"/>
      <c r="H352" s="8" t="n"/>
      <c r="I352" s="7" t="n"/>
      <c r="J352" s="9">
        <f>IFERROR(E352/G352,0)</f>
        <v/>
      </c>
      <c r="K352" s="10">
        <f>IFERROR(E352/F352,0)</f>
        <v/>
      </c>
      <c r="L352" s="10">
        <f>J352*H352</f>
        <v/>
      </c>
      <c r="M352" s="11">
        <f>K352-L352</f>
        <v/>
      </c>
      <c r="N352" s="12">
        <f>K352*I352</f>
        <v/>
      </c>
      <c r="O352" s="13">
        <f>IFERROR(N352/E352,0)</f>
        <v/>
      </c>
    </row>
    <row r="353">
      <c r="A353" s="4" t="n"/>
      <c r="B353" s="5" t="n"/>
      <c r="C353" s="5" t="n"/>
      <c r="D353" s="6" t="n"/>
      <c r="E353" s="7" t="n"/>
      <c r="F353" s="7" t="n"/>
      <c r="G353" s="7" t="n"/>
      <c r="H353" s="8" t="n"/>
      <c r="I353" s="7" t="n"/>
      <c r="J353" s="9">
        <f>IFERROR(E353/G353,0)</f>
        <v/>
      </c>
      <c r="K353" s="10">
        <f>IFERROR(E353/F353,0)</f>
        <v/>
      </c>
      <c r="L353" s="10">
        <f>J353*H353</f>
        <v/>
      </c>
      <c r="M353" s="11">
        <f>K353-L353</f>
        <v/>
      </c>
      <c r="N353" s="12">
        <f>K353*I353</f>
        <v/>
      </c>
      <c r="O353" s="13">
        <f>IFERROR(N353/E353,0)</f>
        <v/>
      </c>
    </row>
    <row r="354">
      <c r="A354" s="4" t="n"/>
      <c r="B354" s="5" t="n"/>
      <c r="C354" s="5" t="n"/>
      <c r="D354" s="6" t="n"/>
      <c r="E354" s="7" t="n"/>
      <c r="F354" s="7" t="n"/>
      <c r="G354" s="7" t="n"/>
      <c r="H354" s="8" t="n"/>
      <c r="I354" s="7" t="n"/>
      <c r="J354" s="9">
        <f>IFERROR(E354/G354,0)</f>
        <v/>
      </c>
      <c r="K354" s="10">
        <f>IFERROR(E354/F354,0)</f>
        <v/>
      </c>
      <c r="L354" s="10">
        <f>J354*H354</f>
        <v/>
      </c>
      <c r="M354" s="11">
        <f>K354-L354</f>
        <v/>
      </c>
      <c r="N354" s="12">
        <f>K354*I354</f>
        <v/>
      </c>
      <c r="O354" s="13">
        <f>IFERROR(N354/E354,0)</f>
        <v/>
      </c>
    </row>
    <row r="355">
      <c r="A355" s="4" t="n"/>
      <c r="B355" s="5" t="n"/>
      <c r="C355" s="5" t="n"/>
      <c r="D355" s="6" t="n"/>
      <c r="E355" s="7" t="n"/>
      <c r="F355" s="7" t="n"/>
      <c r="G355" s="7" t="n"/>
      <c r="H355" s="8" t="n"/>
      <c r="I355" s="7" t="n"/>
      <c r="J355" s="9">
        <f>IFERROR(E355/G355,0)</f>
        <v/>
      </c>
      <c r="K355" s="10">
        <f>IFERROR(E355/F355,0)</f>
        <v/>
      </c>
      <c r="L355" s="10">
        <f>J355*H355</f>
        <v/>
      </c>
      <c r="M355" s="11">
        <f>K355-L355</f>
        <v/>
      </c>
      <c r="N355" s="12">
        <f>K355*I355</f>
        <v/>
      </c>
      <c r="O355" s="13">
        <f>IFERROR(N355/E355,0)</f>
        <v/>
      </c>
    </row>
    <row r="356">
      <c r="A356" s="4" t="n"/>
      <c r="B356" s="5" t="n"/>
      <c r="C356" s="5" t="n"/>
      <c r="D356" s="6" t="n"/>
      <c r="E356" s="7" t="n"/>
      <c r="F356" s="7" t="n"/>
      <c r="G356" s="7" t="n"/>
      <c r="H356" s="8" t="n"/>
      <c r="I356" s="7" t="n"/>
      <c r="J356" s="9">
        <f>IFERROR(E356/G356,0)</f>
        <v/>
      </c>
      <c r="K356" s="10">
        <f>IFERROR(E356/F356,0)</f>
        <v/>
      </c>
      <c r="L356" s="10">
        <f>J356*H356</f>
        <v/>
      </c>
      <c r="M356" s="11">
        <f>K356-L356</f>
        <v/>
      </c>
      <c r="N356" s="12">
        <f>K356*I356</f>
        <v/>
      </c>
      <c r="O356" s="13">
        <f>IFERROR(N356/E356,0)</f>
        <v/>
      </c>
    </row>
    <row r="357">
      <c r="A357" s="4" t="n"/>
      <c r="B357" s="5" t="n"/>
      <c r="C357" s="5" t="n"/>
      <c r="D357" s="6" t="n"/>
      <c r="E357" s="7" t="n"/>
      <c r="F357" s="7" t="n"/>
      <c r="G357" s="7" t="n"/>
      <c r="H357" s="8" t="n"/>
      <c r="I357" s="7" t="n"/>
      <c r="J357" s="9">
        <f>IFERROR(E357/G357,0)</f>
        <v/>
      </c>
      <c r="K357" s="10">
        <f>IFERROR(E357/F357,0)</f>
        <v/>
      </c>
      <c r="L357" s="10">
        <f>J357*H357</f>
        <v/>
      </c>
      <c r="M357" s="11">
        <f>K357-L357</f>
        <v/>
      </c>
      <c r="N357" s="12">
        <f>K357*I357</f>
        <v/>
      </c>
      <c r="O357" s="13">
        <f>IFERROR(N357/E357,0)</f>
        <v/>
      </c>
    </row>
    <row r="358">
      <c r="A358" s="4" t="n"/>
      <c r="B358" s="5" t="n"/>
      <c r="C358" s="5" t="n"/>
      <c r="D358" s="6" t="n"/>
      <c r="E358" s="7" t="n"/>
      <c r="F358" s="7" t="n"/>
      <c r="G358" s="7" t="n"/>
      <c r="H358" s="8" t="n"/>
      <c r="I358" s="7" t="n"/>
      <c r="J358" s="9">
        <f>IFERROR(E358/G358,0)</f>
        <v/>
      </c>
      <c r="K358" s="10">
        <f>IFERROR(E358/F358,0)</f>
        <v/>
      </c>
      <c r="L358" s="10">
        <f>J358*H358</f>
        <v/>
      </c>
      <c r="M358" s="11">
        <f>K358-L358</f>
        <v/>
      </c>
      <c r="N358" s="12">
        <f>K358*I358</f>
        <v/>
      </c>
      <c r="O358" s="13">
        <f>IFERROR(N358/E358,0)</f>
        <v/>
      </c>
    </row>
    <row r="359">
      <c r="A359" s="4" t="n"/>
      <c r="B359" s="5" t="n"/>
      <c r="C359" s="5" t="n"/>
      <c r="D359" s="6" t="n"/>
      <c r="E359" s="7" t="n"/>
      <c r="F359" s="7" t="n"/>
      <c r="G359" s="7" t="n"/>
      <c r="H359" s="8" t="n"/>
      <c r="I359" s="7" t="n"/>
      <c r="J359" s="9">
        <f>IFERROR(E359/G359,0)</f>
        <v/>
      </c>
      <c r="K359" s="10">
        <f>IFERROR(E359/F359,0)</f>
        <v/>
      </c>
      <c r="L359" s="10">
        <f>J359*H359</f>
        <v/>
      </c>
      <c r="M359" s="11">
        <f>K359-L359</f>
        <v/>
      </c>
      <c r="N359" s="12">
        <f>K359*I359</f>
        <v/>
      </c>
      <c r="O359" s="13">
        <f>IFERROR(N359/E359,0)</f>
        <v/>
      </c>
    </row>
    <row r="360">
      <c r="A360" s="4" t="n"/>
      <c r="B360" s="5" t="n"/>
      <c r="C360" s="5" t="n"/>
      <c r="D360" s="6" t="n"/>
      <c r="E360" s="7" t="n"/>
      <c r="F360" s="7" t="n"/>
      <c r="G360" s="7" t="n"/>
      <c r="H360" s="8" t="n"/>
      <c r="I360" s="7" t="n"/>
      <c r="J360" s="9">
        <f>IFERROR(E360/G360,0)</f>
        <v/>
      </c>
      <c r="K360" s="10">
        <f>IFERROR(E360/F360,0)</f>
        <v/>
      </c>
      <c r="L360" s="10">
        <f>J360*H360</f>
        <v/>
      </c>
      <c r="M360" s="11">
        <f>K360-L360</f>
        <v/>
      </c>
      <c r="N360" s="12">
        <f>K360*I360</f>
        <v/>
      </c>
      <c r="O360" s="13">
        <f>IFERROR(N360/E360,0)</f>
        <v/>
      </c>
    </row>
    <row r="361">
      <c r="A361" s="4" t="n"/>
      <c r="B361" s="5" t="n"/>
      <c r="C361" s="5" t="n"/>
      <c r="D361" s="6" t="n"/>
      <c r="E361" s="7" t="n"/>
      <c r="F361" s="7" t="n"/>
      <c r="G361" s="7" t="n"/>
      <c r="H361" s="8" t="n"/>
      <c r="I361" s="7" t="n"/>
      <c r="J361" s="9">
        <f>IFERROR(E361/G361,0)</f>
        <v/>
      </c>
      <c r="K361" s="10">
        <f>IFERROR(E361/F361,0)</f>
        <v/>
      </c>
      <c r="L361" s="10">
        <f>J361*H361</f>
        <v/>
      </c>
      <c r="M361" s="11">
        <f>K361-L361</f>
        <v/>
      </c>
      <c r="N361" s="12">
        <f>K361*I361</f>
        <v/>
      </c>
      <c r="O361" s="13">
        <f>IFERROR(N361/E361,0)</f>
        <v/>
      </c>
    </row>
    <row r="362">
      <c r="A362" s="4" t="n"/>
      <c r="B362" s="5" t="n"/>
      <c r="C362" s="5" t="n"/>
      <c r="D362" s="6" t="n"/>
      <c r="E362" s="7" t="n"/>
      <c r="F362" s="7" t="n"/>
      <c r="G362" s="7" t="n"/>
      <c r="H362" s="8" t="n"/>
      <c r="I362" s="7" t="n"/>
      <c r="J362" s="9">
        <f>IFERROR(E362/G362,0)</f>
        <v/>
      </c>
      <c r="K362" s="10">
        <f>IFERROR(E362/F362,0)</f>
        <v/>
      </c>
      <c r="L362" s="10">
        <f>J362*H362</f>
        <v/>
      </c>
      <c r="M362" s="11">
        <f>K362-L362</f>
        <v/>
      </c>
      <c r="N362" s="12">
        <f>K362*I362</f>
        <v/>
      </c>
      <c r="O362" s="13">
        <f>IFERROR(N362/E362,0)</f>
        <v/>
      </c>
    </row>
    <row r="363">
      <c r="A363" s="4" t="n"/>
      <c r="B363" s="5" t="n"/>
      <c r="C363" s="5" t="n"/>
      <c r="D363" s="6" t="n"/>
      <c r="E363" s="7" t="n"/>
      <c r="F363" s="7" t="n"/>
      <c r="G363" s="7" t="n"/>
      <c r="H363" s="8" t="n"/>
      <c r="I363" s="7" t="n"/>
      <c r="J363" s="9">
        <f>IFERROR(E363/G363,0)</f>
        <v/>
      </c>
      <c r="K363" s="10">
        <f>IFERROR(E363/F363,0)</f>
        <v/>
      </c>
      <c r="L363" s="10">
        <f>J363*H363</f>
        <v/>
      </c>
      <c r="M363" s="11">
        <f>K363-L363</f>
        <v/>
      </c>
      <c r="N363" s="12">
        <f>K363*I363</f>
        <v/>
      </c>
      <c r="O363" s="13">
        <f>IFERROR(N363/E363,0)</f>
        <v/>
      </c>
    </row>
    <row r="364">
      <c r="A364" s="4" t="n"/>
      <c r="B364" s="5" t="n"/>
      <c r="C364" s="5" t="n"/>
      <c r="D364" s="6" t="n"/>
      <c r="E364" s="7" t="n"/>
      <c r="F364" s="7" t="n"/>
      <c r="G364" s="7" t="n"/>
      <c r="H364" s="8" t="n"/>
      <c r="I364" s="7" t="n"/>
      <c r="J364" s="9">
        <f>IFERROR(E364/G364,0)</f>
        <v/>
      </c>
      <c r="K364" s="10">
        <f>IFERROR(E364/F364,0)</f>
        <v/>
      </c>
      <c r="L364" s="10">
        <f>J364*H364</f>
        <v/>
      </c>
      <c r="M364" s="11">
        <f>K364-L364</f>
        <v/>
      </c>
      <c r="N364" s="12">
        <f>K364*I364</f>
        <v/>
      </c>
      <c r="O364" s="13">
        <f>IFERROR(N364/E364,0)</f>
        <v/>
      </c>
    </row>
    <row r="365">
      <c r="A365" s="4" t="n"/>
      <c r="B365" s="5" t="n"/>
      <c r="C365" s="5" t="n"/>
      <c r="D365" s="6" t="n"/>
      <c r="E365" s="7" t="n"/>
      <c r="F365" s="7" t="n"/>
      <c r="G365" s="7" t="n"/>
      <c r="H365" s="8" t="n"/>
      <c r="I365" s="7" t="n"/>
      <c r="J365" s="9">
        <f>IFERROR(E365/G365,0)</f>
        <v/>
      </c>
      <c r="K365" s="10">
        <f>IFERROR(E365/F365,0)</f>
        <v/>
      </c>
      <c r="L365" s="10">
        <f>J365*H365</f>
        <v/>
      </c>
      <c r="M365" s="11">
        <f>K365-L365</f>
        <v/>
      </c>
      <c r="N365" s="12">
        <f>K365*I365</f>
        <v/>
      </c>
      <c r="O365" s="13">
        <f>IFERROR(N365/E365,0)</f>
        <v/>
      </c>
    </row>
    <row r="366">
      <c r="A366" s="4" t="n"/>
      <c r="B366" s="5" t="n"/>
      <c r="C366" s="5" t="n"/>
      <c r="D366" s="6" t="n"/>
      <c r="E366" s="7" t="n"/>
      <c r="F366" s="7" t="n"/>
      <c r="G366" s="7" t="n"/>
      <c r="H366" s="8" t="n"/>
      <c r="I366" s="7" t="n"/>
      <c r="J366" s="9">
        <f>IFERROR(E366/G366,0)</f>
        <v/>
      </c>
      <c r="K366" s="10">
        <f>IFERROR(E366/F366,0)</f>
        <v/>
      </c>
      <c r="L366" s="10">
        <f>J366*H366</f>
        <v/>
      </c>
      <c r="M366" s="11">
        <f>K366-L366</f>
        <v/>
      </c>
      <c r="N366" s="12">
        <f>K366*I366</f>
        <v/>
      </c>
      <c r="O366" s="13">
        <f>IFERROR(N366/E366,0)</f>
        <v/>
      </c>
    </row>
    <row r="367">
      <c r="A367" s="4" t="n"/>
      <c r="B367" s="5" t="n"/>
      <c r="C367" s="5" t="n"/>
      <c r="D367" s="6" t="n"/>
      <c r="E367" s="7" t="n"/>
      <c r="F367" s="7" t="n"/>
      <c r="G367" s="7" t="n"/>
      <c r="H367" s="8" t="n"/>
      <c r="I367" s="7" t="n"/>
      <c r="J367" s="9">
        <f>IFERROR(E367/G367,0)</f>
        <v/>
      </c>
      <c r="K367" s="10">
        <f>IFERROR(E367/F367,0)</f>
        <v/>
      </c>
      <c r="L367" s="10">
        <f>J367*H367</f>
        <v/>
      </c>
      <c r="M367" s="11">
        <f>K367-L367</f>
        <v/>
      </c>
      <c r="N367" s="12">
        <f>K367*I367</f>
        <v/>
      </c>
      <c r="O367" s="13">
        <f>IFERROR(N367/E367,0)</f>
        <v/>
      </c>
    </row>
    <row r="368">
      <c r="A368" s="4" t="n"/>
      <c r="B368" s="5" t="n"/>
      <c r="C368" s="5" t="n"/>
      <c r="D368" s="6" t="n"/>
      <c r="E368" s="7" t="n"/>
      <c r="F368" s="7" t="n"/>
      <c r="G368" s="7" t="n"/>
      <c r="H368" s="8" t="n"/>
      <c r="I368" s="7" t="n"/>
      <c r="J368" s="9">
        <f>IFERROR(E368/G368,0)</f>
        <v/>
      </c>
      <c r="K368" s="10">
        <f>IFERROR(E368/F368,0)</f>
        <v/>
      </c>
      <c r="L368" s="10">
        <f>J368*H368</f>
        <v/>
      </c>
      <c r="M368" s="11">
        <f>K368-L368</f>
        <v/>
      </c>
      <c r="N368" s="12">
        <f>K368*I368</f>
        <v/>
      </c>
      <c r="O368" s="13">
        <f>IFERROR(N368/E368,0)</f>
        <v/>
      </c>
    </row>
    <row r="369">
      <c r="A369" s="4" t="n"/>
      <c r="B369" s="5" t="n"/>
      <c r="C369" s="5" t="n"/>
      <c r="D369" s="6" t="n"/>
      <c r="E369" s="7" t="n"/>
      <c r="F369" s="7" t="n"/>
      <c r="G369" s="7" t="n"/>
      <c r="H369" s="8" t="n"/>
      <c r="I369" s="7" t="n"/>
      <c r="J369" s="9">
        <f>IFERROR(E369/G369,0)</f>
        <v/>
      </c>
      <c r="K369" s="10">
        <f>IFERROR(E369/F369,0)</f>
        <v/>
      </c>
      <c r="L369" s="10">
        <f>J369*H369</f>
        <v/>
      </c>
      <c r="M369" s="11">
        <f>K369-L369</f>
        <v/>
      </c>
      <c r="N369" s="12">
        <f>K369*I369</f>
        <v/>
      </c>
      <c r="O369" s="13">
        <f>IFERROR(N369/E369,0)</f>
        <v/>
      </c>
    </row>
    <row r="370">
      <c r="A370" s="4" t="n"/>
      <c r="B370" s="5" t="n"/>
      <c r="C370" s="5" t="n"/>
      <c r="D370" s="6" t="n"/>
      <c r="E370" s="7" t="n"/>
      <c r="F370" s="7" t="n"/>
      <c r="G370" s="7" t="n"/>
      <c r="H370" s="8" t="n"/>
      <c r="I370" s="7" t="n"/>
      <c r="J370" s="9">
        <f>IFERROR(E370/G370,0)</f>
        <v/>
      </c>
      <c r="K370" s="10">
        <f>IFERROR(E370/F370,0)</f>
        <v/>
      </c>
      <c r="L370" s="10">
        <f>J370*H370</f>
        <v/>
      </c>
      <c r="M370" s="11">
        <f>K370-L370</f>
        <v/>
      </c>
      <c r="N370" s="12">
        <f>K370*I370</f>
        <v/>
      </c>
      <c r="O370" s="13">
        <f>IFERROR(N370/E370,0)</f>
        <v/>
      </c>
    </row>
    <row r="371">
      <c r="A371" s="4" t="n"/>
      <c r="B371" s="5" t="n"/>
      <c r="C371" s="5" t="n"/>
      <c r="D371" s="6" t="n"/>
      <c r="E371" s="7" t="n"/>
      <c r="F371" s="7" t="n"/>
      <c r="G371" s="7" t="n"/>
      <c r="H371" s="8" t="n"/>
      <c r="I371" s="7" t="n"/>
      <c r="J371" s="9">
        <f>IFERROR(E371/G371,0)</f>
        <v/>
      </c>
      <c r="K371" s="10">
        <f>IFERROR(E371/F371,0)</f>
        <v/>
      </c>
      <c r="L371" s="10">
        <f>J371*H371</f>
        <v/>
      </c>
      <c r="M371" s="11">
        <f>K371-L371</f>
        <v/>
      </c>
      <c r="N371" s="12">
        <f>K371*I371</f>
        <v/>
      </c>
      <c r="O371" s="13">
        <f>IFERROR(N371/E371,0)</f>
        <v/>
      </c>
    </row>
    <row r="372">
      <c r="A372" s="4" t="n"/>
      <c r="B372" s="5" t="n"/>
      <c r="C372" s="5" t="n"/>
      <c r="D372" s="6" t="n"/>
      <c r="E372" s="7" t="n"/>
      <c r="F372" s="7" t="n"/>
      <c r="G372" s="7" t="n"/>
      <c r="H372" s="8" t="n"/>
      <c r="I372" s="7" t="n"/>
      <c r="J372" s="9">
        <f>IFERROR(E372/G372,0)</f>
        <v/>
      </c>
      <c r="K372" s="10">
        <f>IFERROR(E372/F372,0)</f>
        <v/>
      </c>
      <c r="L372" s="10">
        <f>J372*H372</f>
        <v/>
      </c>
      <c r="M372" s="11">
        <f>K372-L372</f>
        <v/>
      </c>
      <c r="N372" s="12">
        <f>K372*I372</f>
        <v/>
      </c>
      <c r="O372" s="13">
        <f>IFERROR(N372/E372,0)</f>
        <v/>
      </c>
    </row>
    <row r="373">
      <c r="A373" s="4" t="n"/>
      <c r="B373" s="5" t="n"/>
      <c r="C373" s="5" t="n"/>
      <c r="D373" s="6" t="n"/>
      <c r="E373" s="7" t="n"/>
      <c r="F373" s="7" t="n"/>
      <c r="G373" s="7" t="n"/>
      <c r="H373" s="8" t="n"/>
      <c r="I373" s="7" t="n"/>
      <c r="J373" s="9">
        <f>IFERROR(E373/G373,0)</f>
        <v/>
      </c>
      <c r="K373" s="10">
        <f>IFERROR(E373/F373,0)</f>
        <v/>
      </c>
      <c r="L373" s="10">
        <f>J373*H373</f>
        <v/>
      </c>
      <c r="M373" s="11">
        <f>K373-L373</f>
        <v/>
      </c>
      <c r="N373" s="12">
        <f>K373*I373</f>
        <v/>
      </c>
      <c r="O373" s="13">
        <f>IFERROR(N373/E373,0)</f>
        <v/>
      </c>
    </row>
    <row r="374">
      <c r="A374" s="4" t="n"/>
      <c r="B374" s="5" t="n"/>
      <c r="C374" s="5" t="n"/>
      <c r="D374" s="6" t="n"/>
      <c r="E374" s="7" t="n"/>
      <c r="F374" s="7" t="n"/>
      <c r="G374" s="7" t="n"/>
      <c r="H374" s="8" t="n"/>
      <c r="I374" s="7" t="n"/>
      <c r="J374" s="9">
        <f>IFERROR(E374/G374,0)</f>
        <v/>
      </c>
      <c r="K374" s="10">
        <f>IFERROR(E374/F374,0)</f>
        <v/>
      </c>
      <c r="L374" s="10">
        <f>J374*H374</f>
        <v/>
      </c>
      <c r="M374" s="11">
        <f>K374-L374</f>
        <v/>
      </c>
      <c r="N374" s="12">
        <f>K374*I374</f>
        <v/>
      </c>
      <c r="O374" s="13">
        <f>IFERROR(N374/E374,0)</f>
        <v/>
      </c>
    </row>
    <row r="375">
      <c r="A375" s="4" t="n"/>
      <c r="B375" s="5" t="n"/>
      <c r="C375" s="5" t="n"/>
      <c r="D375" s="6" t="n"/>
      <c r="E375" s="7" t="n"/>
      <c r="F375" s="7" t="n"/>
      <c r="G375" s="7" t="n"/>
      <c r="H375" s="8" t="n"/>
      <c r="I375" s="7" t="n"/>
      <c r="J375" s="9">
        <f>IFERROR(E375/G375,0)</f>
        <v/>
      </c>
      <c r="K375" s="10">
        <f>IFERROR(E375/F375,0)</f>
        <v/>
      </c>
      <c r="L375" s="10">
        <f>J375*H375</f>
        <v/>
      </c>
      <c r="M375" s="11">
        <f>K375-L375</f>
        <v/>
      </c>
      <c r="N375" s="12">
        <f>K375*I375</f>
        <v/>
      </c>
      <c r="O375" s="13">
        <f>IFERROR(N375/E375,0)</f>
        <v/>
      </c>
    </row>
    <row r="376">
      <c r="A376" s="4" t="n"/>
      <c r="B376" s="5" t="n"/>
      <c r="C376" s="5" t="n"/>
      <c r="D376" s="6" t="n"/>
      <c r="E376" s="7" t="n"/>
      <c r="F376" s="7" t="n"/>
      <c r="G376" s="7" t="n"/>
      <c r="H376" s="8" t="n"/>
      <c r="I376" s="7" t="n"/>
      <c r="J376" s="9">
        <f>IFERROR(E376/G376,0)</f>
        <v/>
      </c>
      <c r="K376" s="10">
        <f>IFERROR(E376/F376,0)</f>
        <v/>
      </c>
      <c r="L376" s="10">
        <f>J376*H376</f>
        <v/>
      </c>
      <c r="M376" s="11">
        <f>K376-L376</f>
        <v/>
      </c>
      <c r="N376" s="12">
        <f>K376*I376</f>
        <v/>
      </c>
      <c r="O376" s="13">
        <f>IFERROR(N376/E376,0)</f>
        <v/>
      </c>
    </row>
    <row r="377">
      <c r="A377" s="4" t="n"/>
      <c r="B377" s="5" t="n"/>
      <c r="C377" s="5" t="n"/>
      <c r="D377" s="6" t="n"/>
      <c r="E377" s="7" t="n"/>
      <c r="F377" s="7" t="n"/>
      <c r="G377" s="7" t="n"/>
      <c r="H377" s="8" t="n"/>
      <c r="I377" s="7" t="n"/>
      <c r="J377" s="9">
        <f>IFERROR(E377/G377,0)</f>
        <v/>
      </c>
      <c r="K377" s="10">
        <f>IFERROR(E377/F377,0)</f>
        <v/>
      </c>
      <c r="L377" s="10">
        <f>J377*H377</f>
        <v/>
      </c>
      <c r="M377" s="11">
        <f>K377-L377</f>
        <v/>
      </c>
      <c r="N377" s="12">
        <f>K377*I377</f>
        <v/>
      </c>
      <c r="O377" s="13">
        <f>IFERROR(N377/E377,0)</f>
        <v/>
      </c>
    </row>
    <row r="378">
      <c r="A378" s="4" t="n"/>
      <c r="B378" s="5" t="n"/>
      <c r="C378" s="5" t="n"/>
      <c r="D378" s="6" t="n"/>
      <c r="E378" s="7" t="n"/>
      <c r="F378" s="7" t="n"/>
      <c r="G378" s="7" t="n"/>
      <c r="H378" s="8" t="n"/>
      <c r="I378" s="7" t="n"/>
      <c r="J378" s="9">
        <f>IFERROR(E378/G378,0)</f>
        <v/>
      </c>
      <c r="K378" s="10">
        <f>IFERROR(E378/F378,0)</f>
        <v/>
      </c>
      <c r="L378" s="10">
        <f>J378*H378</f>
        <v/>
      </c>
      <c r="M378" s="11">
        <f>K378-L378</f>
        <v/>
      </c>
      <c r="N378" s="12">
        <f>K378*I378</f>
        <v/>
      </c>
      <c r="O378" s="13">
        <f>IFERROR(N378/E378,0)</f>
        <v/>
      </c>
    </row>
    <row r="379">
      <c r="A379" s="4" t="n"/>
      <c r="B379" s="5" t="n"/>
      <c r="C379" s="5" t="n"/>
      <c r="D379" s="6" t="n"/>
      <c r="E379" s="7" t="n"/>
      <c r="F379" s="7" t="n"/>
      <c r="G379" s="7" t="n"/>
      <c r="H379" s="8" t="n"/>
      <c r="I379" s="7" t="n"/>
      <c r="J379" s="9">
        <f>IFERROR(E379/G379,0)</f>
        <v/>
      </c>
      <c r="K379" s="10">
        <f>IFERROR(E379/F379,0)</f>
        <v/>
      </c>
      <c r="L379" s="10">
        <f>J379*H379</f>
        <v/>
      </c>
      <c r="M379" s="11">
        <f>K379-L379</f>
        <v/>
      </c>
      <c r="N379" s="12">
        <f>K379*I379</f>
        <v/>
      </c>
      <c r="O379" s="13">
        <f>IFERROR(N379/E379,0)</f>
        <v/>
      </c>
    </row>
    <row r="380">
      <c r="A380" s="4" t="n"/>
      <c r="B380" s="5" t="n"/>
      <c r="C380" s="5" t="n"/>
      <c r="D380" s="6" t="n"/>
      <c r="E380" s="7" t="n"/>
      <c r="F380" s="7" t="n"/>
      <c r="G380" s="7" t="n"/>
      <c r="H380" s="8" t="n"/>
      <c r="I380" s="7" t="n"/>
      <c r="J380" s="9">
        <f>IFERROR(E380/G380,0)</f>
        <v/>
      </c>
      <c r="K380" s="10">
        <f>IFERROR(E380/F380,0)</f>
        <v/>
      </c>
      <c r="L380" s="10">
        <f>J380*H380</f>
        <v/>
      </c>
      <c r="M380" s="11">
        <f>K380-L380</f>
        <v/>
      </c>
      <c r="N380" s="12">
        <f>K380*I380</f>
        <v/>
      </c>
      <c r="O380" s="13">
        <f>IFERROR(N380/E380,0)</f>
        <v/>
      </c>
    </row>
    <row r="381">
      <c r="A381" s="4" t="n"/>
      <c r="B381" s="5" t="n"/>
      <c r="C381" s="5" t="n"/>
      <c r="D381" s="6" t="n"/>
      <c r="E381" s="7" t="n"/>
      <c r="F381" s="7" t="n"/>
      <c r="G381" s="7" t="n"/>
      <c r="H381" s="8" t="n"/>
      <c r="I381" s="7" t="n"/>
      <c r="J381" s="9">
        <f>IFERROR(E381/G381,0)</f>
        <v/>
      </c>
      <c r="K381" s="10">
        <f>IFERROR(E381/F381,0)</f>
        <v/>
      </c>
      <c r="L381" s="10">
        <f>J381*H381</f>
        <v/>
      </c>
      <c r="M381" s="11">
        <f>K381-L381</f>
        <v/>
      </c>
      <c r="N381" s="12">
        <f>K381*I381</f>
        <v/>
      </c>
      <c r="O381" s="13">
        <f>IFERROR(N381/E381,0)</f>
        <v/>
      </c>
    </row>
    <row r="382">
      <c r="A382" s="4" t="n"/>
      <c r="B382" s="5" t="n"/>
      <c r="C382" s="5" t="n"/>
      <c r="D382" s="6" t="n"/>
      <c r="E382" s="7" t="n"/>
      <c r="F382" s="7" t="n"/>
      <c r="G382" s="7" t="n"/>
      <c r="H382" s="8" t="n"/>
      <c r="I382" s="7" t="n"/>
      <c r="J382" s="9">
        <f>IFERROR(E382/G382,0)</f>
        <v/>
      </c>
      <c r="K382" s="10">
        <f>IFERROR(E382/F382,0)</f>
        <v/>
      </c>
      <c r="L382" s="10">
        <f>J382*H382</f>
        <v/>
      </c>
      <c r="M382" s="11">
        <f>K382-L382</f>
        <v/>
      </c>
      <c r="N382" s="12">
        <f>K382*I382</f>
        <v/>
      </c>
      <c r="O382" s="13">
        <f>IFERROR(N382/E382,0)</f>
        <v/>
      </c>
    </row>
    <row r="383">
      <c r="A383" s="4" t="n"/>
      <c r="B383" s="5" t="n"/>
      <c r="C383" s="5" t="n"/>
      <c r="D383" s="6" t="n"/>
      <c r="E383" s="7" t="n"/>
      <c r="F383" s="7" t="n"/>
      <c r="G383" s="7" t="n"/>
      <c r="H383" s="8" t="n"/>
      <c r="I383" s="7" t="n"/>
      <c r="J383" s="9">
        <f>IFERROR(E383/G383,0)</f>
        <v/>
      </c>
      <c r="K383" s="10">
        <f>IFERROR(E383/F383,0)</f>
        <v/>
      </c>
      <c r="L383" s="10">
        <f>J383*H383</f>
        <v/>
      </c>
      <c r="M383" s="11">
        <f>K383-L383</f>
        <v/>
      </c>
      <c r="N383" s="12">
        <f>K383*I383</f>
        <v/>
      </c>
      <c r="O383" s="13">
        <f>IFERROR(N383/E383,0)</f>
        <v/>
      </c>
    </row>
    <row r="384">
      <c r="A384" s="4" t="n"/>
      <c r="B384" s="5" t="n"/>
      <c r="C384" s="5" t="n"/>
      <c r="D384" s="6" t="n"/>
      <c r="E384" s="7" t="n"/>
      <c r="F384" s="7" t="n"/>
      <c r="G384" s="7" t="n"/>
      <c r="H384" s="8" t="n"/>
      <c r="I384" s="7" t="n"/>
      <c r="J384" s="9">
        <f>IFERROR(E384/G384,0)</f>
        <v/>
      </c>
      <c r="K384" s="10">
        <f>IFERROR(E384/F384,0)</f>
        <v/>
      </c>
      <c r="L384" s="10">
        <f>J384*H384</f>
        <v/>
      </c>
      <c r="M384" s="11">
        <f>K384-L384</f>
        <v/>
      </c>
      <c r="N384" s="12">
        <f>K384*I384</f>
        <v/>
      </c>
      <c r="O384" s="13">
        <f>IFERROR(N384/E384,0)</f>
        <v/>
      </c>
    </row>
    <row r="385">
      <c r="A385" s="4" t="n"/>
      <c r="B385" s="5" t="n"/>
      <c r="C385" s="5" t="n"/>
      <c r="D385" s="6" t="n"/>
      <c r="E385" s="7" t="n"/>
      <c r="F385" s="7" t="n"/>
      <c r="G385" s="7" t="n"/>
      <c r="H385" s="8" t="n"/>
      <c r="I385" s="7" t="n"/>
      <c r="J385" s="9">
        <f>IFERROR(E385/G385,0)</f>
        <v/>
      </c>
      <c r="K385" s="10">
        <f>IFERROR(E385/F385,0)</f>
        <v/>
      </c>
      <c r="L385" s="10">
        <f>J385*H385</f>
        <v/>
      </c>
      <c r="M385" s="11">
        <f>K385-L385</f>
        <v/>
      </c>
      <c r="N385" s="12">
        <f>K385*I385</f>
        <v/>
      </c>
      <c r="O385" s="13">
        <f>IFERROR(N385/E385,0)</f>
        <v/>
      </c>
    </row>
    <row r="386">
      <c r="A386" s="4" t="n"/>
      <c r="B386" s="5" t="n"/>
      <c r="C386" s="5" t="n"/>
      <c r="D386" s="6" t="n"/>
      <c r="E386" s="7" t="n"/>
      <c r="F386" s="7" t="n"/>
      <c r="G386" s="7" t="n"/>
      <c r="H386" s="8" t="n"/>
      <c r="I386" s="7" t="n"/>
      <c r="J386" s="9">
        <f>IFERROR(E386/G386,0)</f>
        <v/>
      </c>
      <c r="K386" s="10">
        <f>IFERROR(E386/F386,0)</f>
        <v/>
      </c>
      <c r="L386" s="10">
        <f>J386*H386</f>
        <v/>
      </c>
      <c r="M386" s="11">
        <f>K386-L386</f>
        <v/>
      </c>
      <c r="N386" s="12">
        <f>K386*I386</f>
        <v/>
      </c>
      <c r="O386" s="13">
        <f>IFERROR(N386/E386,0)</f>
        <v/>
      </c>
    </row>
    <row r="387">
      <c r="A387" s="4" t="n"/>
      <c r="B387" s="5" t="n"/>
      <c r="C387" s="5" t="n"/>
      <c r="D387" s="6" t="n"/>
      <c r="E387" s="7" t="n"/>
      <c r="F387" s="7" t="n"/>
      <c r="G387" s="7" t="n"/>
      <c r="H387" s="8" t="n"/>
      <c r="I387" s="7" t="n"/>
      <c r="J387" s="9">
        <f>IFERROR(E387/G387,0)</f>
        <v/>
      </c>
      <c r="K387" s="10">
        <f>IFERROR(E387/F387,0)</f>
        <v/>
      </c>
      <c r="L387" s="10">
        <f>J387*H387</f>
        <v/>
      </c>
      <c r="M387" s="11">
        <f>K387-L387</f>
        <v/>
      </c>
      <c r="N387" s="12">
        <f>K387*I387</f>
        <v/>
      </c>
      <c r="O387" s="13">
        <f>IFERROR(N387/E387,0)</f>
        <v/>
      </c>
    </row>
    <row r="388">
      <c r="A388" s="4" t="n"/>
      <c r="B388" s="5" t="n"/>
      <c r="C388" s="5" t="n"/>
      <c r="D388" s="6" t="n"/>
      <c r="E388" s="7" t="n"/>
      <c r="F388" s="7" t="n"/>
      <c r="G388" s="7" t="n"/>
      <c r="H388" s="8" t="n"/>
      <c r="I388" s="7" t="n"/>
      <c r="J388" s="9">
        <f>IFERROR(E388/G388,0)</f>
        <v/>
      </c>
      <c r="K388" s="10">
        <f>IFERROR(E388/F388,0)</f>
        <v/>
      </c>
      <c r="L388" s="10">
        <f>J388*H388</f>
        <v/>
      </c>
      <c r="M388" s="11">
        <f>K388-L388</f>
        <v/>
      </c>
      <c r="N388" s="12">
        <f>K388*I388</f>
        <v/>
      </c>
      <c r="O388" s="13">
        <f>IFERROR(N388/E388,0)</f>
        <v/>
      </c>
    </row>
    <row r="389">
      <c r="A389" s="4" t="n"/>
      <c r="B389" s="5" t="n"/>
      <c r="C389" s="5" t="n"/>
      <c r="D389" s="6" t="n"/>
      <c r="E389" s="7" t="n"/>
      <c r="F389" s="7" t="n"/>
      <c r="G389" s="7" t="n"/>
      <c r="H389" s="8" t="n"/>
      <c r="I389" s="7" t="n"/>
      <c r="J389" s="9">
        <f>IFERROR(E389/G389,0)</f>
        <v/>
      </c>
      <c r="K389" s="10">
        <f>IFERROR(E389/F389,0)</f>
        <v/>
      </c>
      <c r="L389" s="10">
        <f>J389*H389</f>
        <v/>
      </c>
      <c r="M389" s="11">
        <f>K389-L389</f>
        <v/>
      </c>
      <c r="N389" s="12">
        <f>K389*I389</f>
        <v/>
      </c>
      <c r="O389" s="13">
        <f>IFERROR(N389/E389,0)</f>
        <v/>
      </c>
    </row>
    <row r="390">
      <c r="A390" s="4" t="n"/>
      <c r="B390" s="5" t="n"/>
      <c r="C390" s="5" t="n"/>
      <c r="D390" s="6" t="n"/>
      <c r="E390" s="7" t="n"/>
      <c r="F390" s="7" t="n"/>
      <c r="G390" s="7" t="n"/>
      <c r="H390" s="8" t="n"/>
      <c r="I390" s="7" t="n"/>
      <c r="J390" s="9">
        <f>IFERROR(E390/G390,0)</f>
        <v/>
      </c>
      <c r="K390" s="10">
        <f>IFERROR(E390/F390,0)</f>
        <v/>
      </c>
      <c r="L390" s="10">
        <f>J390*H390</f>
        <v/>
      </c>
      <c r="M390" s="11">
        <f>K390-L390</f>
        <v/>
      </c>
      <c r="N390" s="12">
        <f>K390*I390</f>
        <v/>
      </c>
      <c r="O390" s="13">
        <f>IFERROR(N390/E390,0)</f>
        <v/>
      </c>
    </row>
    <row r="391">
      <c r="A391" s="4" t="n"/>
      <c r="B391" s="5" t="n"/>
      <c r="C391" s="5" t="n"/>
      <c r="D391" s="6" t="n"/>
      <c r="E391" s="7" t="n"/>
      <c r="F391" s="7" t="n"/>
      <c r="G391" s="7" t="n"/>
      <c r="H391" s="8" t="n"/>
      <c r="I391" s="7" t="n"/>
      <c r="J391" s="9">
        <f>IFERROR(E391/G391,0)</f>
        <v/>
      </c>
      <c r="K391" s="10">
        <f>IFERROR(E391/F391,0)</f>
        <v/>
      </c>
      <c r="L391" s="10">
        <f>J391*H391</f>
        <v/>
      </c>
      <c r="M391" s="11">
        <f>K391-L391</f>
        <v/>
      </c>
      <c r="N391" s="12">
        <f>K391*I391</f>
        <v/>
      </c>
      <c r="O391" s="13">
        <f>IFERROR(N391/E391,0)</f>
        <v/>
      </c>
    </row>
    <row r="392">
      <c r="A392" s="4" t="n"/>
      <c r="B392" s="5" t="n"/>
      <c r="C392" s="5" t="n"/>
      <c r="D392" s="6" t="n"/>
      <c r="E392" s="7" t="n"/>
      <c r="F392" s="7" t="n"/>
      <c r="G392" s="7" t="n"/>
      <c r="H392" s="8" t="n"/>
      <c r="I392" s="7" t="n"/>
      <c r="J392" s="9">
        <f>IFERROR(E392/G392,0)</f>
        <v/>
      </c>
      <c r="K392" s="10">
        <f>IFERROR(E392/F392,0)</f>
        <v/>
      </c>
      <c r="L392" s="10">
        <f>J392*H392</f>
        <v/>
      </c>
      <c r="M392" s="11">
        <f>K392-L392</f>
        <v/>
      </c>
      <c r="N392" s="12">
        <f>K392*I392</f>
        <v/>
      </c>
      <c r="O392" s="13">
        <f>IFERROR(N392/E392,0)</f>
        <v/>
      </c>
    </row>
    <row r="393">
      <c r="A393" s="4" t="n"/>
      <c r="B393" s="5" t="n"/>
      <c r="C393" s="5" t="n"/>
      <c r="D393" s="6" t="n"/>
      <c r="E393" s="7" t="n"/>
      <c r="F393" s="7" t="n"/>
      <c r="G393" s="7" t="n"/>
      <c r="H393" s="8" t="n"/>
      <c r="I393" s="7" t="n"/>
      <c r="J393" s="9">
        <f>IFERROR(E393/G393,0)</f>
        <v/>
      </c>
      <c r="K393" s="10">
        <f>IFERROR(E393/F393,0)</f>
        <v/>
      </c>
      <c r="L393" s="10">
        <f>J393*H393</f>
        <v/>
      </c>
      <c r="M393" s="11">
        <f>K393-L393</f>
        <v/>
      </c>
      <c r="N393" s="12">
        <f>K393*I393</f>
        <v/>
      </c>
      <c r="O393" s="13">
        <f>IFERROR(N393/E393,0)</f>
        <v/>
      </c>
    </row>
    <row r="394">
      <c r="A394" s="4" t="n"/>
      <c r="B394" s="5" t="n"/>
      <c r="C394" s="5" t="n"/>
      <c r="D394" s="6" t="n"/>
      <c r="E394" s="7" t="n"/>
      <c r="F394" s="7" t="n"/>
      <c r="G394" s="7" t="n"/>
      <c r="H394" s="8" t="n"/>
      <c r="I394" s="7" t="n"/>
      <c r="J394" s="9">
        <f>IFERROR(E394/G394,0)</f>
        <v/>
      </c>
      <c r="K394" s="10">
        <f>IFERROR(E394/F394,0)</f>
        <v/>
      </c>
      <c r="L394" s="10">
        <f>J394*H394</f>
        <v/>
      </c>
      <c r="M394" s="11">
        <f>K394-L394</f>
        <v/>
      </c>
      <c r="N394" s="12">
        <f>K394*I394</f>
        <v/>
      </c>
      <c r="O394" s="13">
        <f>IFERROR(N394/E394,0)</f>
        <v/>
      </c>
    </row>
    <row r="395">
      <c r="A395" s="4" t="n"/>
      <c r="B395" s="5" t="n"/>
      <c r="C395" s="5" t="n"/>
      <c r="D395" s="6" t="n"/>
      <c r="E395" s="7" t="n"/>
      <c r="F395" s="7" t="n"/>
      <c r="G395" s="7" t="n"/>
      <c r="H395" s="8" t="n"/>
      <c r="I395" s="7" t="n"/>
      <c r="J395" s="9">
        <f>IFERROR(E395/G395,0)</f>
        <v/>
      </c>
      <c r="K395" s="10">
        <f>IFERROR(E395/F395,0)</f>
        <v/>
      </c>
      <c r="L395" s="10">
        <f>J395*H395</f>
        <v/>
      </c>
      <c r="M395" s="11">
        <f>K395-L395</f>
        <v/>
      </c>
      <c r="N395" s="12">
        <f>K395*I395</f>
        <v/>
      </c>
      <c r="O395" s="13">
        <f>IFERROR(N395/E395,0)</f>
        <v/>
      </c>
    </row>
    <row r="396">
      <c r="A396" s="4" t="n"/>
      <c r="B396" s="5" t="n"/>
      <c r="C396" s="5" t="n"/>
      <c r="D396" s="6" t="n"/>
      <c r="E396" s="7" t="n"/>
      <c r="F396" s="7" t="n"/>
      <c r="G396" s="7" t="n"/>
      <c r="H396" s="8" t="n"/>
      <c r="I396" s="7" t="n"/>
      <c r="J396" s="9">
        <f>IFERROR(E396/G396,0)</f>
        <v/>
      </c>
      <c r="K396" s="10">
        <f>IFERROR(E396/F396,0)</f>
        <v/>
      </c>
      <c r="L396" s="10">
        <f>J396*H396</f>
        <v/>
      </c>
      <c r="M396" s="11">
        <f>K396-L396</f>
        <v/>
      </c>
      <c r="N396" s="12">
        <f>K396*I396</f>
        <v/>
      </c>
      <c r="O396" s="13">
        <f>IFERROR(N396/E396,0)</f>
        <v/>
      </c>
    </row>
    <row r="397">
      <c r="A397" s="4" t="n"/>
      <c r="B397" s="5" t="n"/>
      <c r="C397" s="5" t="n"/>
      <c r="D397" s="6" t="n"/>
      <c r="E397" s="7" t="n"/>
      <c r="F397" s="7" t="n"/>
      <c r="G397" s="7" t="n"/>
      <c r="H397" s="8" t="n"/>
      <c r="I397" s="7" t="n"/>
      <c r="J397" s="9">
        <f>IFERROR(E397/G397,0)</f>
        <v/>
      </c>
      <c r="K397" s="10">
        <f>IFERROR(E397/F397,0)</f>
        <v/>
      </c>
      <c r="L397" s="10">
        <f>J397*H397</f>
        <v/>
      </c>
      <c r="M397" s="11">
        <f>K397-L397</f>
        <v/>
      </c>
      <c r="N397" s="12">
        <f>K397*I397</f>
        <v/>
      </c>
      <c r="O397" s="13">
        <f>IFERROR(N397/E397,0)</f>
        <v/>
      </c>
    </row>
    <row r="398">
      <c r="A398" s="4" t="n"/>
      <c r="B398" s="5" t="n"/>
      <c r="C398" s="5" t="n"/>
      <c r="D398" s="6" t="n"/>
      <c r="E398" s="7" t="n"/>
      <c r="F398" s="7" t="n"/>
      <c r="G398" s="7" t="n"/>
      <c r="H398" s="8" t="n"/>
      <c r="I398" s="7" t="n"/>
      <c r="J398" s="9">
        <f>IFERROR(E398/G398,0)</f>
        <v/>
      </c>
      <c r="K398" s="10">
        <f>IFERROR(E398/F398,0)</f>
        <v/>
      </c>
      <c r="L398" s="10">
        <f>J398*H398</f>
        <v/>
      </c>
      <c r="M398" s="11">
        <f>K398-L398</f>
        <v/>
      </c>
      <c r="N398" s="12">
        <f>K398*I398</f>
        <v/>
      </c>
      <c r="O398" s="13">
        <f>IFERROR(N398/E398,0)</f>
        <v/>
      </c>
    </row>
    <row r="399">
      <c r="A399" s="4" t="n"/>
      <c r="B399" s="5" t="n"/>
      <c r="C399" s="5" t="n"/>
      <c r="D399" s="6" t="n"/>
      <c r="E399" s="7" t="n"/>
      <c r="F399" s="7" t="n"/>
      <c r="G399" s="7" t="n"/>
      <c r="H399" s="8" t="n"/>
      <c r="I399" s="7" t="n"/>
      <c r="J399" s="9">
        <f>IFERROR(E399/G399,0)</f>
        <v/>
      </c>
      <c r="K399" s="10">
        <f>IFERROR(E399/F399,0)</f>
        <v/>
      </c>
      <c r="L399" s="10">
        <f>J399*H399</f>
        <v/>
      </c>
      <c r="M399" s="11">
        <f>K399-L399</f>
        <v/>
      </c>
      <c r="N399" s="12">
        <f>K399*I399</f>
        <v/>
      </c>
      <c r="O399" s="13">
        <f>IFERROR(N399/E399,0)</f>
        <v/>
      </c>
    </row>
    <row r="400">
      <c r="A400" s="4" t="n"/>
      <c r="B400" s="5" t="n"/>
      <c r="C400" s="5" t="n"/>
      <c r="D400" s="6" t="n"/>
      <c r="E400" s="7" t="n"/>
      <c r="F400" s="7" t="n"/>
      <c r="G400" s="7" t="n"/>
      <c r="H400" s="8" t="n"/>
      <c r="I400" s="7" t="n"/>
      <c r="J400" s="9">
        <f>IFERROR(E400/G400,0)</f>
        <v/>
      </c>
      <c r="K400" s="10">
        <f>IFERROR(E400/F400,0)</f>
        <v/>
      </c>
      <c r="L400" s="10">
        <f>J400*H400</f>
        <v/>
      </c>
      <c r="M400" s="11">
        <f>K400-L400</f>
        <v/>
      </c>
      <c r="N400" s="12">
        <f>K400*I400</f>
        <v/>
      </c>
      <c r="O400" s="13">
        <f>IFERROR(N400/E400,0)</f>
        <v/>
      </c>
    </row>
    <row r="401">
      <c r="A401" s="4" t="n"/>
      <c r="B401" s="5" t="n"/>
      <c r="C401" s="5" t="n"/>
      <c r="D401" s="6" t="n"/>
      <c r="E401" s="7" t="n"/>
      <c r="F401" s="7" t="n"/>
      <c r="G401" s="7" t="n"/>
      <c r="H401" s="8" t="n"/>
      <c r="I401" s="7" t="n"/>
      <c r="J401" s="9">
        <f>IFERROR(E401/G401,0)</f>
        <v/>
      </c>
      <c r="K401" s="10">
        <f>IFERROR(E401/F401,0)</f>
        <v/>
      </c>
      <c r="L401" s="10">
        <f>J401*H401</f>
        <v/>
      </c>
      <c r="M401" s="11">
        <f>K401-L401</f>
        <v/>
      </c>
      <c r="N401" s="12">
        <f>K401*I401</f>
        <v/>
      </c>
      <c r="O401" s="13">
        <f>IFERROR(N401/E401,0)</f>
        <v/>
      </c>
    </row>
    <row r="402">
      <c r="A402" s="4" t="n"/>
      <c r="B402" s="5" t="n"/>
      <c r="C402" s="5" t="n"/>
      <c r="D402" s="6" t="n"/>
      <c r="E402" s="7" t="n"/>
      <c r="F402" s="7" t="n"/>
      <c r="G402" s="7" t="n"/>
      <c r="H402" s="8" t="n"/>
      <c r="I402" s="7" t="n"/>
      <c r="J402" s="9">
        <f>IFERROR(E402/G402,0)</f>
        <v/>
      </c>
      <c r="K402" s="10">
        <f>IFERROR(E402/F402,0)</f>
        <v/>
      </c>
      <c r="L402" s="10">
        <f>J402*H402</f>
        <v/>
      </c>
      <c r="M402" s="11">
        <f>K402-L402</f>
        <v/>
      </c>
      <c r="N402" s="12">
        <f>K402*I402</f>
        <v/>
      </c>
      <c r="O402" s="13">
        <f>IFERROR(N402/E402,0)</f>
        <v/>
      </c>
    </row>
    <row r="403">
      <c r="A403" s="4" t="n"/>
      <c r="B403" s="5" t="n"/>
      <c r="C403" s="5" t="n"/>
      <c r="D403" s="6" t="n"/>
      <c r="E403" s="7" t="n"/>
      <c r="F403" s="7" t="n"/>
      <c r="G403" s="7" t="n"/>
      <c r="H403" s="8" t="n"/>
      <c r="I403" s="7" t="n"/>
      <c r="J403" s="9">
        <f>IFERROR(E403/G403,0)</f>
        <v/>
      </c>
      <c r="K403" s="10">
        <f>IFERROR(E403/F403,0)</f>
        <v/>
      </c>
      <c r="L403" s="10">
        <f>J403*H403</f>
        <v/>
      </c>
      <c r="M403" s="11">
        <f>K403-L403</f>
        <v/>
      </c>
      <c r="N403" s="12">
        <f>K403*I403</f>
        <v/>
      </c>
      <c r="O403" s="13">
        <f>IFERROR(N403/E403,0)</f>
        <v/>
      </c>
    </row>
  </sheetData>
  <mergeCells count="2">
    <mergeCell ref="A1:O1"/>
    <mergeCell ref="A2:O2"/>
  </mergeCells>
  <dataValidations count="3">
    <dataValidation sqref="B4:B403" showDropDown="0" showInputMessage="0" showErrorMessage="0" allowBlank="1" type="list">
      <formula1>"メタアカウント,ハンディファンアカウント,ツヤリスアカウント"</formula1>
    </dataValidation>
    <dataValidation sqref="C4:C403" showDropDown="0" showInputMessage="0" showErrorMessage="0" allowBlank="1" type="list">
      <formula1>"スーツケース（トラベル）,スーツケース（カタログ）,ガジェティ,ツヤリス"</formula1>
    </dataValidation>
    <dataValidation sqref="D4:D403" showDropDown="0" showInputMessage="0" showErrorMessage="0" allowBlank="1" type="list">
      <formula1>"Amazon,楽天,自社サイト"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5" customWidth="1" min="5" max="5"/>
    <col width="9" customWidth="1" min="6" max="6"/>
    <col width="16" customWidth="1" min="7" max="7"/>
  </cols>
  <sheetData>
    <row r="1">
      <c r="A1" s="1" t="inlineStr">
        <is>
          <t>日別サマリー（月次トレンド）</t>
        </is>
      </c>
    </row>
    <row r="2">
      <c r="A2" s="14" t="inlineStr">
        <is>
          <t>対象年月（1日を入力）</t>
        </is>
      </c>
      <c r="B2" s="15" t="n">
        <v>46204</v>
      </c>
      <c r="C2" s="2" t="inlineStr">
        <is>
          <t>↑ この月の1日を入力（例 2026/7/1）</t>
        </is>
      </c>
    </row>
    <row r="4">
      <c r="A4" s="3" t="inlineStr">
        <is>
          <t>日付</t>
        </is>
      </c>
      <c r="B4" s="3" t="inlineStr">
        <is>
          <t>広告費</t>
        </is>
      </c>
      <c r="C4" s="3" t="inlineStr">
        <is>
          <t>予想アクセス数</t>
        </is>
      </c>
      <c r="D4" s="3" t="inlineStr">
        <is>
          <t>予想獲得数</t>
        </is>
      </c>
      <c r="E4" s="3" t="inlineStr">
        <is>
          <t>予想売上</t>
        </is>
      </c>
      <c r="F4" s="3" t="inlineStr">
        <is>
          <t>ROAS</t>
        </is>
      </c>
      <c r="G4" s="3" t="inlineStr">
        <is>
          <t>月累計売上</t>
        </is>
      </c>
    </row>
    <row r="5">
      <c r="A5" s="4">
        <f>$B$2+0</f>
        <v/>
      </c>
      <c r="B5" s="12">
        <f>SUMIFS('日次入力'!$E$4:$E$403,'日次入力'!$A$4:$A$403,$A5)</f>
        <v/>
      </c>
      <c r="C5" s="9">
        <f>SUMIFS('日次入力'!$J$4:$J$403,'日次入力'!$A$4:$A$403,$A5)</f>
        <v/>
      </c>
      <c r="D5" s="10">
        <f>SUMIFS('日次入力'!$K$4:$K$403,'日次入力'!$A$4:$A$403,$A5)</f>
        <v/>
      </c>
      <c r="E5" s="12">
        <f>SUMIFS('日次入力'!$N$4:$N$403,'日次入力'!$A$4:$A$403,$A5)</f>
        <v/>
      </c>
      <c r="F5" s="13">
        <f>IFERROR(E5/B5,0)</f>
        <v/>
      </c>
      <c r="G5" s="12">
        <f>SUM($E$5:$E5)</f>
        <v/>
      </c>
    </row>
    <row r="6">
      <c r="A6" s="4">
        <f>$B$2+1</f>
        <v/>
      </c>
      <c r="B6" s="12">
        <f>SUMIFS('日次入力'!$E$4:$E$403,'日次入力'!$A$4:$A$403,$A6)</f>
        <v/>
      </c>
      <c r="C6" s="9">
        <f>SUMIFS('日次入力'!$J$4:$J$403,'日次入力'!$A$4:$A$403,$A6)</f>
        <v/>
      </c>
      <c r="D6" s="10">
        <f>SUMIFS('日次入力'!$K$4:$K$403,'日次入力'!$A$4:$A$403,$A6)</f>
        <v/>
      </c>
      <c r="E6" s="12">
        <f>SUMIFS('日次入力'!$N$4:$N$403,'日次入力'!$A$4:$A$403,$A6)</f>
        <v/>
      </c>
      <c r="F6" s="13">
        <f>IFERROR(E6/B6,0)</f>
        <v/>
      </c>
      <c r="G6" s="12">
        <f>SUM($E$5:$E6)</f>
        <v/>
      </c>
    </row>
    <row r="7">
      <c r="A7" s="4">
        <f>$B$2+2</f>
        <v/>
      </c>
      <c r="B7" s="12">
        <f>SUMIFS('日次入力'!$E$4:$E$403,'日次入力'!$A$4:$A$403,$A7)</f>
        <v/>
      </c>
      <c r="C7" s="9">
        <f>SUMIFS('日次入力'!$J$4:$J$403,'日次入力'!$A$4:$A$403,$A7)</f>
        <v/>
      </c>
      <c r="D7" s="10">
        <f>SUMIFS('日次入力'!$K$4:$K$403,'日次入力'!$A$4:$A$403,$A7)</f>
        <v/>
      </c>
      <c r="E7" s="12">
        <f>SUMIFS('日次入力'!$N$4:$N$403,'日次入力'!$A$4:$A$403,$A7)</f>
        <v/>
      </c>
      <c r="F7" s="13">
        <f>IFERROR(E7/B7,0)</f>
        <v/>
      </c>
      <c r="G7" s="12">
        <f>SUM($E$5:$E7)</f>
        <v/>
      </c>
    </row>
    <row r="8">
      <c r="A8" s="4">
        <f>$B$2+3</f>
        <v/>
      </c>
      <c r="B8" s="12">
        <f>SUMIFS('日次入力'!$E$4:$E$403,'日次入力'!$A$4:$A$403,$A8)</f>
        <v/>
      </c>
      <c r="C8" s="9">
        <f>SUMIFS('日次入力'!$J$4:$J$403,'日次入力'!$A$4:$A$403,$A8)</f>
        <v/>
      </c>
      <c r="D8" s="10">
        <f>SUMIFS('日次入力'!$K$4:$K$403,'日次入力'!$A$4:$A$403,$A8)</f>
        <v/>
      </c>
      <c r="E8" s="12">
        <f>SUMIFS('日次入力'!$N$4:$N$403,'日次入力'!$A$4:$A$403,$A8)</f>
        <v/>
      </c>
      <c r="F8" s="13">
        <f>IFERROR(E8/B8,0)</f>
        <v/>
      </c>
      <c r="G8" s="12">
        <f>SUM($E$5:$E8)</f>
        <v/>
      </c>
    </row>
    <row r="9">
      <c r="A9" s="4">
        <f>$B$2+4</f>
        <v/>
      </c>
      <c r="B9" s="12">
        <f>SUMIFS('日次入力'!$E$4:$E$403,'日次入力'!$A$4:$A$403,$A9)</f>
        <v/>
      </c>
      <c r="C9" s="9">
        <f>SUMIFS('日次入力'!$J$4:$J$403,'日次入力'!$A$4:$A$403,$A9)</f>
        <v/>
      </c>
      <c r="D9" s="10">
        <f>SUMIFS('日次入力'!$K$4:$K$403,'日次入力'!$A$4:$A$403,$A9)</f>
        <v/>
      </c>
      <c r="E9" s="12">
        <f>SUMIFS('日次入力'!$N$4:$N$403,'日次入力'!$A$4:$A$403,$A9)</f>
        <v/>
      </c>
      <c r="F9" s="13">
        <f>IFERROR(E9/B9,0)</f>
        <v/>
      </c>
      <c r="G9" s="12">
        <f>SUM($E$5:$E9)</f>
        <v/>
      </c>
    </row>
    <row r="10">
      <c r="A10" s="4">
        <f>$B$2+5</f>
        <v/>
      </c>
      <c r="B10" s="12">
        <f>SUMIFS('日次入力'!$E$4:$E$403,'日次入力'!$A$4:$A$403,$A10)</f>
        <v/>
      </c>
      <c r="C10" s="9">
        <f>SUMIFS('日次入力'!$J$4:$J$403,'日次入力'!$A$4:$A$403,$A10)</f>
        <v/>
      </c>
      <c r="D10" s="10">
        <f>SUMIFS('日次入力'!$K$4:$K$403,'日次入力'!$A$4:$A$403,$A10)</f>
        <v/>
      </c>
      <c r="E10" s="12">
        <f>SUMIFS('日次入力'!$N$4:$N$403,'日次入力'!$A$4:$A$403,$A10)</f>
        <v/>
      </c>
      <c r="F10" s="13">
        <f>IFERROR(E10/B10,0)</f>
        <v/>
      </c>
      <c r="G10" s="12">
        <f>SUM($E$5:$E10)</f>
        <v/>
      </c>
    </row>
    <row r="11">
      <c r="A11" s="4">
        <f>$B$2+6</f>
        <v/>
      </c>
      <c r="B11" s="12">
        <f>SUMIFS('日次入力'!$E$4:$E$403,'日次入力'!$A$4:$A$403,$A11)</f>
        <v/>
      </c>
      <c r="C11" s="9">
        <f>SUMIFS('日次入力'!$J$4:$J$403,'日次入力'!$A$4:$A$403,$A11)</f>
        <v/>
      </c>
      <c r="D11" s="10">
        <f>SUMIFS('日次入力'!$K$4:$K$403,'日次入力'!$A$4:$A$403,$A11)</f>
        <v/>
      </c>
      <c r="E11" s="12">
        <f>SUMIFS('日次入力'!$N$4:$N$403,'日次入力'!$A$4:$A$403,$A11)</f>
        <v/>
      </c>
      <c r="F11" s="13">
        <f>IFERROR(E11/B11,0)</f>
        <v/>
      </c>
      <c r="G11" s="12">
        <f>SUM($E$5:$E11)</f>
        <v/>
      </c>
    </row>
    <row r="12">
      <c r="A12" s="4">
        <f>$B$2+7</f>
        <v/>
      </c>
      <c r="B12" s="12">
        <f>SUMIFS('日次入力'!$E$4:$E$403,'日次入力'!$A$4:$A$403,$A12)</f>
        <v/>
      </c>
      <c r="C12" s="9">
        <f>SUMIFS('日次入力'!$J$4:$J$403,'日次入力'!$A$4:$A$403,$A12)</f>
        <v/>
      </c>
      <c r="D12" s="10">
        <f>SUMIFS('日次入力'!$K$4:$K$403,'日次入力'!$A$4:$A$403,$A12)</f>
        <v/>
      </c>
      <c r="E12" s="12">
        <f>SUMIFS('日次入力'!$N$4:$N$403,'日次入力'!$A$4:$A$403,$A12)</f>
        <v/>
      </c>
      <c r="F12" s="13">
        <f>IFERROR(E12/B12,0)</f>
        <v/>
      </c>
      <c r="G12" s="12">
        <f>SUM($E$5:$E12)</f>
        <v/>
      </c>
    </row>
    <row r="13">
      <c r="A13" s="4">
        <f>$B$2+8</f>
        <v/>
      </c>
      <c r="B13" s="12">
        <f>SUMIFS('日次入力'!$E$4:$E$403,'日次入力'!$A$4:$A$403,$A13)</f>
        <v/>
      </c>
      <c r="C13" s="9">
        <f>SUMIFS('日次入力'!$J$4:$J$403,'日次入力'!$A$4:$A$403,$A13)</f>
        <v/>
      </c>
      <c r="D13" s="10">
        <f>SUMIFS('日次入力'!$K$4:$K$403,'日次入力'!$A$4:$A$403,$A13)</f>
        <v/>
      </c>
      <c r="E13" s="12">
        <f>SUMIFS('日次入力'!$N$4:$N$403,'日次入力'!$A$4:$A$403,$A13)</f>
        <v/>
      </c>
      <c r="F13" s="13">
        <f>IFERROR(E13/B13,0)</f>
        <v/>
      </c>
      <c r="G13" s="12">
        <f>SUM($E$5:$E13)</f>
        <v/>
      </c>
    </row>
    <row r="14">
      <c r="A14" s="4">
        <f>$B$2+9</f>
        <v/>
      </c>
      <c r="B14" s="12">
        <f>SUMIFS('日次入力'!$E$4:$E$403,'日次入力'!$A$4:$A$403,$A14)</f>
        <v/>
      </c>
      <c r="C14" s="9">
        <f>SUMIFS('日次入力'!$J$4:$J$403,'日次入力'!$A$4:$A$403,$A14)</f>
        <v/>
      </c>
      <c r="D14" s="10">
        <f>SUMIFS('日次入力'!$K$4:$K$403,'日次入力'!$A$4:$A$403,$A14)</f>
        <v/>
      </c>
      <c r="E14" s="12">
        <f>SUMIFS('日次入力'!$N$4:$N$403,'日次入力'!$A$4:$A$403,$A14)</f>
        <v/>
      </c>
      <c r="F14" s="13">
        <f>IFERROR(E14/B14,0)</f>
        <v/>
      </c>
      <c r="G14" s="12">
        <f>SUM($E$5:$E14)</f>
        <v/>
      </c>
    </row>
    <row r="15">
      <c r="A15" s="4">
        <f>$B$2+10</f>
        <v/>
      </c>
      <c r="B15" s="12">
        <f>SUMIFS('日次入力'!$E$4:$E$403,'日次入力'!$A$4:$A$403,$A15)</f>
        <v/>
      </c>
      <c r="C15" s="9">
        <f>SUMIFS('日次入力'!$J$4:$J$403,'日次入力'!$A$4:$A$403,$A15)</f>
        <v/>
      </c>
      <c r="D15" s="10">
        <f>SUMIFS('日次入力'!$K$4:$K$403,'日次入力'!$A$4:$A$403,$A15)</f>
        <v/>
      </c>
      <c r="E15" s="12">
        <f>SUMIFS('日次入力'!$N$4:$N$403,'日次入力'!$A$4:$A$403,$A15)</f>
        <v/>
      </c>
      <c r="F15" s="13">
        <f>IFERROR(E15/B15,0)</f>
        <v/>
      </c>
      <c r="G15" s="12">
        <f>SUM($E$5:$E15)</f>
        <v/>
      </c>
    </row>
    <row r="16">
      <c r="A16" s="4">
        <f>$B$2+11</f>
        <v/>
      </c>
      <c r="B16" s="12">
        <f>SUMIFS('日次入力'!$E$4:$E$403,'日次入力'!$A$4:$A$403,$A16)</f>
        <v/>
      </c>
      <c r="C16" s="9">
        <f>SUMIFS('日次入力'!$J$4:$J$403,'日次入力'!$A$4:$A$403,$A16)</f>
        <v/>
      </c>
      <c r="D16" s="10">
        <f>SUMIFS('日次入力'!$K$4:$K$403,'日次入力'!$A$4:$A$403,$A16)</f>
        <v/>
      </c>
      <c r="E16" s="12">
        <f>SUMIFS('日次入力'!$N$4:$N$403,'日次入力'!$A$4:$A$403,$A16)</f>
        <v/>
      </c>
      <c r="F16" s="13">
        <f>IFERROR(E16/B16,0)</f>
        <v/>
      </c>
      <c r="G16" s="12">
        <f>SUM($E$5:$E16)</f>
        <v/>
      </c>
    </row>
    <row r="17">
      <c r="A17" s="4">
        <f>$B$2+12</f>
        <v/>
      </c>
      <c r="B17" s="12">
        <f>SUMIFS('日次入力'!$E$4:$E$403,'日次入力'!$A$4:$A$403,$A17)</f>
        <v/>
      </c>
      <c r="C17" s="9">
        <f>SUMIFS('日次入力'!$J$4:$J$403,'日次入力'!$A$4:$A$403,$A17)</f>
        <v/>
      </c>
      <c r="D17" s="10">
        <f>SUMIFS('日次入力'!$K$4:$K$403,'日次入力'!$A$4:$A$403,$A17)</f>
        <v/>
      </c>
      <c r="E17" s="12">
        <f>SUMIFS('日次入力'!$N$4:$N$403,'日次入力'!$A$4:$A$403,$A17)</f>
        <v/>
      </c>
      <c r="F17" s="13">
        <f>IFERROR(E17/B17,0)</f>
        <v/>
      </c>
      <c r="G17" s="12">
        <f>SUM($E$5:$E17)</f>
        <v/>
      </c>
    </row>
    <row r="18">
      <c r="A18" s="4">
        <f>$B$2+13</f>
        <v/>
      </c>
      <c r="B18" s="12">
        <f>SUMIFS('日次入力'!$E$4:$E$403,'日次入力'!$A$4:$A$403,$A18)</f>
        <v/>
      </c>
      <c r="C18" s="9">
        <f>SUMIFS('日次入力'!$J$4:$J$403,'日次入力'!$A$4:$A$403,$A18)</f>
        <v/>
      </c>
      <c r="D18" s="10">
        <f>SUMIFS('日次入力'!$K$4:$K$403,'日次入力'!$A$4:$A$403,$A18)</f>
        <v/>
      </c>
      <c r="E18" s="12">
        <f>SUMIFS('日次入力'!$N$4:$N$403,'日次入力'!$A$4:$A$403,$A18)</f>
        <v/>
      </c>
      <c r="F18" s="13">
        <f>IFERROR(E18/B18,0)</f>
        <v/>
      </c>
      <c r="G18" s="12">
        <f>SUM($E$5:$E18)</f>
        <v/>
      </c>
    </row>
    <row r="19">
      <c r="A19" s="4">
        <f>$B$2+14</f>
        <v/>
      </c>
      <c r="B19" s="12">
        <f>SUMIFS('日次入力'!$E$4:$E$403,'日次入力'!$A$4:$A$403,$A19)</f>
        <v/>
      </c>
      <c r="C19" s="9">
        <f>SUMIFS('日次入力'!$J$4:$J$403,'日次入力'!$A$4:$A$403,$A19)</f>
        <v/>
      </c>
      <c r="D19" s="10">
        <f>SUMIFS('日次入力'!$K$4:$K$403,'日次入力'!$A$4:$A$403,$A19)</f>
        <v/>
      </c>
      <c r="E19" s="12">
        <f>SUMIFS('日次入力'!$N$4:$N$403,'日次入力'!$A$4:$A$403,$A19)</f>
        <v/>
      </c>
      <c r="F19" s="13">
        <f>IFERROR(E19/B19,0)</f>
        <v/>
      </c>
      <c r="G19" s="12">
        <f>SUM($E$5:$E19)</f>
        <v/>
      </c>
    </row>
    <row r="20">
      <c r="A20" s="4">
        <f>$B$2+15</f>
        <v/>
      </c>
      <c r="B20" s="12">
        <f>SUMIFS('日次入力'!$E$4:$E$403,'日次入力'!$A$4:$A$403,$A20)</f>
        <v/>
      </c>
      <c r="C20" s="9">
        <f>SUMIFS('日次入力'!$J$4:$J$403,'日次入力'!$A$4:$A$403,$A20)</f>
        <v/>
      </c>
      <c r="D20" s="10">
        <f>SUMIFS('日次入力'!$K$4:$K$403,'日次入力'!$A$4:$A$403,$A20)</f>
        <v/>
      </c>
      <c r="E20" s="12">
        <f>SUMIFS('日次入力'!$N$4:$N$403,'日次入力'!$A$4:$A$403,$A20)</f>
        <v/>
      </c>
      <c r="F20" s="13">
        <f>IFERROR(E20/B20,0)</f>
        <v/>
      </c>
      <c r="G20" s="12">
        <f>SUM($E$5:$E20)</f>
        <v/>
      </c>
    </row>
    <row r="21">
      <c r="A21" s="4">
        <f>$B$2+16</f>
        <v/>
      </c>
      <c r="B21" s="12">
        <f>SUMIFS('日次入力'!$E$4:$E$403,'日次入力'!$A$4:$A$403,$A21)</f>
        <v/>
      </c>
      <c r="C21" s="9">
        <f>SUMIFS('日次入力'!$J$4:$J$403,'日次入力'!$A$4:$A$403,$A21)</f>
        <v/>
      </c>
      <c r="D21" s="10">
        <f>SUMIFS('日次入力'!$K$4:$K$403,'日次入力'!$A$4:$A$403,$A21)</f>
        <v/>
      </c>
      <c r="E21" s="12">
        <f>SUMIFS('日次入力'!$N$4:$N$403,'日次入力'!$A$4:$A$403,$A21)</f>
        <v/>
      </c>
      <c r="F21" s="13">
        <f>IFERROR(E21/B21,0)</f>
        <v/>
      </c>
      <c r="G21" s="12">
        <f>SUM($E$5:$E21)</f>
        <v/>
      </c>
    </row>
    <row r="22">
      <c r="A22" s="4">
        <f>$B$2+17</f>
        <v/>
      </c>
      <c r="B22" s="12">
        <f>SUMIFS('日次入力'!$E$4:$E$403,'日次入力'!$A$4:$A$403,$A22)</f>
        <v/>
      </c>
      <c r="C22" s="9">
        <f>SUMIFS('日次入力'!$J$4:$J$403,'日次入力'!$A$4:$A$403,$A22)</f>
        <v/>
      </c>
      <c r="D22" s="10">
        <f>SUMIFS('日次入力'!$K$4:$K$403,'日次入力'!$A$4:$A$403,$A22)</f>
        <v/>
      </c>
      <c r="E22" s="12">
        <f>SUMIFS('日次入力'!$N$4:$N$403,'日次入力'!$A$4:$A$403,$A22)</f>
        <v/>
      </c>
      <c r="F22" s="13">
        <f>IFERROR(E22/B22,0)</f>
        <v/>
      </c>
      <c r="G22" s="12">
        <f>SUM($E$5:$E22)</f>
        <v/>
      </c>
    </row>
    <row r="23">
      <c r="A23" s="4">
        <f>$B$2+18</f>
        <v/>
      </c>
      <c r="B23" s="12">
        <f>SUMIFS('日次入力'!$E$4:$E$403,'日次入力'!$A$4:$A$403,$A23)</f>
        <v/>
      </c>
      <c r="C23" s="9">
        <f>SUMIFS('日次入力'!$J$4:$J$403,'日次入力'!$A$4:$A$403,$A23)</f>
        <v/>
      </c>
      <c r="D23" s="10">
        <f>SUMIFS('日次入力'!$K$4:$K$403,'日次入力'!$A$4:$A$403,$A23)</f>
        <v/>
      </c>
      <c r="E23" s="12">
        <f>SUMIFS('日次入力'!$N$4:$N$403,'日次入力'!$A$4:$A$403,$A23)</f>
        <v/>
      </c>
      <c r="F23" s="13">
        <f>IFERROR(E23/B23,0)</f>
        <v/>
      </c>
      <c r="G23" s="12">
        <f>SUM($E$5:$E23)</f>
        <v/>
      </c>
    </row>
    <row r="24">
      <c r="A24" s="4">
        <f>$B$2+19</f>
        <v/>
      </c>
      <c r="B24" s="12">
        <f>SUMIFS('日次入力'!$E$4:$E$403,'日次入力'!$A$4:$A$403,$A24)</f>
        <v/>
      </c>
      <c r="C24" s="9">
        <f>SUMIFS('日次入力'!$J$4:$J$403,'日次入力'!$A$4:$A$403,$A24)</f>
        <v/>
      </c>
      <c r="D24" s="10">
        <f>SUMIFS('日次入力'!$K$4:$K$403,'日次入力'!$A$4:$A$403,$A24)</f>
        <v/>
      </c>
      <c r="E24" s="12">
        <f>SUMIFS('日次入力'!$N$4:$N$403,'日次入力'!$A$4:$A$403,$A24)</f>
        <v/>
      </c>
      <c r="F24" s="13">
        <f>IFERROR(E24/B24,0)</f>
        <v/>
      </c>
      <c r="G24" s="12">
        <f>SUM($E$5:$E24)</f>
        <v/>
      </c>
    </row>
    <row r="25">
      <c r="A25" s="4">
        <f>$B$2+20</f>
        <v/>
      </c>
      <c r="B25" s="12">
        <f>SUMIFS('日次入力'!$E$4:$E$403,'日次入力'!$A$4:$A$403,$A25)</f>
        <v/>
      </c>
      <c r="C25" s="9">
        <f>SUMIFS('日次入力'!$J$4:$J$403,'日次入力'!$A$4:$A$403,$A25)</f>
        <v/>
      </c>
      <c r="D25" s="10">
        <f>SUMIFS('日次入力'!$K$4:$K$403,'日次入力'!$A$4:$A$403,$A25)</f>
        <v/>
      </c>
      <c r="E25" s="12">
        <f>SUMIFS('日次入力'!$N$4:$N$403,'日次入力'!$A$4:$A$403,$A25)</f>
        <v/>
      </c>
      <c r="F25" s="13">
        <f>IFERROR(E25/B25,0)</f>
        <v/>
      </c>
      <c r="G25" s="12">
        <f>SUM($E$5:$E25)</f>
        <v/>
      </c>
    </row>
    <row r="26">
      <c r="A26" s="4">
        <f>$B$2+21</f>
        <v/>
      </c>
      <c r="B26" s="12">
        <f>SUMIFS('日次入力'!$E$4:$E$403,'日次入力'!$A$4:$A$403,$A26)</f>
        <v/>
      </c>
      <c r="C26" s="9">
        <f>SUMIFS('日次入力'!$J$4:$J$403,'日次入力'!$A$4:$A$403,$A26)</f>
        <v/>
      </c>
      <c r="D26" s="10">
        <f>SUMIFS('日次入力'!$K$4:$K$403,'日次入力'!$A$4:$A$403,$A26)</f>
        <v/>
      </c>
      <c r="E26" s="12">
        <f>SUMIFS('日次入力'!$N$4:$N$403,'日次入力'!$A$4:$A$403,$A26)</f>
        <v/>
      </c>
      <c r="F26" s="13">
        <f>IFERROR(E26/B26,0)</f>
        <v/>
      </c>
      <c r="G26" s="12">
        <f>SUM($E$5:$E26)</f>
        <v/>
      </c>
    </row>
    <row r="27">
      <c r="A27" s="4">
        <f>$B$2+22</f>
        <v/>
      </c>
      <c r="B27" s="12">
        <f>SUMIFS('日次入力'!$E$4:$E$403,'日次入力'!$A$4:$A$403,$A27)</f>
        <v/>
      </c>
      <c r="C27" s="9">
        <f>SUMIFS('日次入力'!$J$4:$J$403,'日次入力'!$A$4:$A$403,$A27)</f>
        <v/>
      </c>
      <c r="D27" s="10">
        <f>SUMIFS('日次入力'!$K$4:$K$403,'日次入力'!$A$4:$A$403,$A27)</f>
        <v/>
      </c>
      <c r="E27" s="12">
        <f>SUMIFS('日次入力'!$N$4:$N$403,'日次入力'!$A$4:$A$403,$A27)</f>
        <v/>
      </c>
      <c r="F27" s="13">
        <f>IFERROR(E27/B27,0)</f>
        <v/>
      </c>
      <c r="G27" s="12">
        <f>SUM($E$5:$E27)</f>
        <v/>
      </c>
    </row>
    <row r="28">
      <c r="A28" s="4">
        <f>$B$2+23</f>
        <v/>
      </c>
      <c r="B28" s="12">
        <f>SUMIFS('日次入力'!$E$4:$E$403,'日次入力'!$A$4:$A$403,$A28)</f>
        <v/>
      </c>
      <c r="C28" s="9">
        <f>SUMIFS('日次入力'!$J$4:$J$403,'日次入力'!$A$4:$A$403,$A28)</f>
        <v/>
      </c>
      <c r="D28" s="10">
        <f>SUMIFS('日次入力'!$K$4:$K$403,'日次入力'!$A$4:$A$403,$A28)</f>
        <v/>
      </c>
      <c r="E28" s="12">
        <f>SUMIFS('日次入力'!$N$4:$N$403,'日次入力'!$A$4:$A$403,$A28)</f>
        <v/>
      </c>
      <c r="F28" s="13">
        <f>IFERROR(E28/B28,0)</f>
        <v/>
      </c>
      <c r="G28" s="12">
        <f>SUM($E$5:$E28)</f>
        <v/>
      </c>
    </row>
    <row r="29">
      <c r="A29" s="4">
        <f>$B$2+24</f>
        <v/>
      </c>
      <c r="B29" s="12">
        <f>SUMIFS('日次入力'!$E$4:$E$403,'日次入力'!$A$4:$A$403,$A29)</f>
        <v/>
      </c>
      <c r="C29" s="9">
        <f>SUMIFS('日次入力'!$J$4:$J$403,'日次入力'!$A$4:$A$403,$A29)</f>
        <v/>
      </c>
      <c r="D29" s="10">
        <f>SUMIFS('日次入力'!$K$4:$K$403,'日次入力'!$A$4:$A$403,$A29)</f>
        <v/>
      </c>
      <c r="E29" s="12">
        <f>SUMIFS('日次入力'!$N$4:$N$403,'日次入力'!$A$4:$A$403,$A29)</f>
        <v/>
      </c>
      <c r="F29" s="13">
        <f>IFERROR(E29/B29,0)</f>
        <v/>
      </c>
      <c r="G29" s="12">
        <f>SUM($E$5:$E29)</f>
        <v/>
      </c>
    </row>
    <row r="30">
      <c r="A30" s="4">
        <f>$B$2+25</f>
        <v/>
      </c>
      <c r="B30" s="12">
        <f>SUMIFS('日次入力'!$E$4:$E$403,'日次入力'!$A$4:$A$403,$A30)</f>
        <v/>
      </c>
      <c r="C30" s="9">
        <f>SUMIFS('日次入力'!$J$4:$J$403,'日次入力'!$A$4:$A$403,$A30)</f>
        <v/>
      </c>
      <c r="D30" s="10">
        <f>SUMIFS('日次入力'!$K$4:$K$403,'日次入力'!$A$4:$A$403,$A30)</f>
        <v/>
      </c>
      <c r="E30" s="12">
        <f>SUMIFS('日次入力'!$N$4:$N$403,'日次入力'!$A$4:$A$403,$A30)</f>
        <v/>
      </c>
      <c r="F30" s="13">
        <f>IFERROR(E30/B30,0)</f>
        <v/>
      </c>
      <c r="G30" s="12">
        <f>SUM($E$5:$E30)</f>
        <v/>
      </c>
    </row>
    <row r="31">
      <c r="A31" s="4">
        <f>$B$2+26</f>
        <v/>
      </c>
      <c r="B31" s="12">
        <f>SUMIFS('日次入力'!$E$4:$E$403,'日次入力'!$A$4:$A$403,$A31)</f>
        <v/>
      </c>
      <c r="C31" s="9">
        <f>SUMIFS('日次入力'!$J$4:$J$403,'日次入力'!$A$4:$A$403,$A31)</f>
        <v/>
      </c>
      <c r="D31" s="10">
        <f>SUMIFS('日次入力'!$K$4:$K$403,'日次入力'!$A$4:$A$403,$A31)</f>
        <v/>
      </c>
      <c r="E31" s="12">
        <f>SUMIFS('日次入力'!$N$4:$N$403,'日次入力'!$A$4:$A$403,$A31)</f>
        <v/>
      </c>
      <c r="F31" s="13">
        <f>IFERROR(E31/B31,0)</f>
        <v/>
      </c>
      <c r="G31" s="12">
        <f>SUM($E$5:$E31)</f>
        <v/>
      </c>
    </row>
    <row r="32">
      <c r="A32" s="4">
        <f>$B$2+27</f>
        <v/>
      </c>
      <c r="B32" s="12">
        <f>SUMIFS('日次入力'!$E$4:$E$403,'日次入力'!$A$4:$A$403,$A32)</f>
        <v/>
      </c>
      <c r="C32" s="9">
        <f>SUMIFS('日次入力'!$J$4:$J$403,'日次入力'!$A$4:$A$403,$A32)</f>
        <v/>
      </c>
      <c r="D32" s="10">
        <f>SUMIFS('日次入力'!$K$4:$K$403,'日次入力'!$A$4:$A$403,$A32)</f>
        <v/>
      </c>
      <c r="E32" s="12">
        <f>SUMIFS('日次入力'!$N$4:$N$403,'日次入力'!$A$4:$A$403,$A32)</f>
        <v/>
      </c>
      <c r="F32" s="13">
        <f>IFERROR(E32/B32,0)</f>
        <v/>
      </c>
      <c r="G32" s="12">
        <f>SUM($E$5:$E32)</f>
        <v/>
      </c>
    </row>
    <row r="33">
      <c r="A33" s="4">
        <f>$B$2+28</f>
        <v/>
      </c>
      <c r="B33" s="12">
        <f>SUMIFS('日次入力'!$E$4:$E$403,'日次入力'!$A$4:$A$403,$A33)</f>
        <v/>
      </c>
      <c r="C33" s="9">
        <f>SUMIFS('日次入力'!$J$4:$J$403,'日次入力'!$A$4:$A$403,$A33)</f>
        <v/>
      </c>
      <c r="D33" s="10">
        <f>SUMIFS('日次入力'!$K$4:$K$403,'日次入力'!$A$4:$A$403,$A33)</f>
        <v/>
      </c>
      <c r="E33" s="12">
        <f>SUMIFS('日次入力'!$N$4:$N$403,'日次入力'!$A$4:$A$403,$A33)</f>
        <v/>
      </c>
      <c r="F33" s="13">
        <f>IFERROR(E33/B33,0)</f>
        <v/>
      </c>
      <c r="G33" s="12">
        <f>SUM($E$5:$E33)</f>
        <v/>
      </c>
    </row>
    <row r="34">
      <c r="A34" s="4">
        <f>$B$2+29</f>
        <v/>
      </c>
      <c r="B34" s="12">
        <f>SUMIFS('日次入力'!$E$4:$E$403,'日次入力'!$A$4:$A$403,$A34)</f>
        <v/>
      </c>
      <c r="C34" s="9">
        <f>SUMIFS('日次入力'!$J$4:$J$403,'日次入力'!$A$4:$A$403,$A34)</f>
        <v/>
      </c>
      <c r="D34" s="10">
        <f>SUMIFS('日次入力'!$K$4:$K$403,'日次入力'!$A$4:$A$403,$A34)</f>
        <v/>
      </c>
      <c r="E34" s="12">
        <f>SUMIFS('日次入力'!$N$4:$N$403,'日次入力'!$A$4:$A$403,$A34)</f>
        <v/>
      </c>
      <c r="F34" s="13">
        <f>IFERROR(E34/B34,0)</f>
        <v/>
      </c>
      <c r="G34" s="12">
        <f>SUM($E$5:$E34)</f>
        <v/>
      </c>
    </row>
    <row r="35">
      <c r="A35" s="4">
        <f>$B$2+30</f>
        <v/>
      </c>
      <c r="B35" s="12">
        <f>SUMIFS('日次入力'!$E$4:$E$403,'日次入力'!$A$4:$A$403,$A35)</f>
        <v/>
      </c>
      <c r="C35" s="9">
        <f>SUMIFS('日次入力'!$J$4:$J$403,'日次入力'!$A$4:$A$403,$A35)</f>
        <v/>
      </c>
      <c r="D35" s="10">
        <f>SUMIFS('日次入力'!$K$4:$K$403,'日次入力'!$A$4:$A$403,$A35)</f>
        <v/>
      </c>
      <c r="E35" s="12">
        <f>SUMIFS('日次入力'!$N$4:$N$403,'日次入力'!$A$4:$A$403,$A35)</f>
        <v/>
      </c>
      <c r="F35" s="13">
        <f>IFERROR(E35/B35,0)</f>
        <v/>
      </c>
      <c r="G35" s="12">
        <f>SUM($E$5:$E35)</f>
        <v/>
      </c>
    </row>
    <row r="36">
      <c r="A36" s="16" t="inlineStr">
        <is>
          <t>月合計</t>
        </is>
      </c>
      <c r="B36" s="17">
        <f>SUM(B5:B35)</f>
        <v/>
      </c>
      <c r="C36" s="18">
        <f>SUM(C5:C35)</f>
        <v/>
      </c>
      <c r="D36" s="19">
        <f>SUM(D5:D35)</f>
        <v/>
      </c>
      <c r="E36" s="17">
        <f>SUM(E5:E35)</f>
        <v/>
      </c>
      <c r="F36" s="20">
        <f>IFERROR(E36/B36,0)</f>
        <v/>
      </c>
      <c r="G36" s="17">
        <f>E36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6" customWidth="1" min="4" max="4"/>
    <col width="13" customWidth="1" min="5" max="5"/>
    <col width="10" customWidth="1" min="6" max="6"/>
  </cols>
  <sheetData>
    <row r="1">
      <c r="A1" s="1" t="inlineStr">
        <is>
          <t>商品別サマリー（当月・日別サマリーの対象年月に連動）</t>
        </is>
      </c>
    </row>
    <row r="2">
      <c r="A2" s="3" t="inlineStr">
        <is>
          <t>商品/ブランド</t>
        </is>
      </c>
      <c r="B2" s="3" t="inlineStr">
        <is>
          <t>広告費</t>
        </is>
      </c>
      <c r="C2" s="3" t="inlineStr">
        <is>
          <t>予想獲得数</t>
        </is>
      </c>
      <c r="D2" s="3" t="inlineStr">
        <is>
          <t>予想売上</t>
        </is>
      </c>
      <c r="E2" s="3" t="inlineStr">
        <is>
          <t>ブレンドCPA</t>
        </is>
      </c>
      <c r="F2" s="3" t="inlineStr">
        <is>
          <t>ROAS</t>
        </is>
      </c>
    </row>
    <row r="3">
      <c r="A3" s="21" t="inlineStr">
        <is>
          <t>スーツケース（トラベル）</t>
        </is>
      </c>
      <c r="B3" s="12">
        <f>SUMIFS('日次入力'!$E$4:$E$403,'日次入力'!$A$4:$A$403,"&gt;="&amp;'日別サマリー'!$B$2,'日次入力'!$A$4:$A$403,"&lt;="&amp;(DATE(YEAR('日別サマリー'!$B$2),MONTH('日別サマリー'!$B$2)+1,1)-1),'日次入力'!$C$4:$C$403,$A3)</f>
        <v/>
      </c>
      <c r="C3" s="10">
        <f>SUMIFS('日次入力'!$K$4:$K$403,'日次入力'!$A$4:$A$403,"&gt;="&amp;'日別サマリー'!$B$2,'日次入力'!$A$4:$A$403,"&lt;="&amp;(DATE(YEAR('日別サマリー'!$B$2),MONTH('日別サマリー'!$B$2)+1,1)-1),'日次入力'!$C$4:$C$403,$A3)</f>
        <v/>
      </c>
      <c r="D3" s="12">
        <f>SUMIFS('日次入力'!$N$4:$N$403,'日次入力'!$A$4:$A$403,"&gt;="&amp;'日別サマリー'!$B$2,'日次入力'!$A$4:$A$403,"&lt;="&amp;(DATE(YEAR('日別サマリー'!$B$2),MONTH('日別サマリー'!$B$2)+1,1)-1),'日次入力'!$C$4:$C$403,$A3)</f>
        <v/>
      </c>
      <c r="E3" s="12">
        <f>IFERROR(B3/C3,0)</f>
        <v/>
      </c>
      <c r="F3" s="13">
        <f>IFERROR(D3/B3,0)</f>
        <v/>
      </c>
    </row>
    <row r="4">
      <c r="A4" s="21" t="inlineStr">
        <is>
          <t>スーツケース（カタログ）</t>
        </is>
      </c>
      <c r="B4" s="12">
        <f>SUMIFS('日次入力'!$E$4:$E$403,'日次入力'!$A$4:$A$403,"&gt;="&amp;'日別サマリー'!$B$2,'日次入力'!$A$4:$A$403,"&lt;="&amp;(DATE(YEAR('日別サマリー'!$B$2),MONTH('日別サマリー'!$B$2)+1,1)-1),'日次入力'!$C$4:$C$403,$A4)</f>
        <v/>
      </c>
      <c r="C4" s="10">
        <f>SUMIFS('日次入力'!$K$4:$K$403,'日次入力'!$A$4:$A$403,"&gt;="&amp;'日別サマリー'!$B$2,'日次入力'!$A$4:$A$403,"&lt;="&amp;(DATE(YEAR('日別サマリー'!$B$2),MONTH('日別サマリー'!$B$2)+1,1)-1),'日次入力'!$C$4:$C$403,$A4)</f>
        <v/>
      </c>
      <c r="D4" s="12">
        <f>SUMIFS('日次入力'!$N$4:$N$403,'日次入力'!$A$4:$A$403,"&gt;="&amp;'日別サマリー'!$B$2,'日次入力'!$A$4:$A$403,"&lt;="&amp;(DATE(YEAR('日別サマリー'!$B$2),MONTH('日別サマリー'!$B$2)+1,1)-1),'日次入力'!$C$4:$C$403,$A4)</f>
        <v/>
      </c>
      <c r="E4" s="12">
        <f>IFERROR(B4/C4,0)</f>
        <v/>
      </c>
      <c r="F4" s="13">
        <f>IFERROR(D4/B4,0)</f>
        <v/>
      </c>
    </row>
    <row r="5">
      <c r="A5" s="21" t="inlineStr">
        <is>
          <t>ガジェティ</t>
        </is>
      </c>
      <c r="B5" s="12">
        <f>SUMIFS('日次入力'!$E$4:$E$403,'日次入力'!$A$4:$A$403,"&gt;="&amp;'日別サマリー'!$B$2,'日次入力'!$A$4:$A$403,"&lt;="&amp;(DATE(YEAR('日別サマリー'!$B$2),MONTH('日別サマリー'!$B$2)+1,1)-1),'日次入力'!$C$4:$C$403,$A5)</f>
        <v/>
      </c>
      <c r="C5" s="10">
        <f>SUMIFS('日次入力'!$K$4:$K$403,'日次入力'!$A$4:$A$403,"&gt;="&amp;'日別サマリー'!$B$2,'日次入力'!$A$4:$A$403,"&lt;="&amp;(DATE(YEAR('日別サマリー'!$B$2),MONTH('日別サマリー'!$B$2)+1,1)-1),'日次入力'!$C$4:$C$403,$A5)</f>
        <v/>
      </c>
      <c r="D5" s="12">
        <f>SUMIFS('日次入力'!$N$4:$N$403,'日次入力'!$A$4:$A$403,"&gt;="&amp;'日別サマリー'!$B$2,'日次入力'!$A$4:$A$403,"&lt;="&amp;(DATE(YEAR('日別サマリー'!$B$2),MONTH('日別サマリー'!$B$2)+1,1)-1),'日次入力'!$C$4:$C$403,$A5)</f>
        <v/>
      </c>
      <c r="E5" s="12">
        <f>IFERROR(B5/C5,0)</f>
        <v/>
      </c>
      <c r="F5" s="13">
        <f>IFERROR(D5/B5,0)</f>
        <v/>
      </c>
    </row>
    <row r="6">
      <c r="A6" s="21" t="inlineStr">
        <is>
          <t>ツヤリス</t>
        </is>
      </c>
      <c r="B6" s="12">
        <f>SUMIFS('日次入力'!$E$4:$E$403,'日次入力'!$A$4:$A$403,"&gt;="&amp;'日別サマリー'!$B$2,'日次入力'!$A$4:$A$403,"&lt;="&amp;(DATE(YEAR('日別サマリー'!$B$2),MONTH('日別サマリー'!$B$2)+1,1)-1),'日次入力'!$C$4:$C$403,$A6)</f>
        <v/>
      </c>
      <c r="C6" s="10">
        <f>SUMIFS('日次入力'!$K$4:$K$403,'日次入力'!$A$4:$A$403,"&gt;="&amp;'日別サマリー'!$B$2,'日次入力'!$A$4:$A$403,"&lt;="&amp;(DATE(YEAR('日別サマリー'!$B$2),MONTH('日別サマリー'!$B$2)+1,1)-1),'日次入力'!$C$4:$C$403,$A6)</f>
        <v/>
      </c>
      <c r="D6" s="12">
        <f>SUMIFS('日次入力'!$N$4:$N$403,'日次入力'!$A$4:$A$403,"&gt;="&amp;'日別サマリー'!$B$2,'日次入力'!$A$4:$A$403,"&lt;="&amp;(DATE(YEAR('日別サマリー'!$B$2),MONTH('日別サマリー'!$B$2)+1,1)-1),'日次入力'!$C$4:$C$403,$A6)</f>
        <v/>
      </c>
      <c r="E6" s="12">
        <f>IFERROR(B6/C6,0)</f>
        <v/>
      </c>
      <c r="F6" s="13">
        <f>IFERROR(D6/B6,0)</f>
        <v/>
      </c>
    </row>
    <row r="7">
      <c r="A7" s="16" t="inlineStr">
        <is>
          <t>合計</t>
        </is>
      </c>
      <c r="B7" s="17">
        <f>SUM(B3:B6)</f>
        <v/>
      </c>
      <c r="C7" s="19">
        <f>SUM(C3:C6)</f>
        <v/>
      </c>
      <c r="D7" s="17">
        <f>SUM(D3:D6)</f>
        <v/>
      </c>
      <c r="E7" s="17">
        <f>IFERROR(B7/C7,0)</f>
        <v/>
      </c>
      <c r="F7" s="20">
        <f>IFERROR(D7/B7,0)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6" customWidth="1" min="4" max="4"/>
    <col width="13" customWidth="1" min="5" max="5"/>
    <col width="10" customWidth="1" min="6" max="6"/>
  </cols>
  <sheetData>
    <row r="1">
      <c r="A1" s="1" t="inlineStr">
        <is>
          <t>媒体別サマリー（当月：Amazon / 楽天 / 自社サイト）</t>
        </is>
      </c>
    </row>
    <row r="2">
      <c r="A2" s="3" t="inlineStr">
        <is>
          <t>媒体</t>
        </is>
      </c>
      <c r="B2" s="3" t="inlineStr">
        <is>
          <t>広告費</t>
        </is>
      </c>
      <c r="C2" s="3" t="inlineStr">
        <is>
          <t>予想獲得数</t>
        </is>
      </c>
      <c r="D2" s="3" t="inlineStr">
        <is>
          <t>予想売上</t>
        </is>
      </c>
      <c r="E2" s="3" t="inlineStr">
        <is>
          <t>ブレンドCPA</t>
        </is>
      </c>
      <c r="F2" s="3" t="inlineStr">
        <is>
          <t>ROAS</t>
        </is>
      </c>
    </row>
    <row r="3">
      <c r="A3" s="21" t="inlineStr">
        <is>
          <t>Amazon</t>
        </is>
      </c>
      <c r="B3" s="12">
        <f>SUMIFS('日次入力'!$E$4:$E$403,'日次入力'!$A$4:$A$403,"&gt;="&amp;'日別サマリー'!$B$2,'日次入力'!$A$4:$A$403,"&lt;="&amp;(DATE(YEAR('日別サマリー'!$B$2),MONTH('日別サマリー'!$B$2)+1,1)-1),'日次入力'!$D$4:$D$403,$A3)</f>
        <v/>
      </c>
      <c r="C3" s="10">
        <f>SUMIFS('日次入力'!$K$4:$K$403,'日次入力'!$A$4:$A$403,"&gt;="&amp;'日別サマリー'!$B$2,'日次入力'!$A$4:$A$403,"&lt;="&amp;(DATE(YEAR('日別サマリー'!$B$2),MONTH('日別サマリー'!$B$2)+1,1)-1),'日次入力'!$D$4:$D$403,$A3)</f>
        <v/>
      </c>
      <c r="D3" s="12">
        <f>SUMIFS('日次入力'!$N$4:$N$403,'日次入力'!$A$4:$A$403,"&gt;="&amp;'日別サマリー'!$B$2,'日次入力'!$A$4:$A$403,"&lt;="&amp;(DATE(YEAR('日別サマリー'!$B$2),MONTH('日別サマリー'!$B$2)+1,1)-1),'日次入力'!$D$4:$D$403,$A3)</f>
        <v/>
      </c>
      <c r="E3" s="12">
        <f>IFERROR(B3/C3,0)</f>
        <v/>
      </c>
      <c r="F3" s="13">
        <f>IFERROR(D3/B3,0)</f>
        <v/>
      </c>
    </row>
    <row r="4">
      <c r="A4" s="21" t="inlineStr">
        <is>
          <t>楽天</t>
        </is>
      </c>
      <c r="B4" s="12">
        <f>SUMIFS('日次入力'!$E$4:$E$403,'日次入力'!$A$4:$A$403,"&gt;="&amp;'日別サマリー'!$B$2,'日次入力'!$A$4:$A$403,"&lt;="&amp;(DATE(YEAR('日別サマリー'!$B$2),MONTH('日別サマリー'!$B$2)+1,1)-1),'日次入力'!$D$4:$D$403,$A4)</f>
        <v/>
      </c>
      <c r="C4" s="10">
        <f>SUMIFS('日次入力'!$K$4:$K$403,'日次入力'!$A$4:$A$403,"&gt;="&amp;'日別サマリー'!$B$2,'日次入力'!$A$4:$A$403,"&lt;="&amp;(DATE(YEAR('日別サマリー'!$B$2),MONTH('日別サマリー'!$B$2)+1,1)-1),'日次入力'!$D$4:$D$403,$A4)</f>
        <v/>
      </c>
      <c r="D4" s="12">
        <f>SUMIFS('日次入力'!$N$4:$N$403,'日次入力'!$A$4:$A$403,"&gt;="&amp;'日別サマリー'!$B$2,'日次入力'!$A$4:$A$403,"&lt;="&amp;(DATE(YEAR('日別サマリー'!$B$2),MONTH('日別サマリー'!$B$2)+1,1)-1),'日次入力'!$D$4:$D$403,$A4)</f>
        <v/>
      </c>
      <c r="E4" s="12">
        <f>IFERROR(B4/C4,0)</f>
        <v/>
      </c>
      <c r="F4" s="13">
        <f>IFERROR(D4/B4,0)</f>
        <v/>
      </c>
    </row>
    <row r="5">
      <c r="A5" s="21" t="inlineStr">
        <is>
          <t>自社サイト</t>
        </is>
      </c>
      <c r="B5" s="12">
        <f>SUMIFS('日次入力'!$E$4:$E$403,'日次入力'!$A$4:$A$403,"&gt;="&amp;'日別サマリー'!$B$2,'日次入力'!$A$4:$A$403,"&lt;="&amp;(DATE(YEAR('日別サマリー'!$B$2),MONTH('日別サマリー'!$B$2)+1,1)-1),'日次入力'!$D$4:$D$403,$A5)</f>
        <v/>
      </c>
      <c r="C5" s="10">
        <f>SUMIFS('日次入力'!$K$4:$K$403,'日次入力'!$A$4:$A$403,"&gt;="&amp;'日別サマリー'!$B$2,'日次入力'!$A$4:$A$403,"&lt;="&amp;(DATE(YEAR('日別サマリー'!$B$2),MONTH('日別サマリー'!$B$2)+1,1)-1),'日次入力'!$D$4:$D$403,$A5)</f>
        <v/>
      </c>
      <c r="D5" s="12">
        <f>SUMIFS('日次入力'!$N$4:$N$403,'日次入力'!$A$4:$A$403,"&gt;="&amp;'日別サマリー'!$B$2,'日次入力'!$A$4:$A$403,"&lt;="&amp;(DATE(YEAR('日別サマリー'!$B$2),MONTH('日別サマリー'!$B$2)+1,1)-1),'日次入力'!$D$4:$D$403,$A5)</f>
        <v/>
      </c>
      <c r="E5" s="12">
        <f>IFERROR(B5/C5,0)</f>
        <v/>
      </c>
      <c r="F5" s="13">
        <f>IFERROR(D5/B5,0)</f>
        <v/>
      </c>
    </row>
    <row r="6">
      <c r="A6" s="16" t="inlineStr">
        <is>
          <t>合計</t>
        </is>
      </c>
      <c r="B6" s="17">
        <f>SUM(B3:B5)</f>
        <v/>
      </c>
      <c r="C6" s="19">
        <f>SUM(C3:C5)</f>
        <v/>
      </c>
      <c r="D6" s="17">
        <f>SUM(D3:D5)</f>
        <v/>
      </c>
      <c r="E6" s="17">
        <f>IFERROR(B6/C6,0)</f>
        <v/>
      </c>
      <c r="F6" s="20">
        <f>IFERROR(D6/B6,0)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20" customWidth="1" min="4" max="4"/>
  </cols>
  <sheetData>
    <row r="1">
      <c r="A1" s="1" t="inlineStr">
        <is>
          <t>ダッシュボード ── 当月の着地と月商1億/10億</t>
        </is>
      </c>
    </row>
    <row r="3">
      <c r="A3" s="22" t="inlineStr">
        <is>
          <t>当月 予想売上（累計）</t>
        </is>
      </c>
      <c r="B3" s="12">
        <f>'日別サマリー'!$E$36</f>
        <v/>
      </c>
      <c r="C3" s="2" t="inlineStr">
        <is>
          <t>日別サマリーの対象年月に連動</t>
        </is>
      </c>
    </row>
    <row r="4">
      <c r="A4" s="22" t="inlineStr">
        <is>
          <t>当月 広告費（累計）</t>
        </is>
      </c>
      <c r="B4" s="12">
        <f>'日別サマリー'!$B$36</f>
        <v/>
      </c>
    </row>
    <row r="5">
      <c r="A5" s="22" t="inlineStr">
        <is>
          <t>当月 予想獲得数（累計）</t>
        </is>
      </c>
      <c r="B5" s="10">
        <f>'日別サマリー'!$D$36</f>
        <v/>
      </c>
    </row>
    <row r="6">
      <c r="A6" s="22" t="inlineStr">
        <is>
          <t>当月 ROAS</t>
        </is>
      </c>
      <c r="B6" s="13">
        <f>IFERROR(B3/B4,0)</f>
        <v/>
      </c>
      <c r="C6" s="2" t="inlineStr">
        <is>
          <t>＝売上 ÷ 広告費</t>
        </is>
      </c>
    </row>
    <row r="7">
      <c r="A7" s="22" t="inlineStr">
        <is>
          <t>当月 ブレンドCPA</t>
        </is>
      </c>
      <c r="B7" s="12">
        <f>IFERROR(B4/B5,0)</f>
        <v/>
      </c>
      <c r="C7" s="2" t="inlineStr">
        <is>
          <t>＝広告費 ÷ 獲得数</t>
        </is>
      </c>
    </row>
    <row r="9">
      <c r="A9" s="23" t="inlineStr">
        <is>
          <t>■ 着地見込み（日割りペース）</t>
        </is>
      </c>
      <c r="B9" s="24" t="n"/>
      <c r="C9" s="24" t="n"/>
      <c r="D9" s="24" t="n"/>
    </row>
    <row r="10">
      <c r="A10" s="22" t="inlineStr">
        <is>
          <t>データが入っている日数</t>
        </is>
      </c>
      <c r="B10" s="25">
        <f>COUNTIF('日別サマリー'!$B$5:$B$35,"&gt;0")</f>
        <v/>
      </c>
      <c r="C10" s="2" t="inlineStr">
        <is>
          <t>広告費が入力された日数</t>
        </is>
      </c>
    </row>
    <row r="11">
      <c r="A11" s="22" t="inlineStr">
        <is>
          <t>当月の日数</t>
        </is>
      </c>
      <c r="B11" s="25">
        <f>DAY(DATE(YEAR('日別サマリー'!$B$2),MONTH('日別サマリー'!$B$2)+1,1)-1)</f>
        <v/>
      </c>
    </row>
    <row r="12">
      <c r="A12" s="22" t="inlineStr">
        <is>
          <t>月末 着地見込み</t>
        </is>
      </c>
      <c r="B12" s="12">
        <f>IFERROR(B3/B10*B11,0)</f>
        <v/>
      </c>
      <c r="C12" s="2" t="inlineStr">
        <is>
          <t>＝累計売上 ÷ 経過日数 × 当月日数</t>
        </is>
      </c>
    </row>
    <row r="14">
      <c r="A14" s="23" t="inlineStr">
        <is>
          <t>■ 月商目標への距離</t>
        </is>
      </c>
      <c r="B14" s="24" t="n"/>
      <c r="C14" s="24" t="n"/>
      <c r="D14" s="24" t="n"/>
    </row>
    <row r="15">
      <c r="A15" s="22" t="inlineStr">
        <is>
          <t>月商1億 達成率（着地見込ベース）</t>
        </is>
      </c>
      <c r="B15" s="26">
        <f>IFERROR(B12/100000000,0)</f>
        <v/>
      </c>
    </row>
    <row r="16">
      <c r="A16" s="22" t="inlineStr">
        <is>
          <t>月商10億 達成率（着地見込ベース）</t>
        </is>
      </c>
      <c r="B16" s="26">
        <f>IFERROR(B12/1000000000,0)</f>
        <v/>
      </c>
    </row>
    <row r="17">
      <c r="A17" s="22" t="inlineStr">
        <is>
          <t>1億まであと（着地との差）</t>
        </is>
      </c>
      <c r="B17" s="12">
        <f>100000000-B12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7" t="inlineStr">
        <is>
          <t>Libetee 日次入力シート 使い方</t>
        </is>
      </c>
    </row>
    <row r="2">
      <c r="A2" s="28" t="inlineStr"/>
    </row>
    <row r="3">
      <c r="A3" s="29" t="inlineStr">
        <is>
          <t>【毎日やること】「日次入力」に、その日動いた分だけ行を足す（1行＝日付×商品×媒体）。</t>
        </is>
      </c>
    </row>
    <row r="4">
      <c r="A4" s="28" t="inlineStr">
        <is>
          <t xml:space="preserve">  1. 日付を入れる</t>
        </is>
      </c>
    </row>
    <row r="5">
      <c r="A5" s="28" t="inlineStr">
        <is>
          <t xml:space="preserve">  2. アカウント・商品・媒体をドロップダウンから選ぶ（表記ゆれ防止＝集計が崩れない）</t>
        </is>
      </c>
    </row>
    <row r="6">
      <c r="A6" s="28" t="inlineStr">
        <is>
          <t xml:space="preserve">  3. 青字セル（黄色）を入力：広告費 / CPA / アクセス単価 / 予想転換率 / 客単価</t>
        </is>
      </c>
    </row>
    <row r="7">
      <c r="A7" s="28" t="inlineStr">
        <is>
          <t xml:space="preserve">  → 予想アクセス数・予想獲得数・予想売上・ROAS が自動で出る</t>
        </is>
      </c>
    </row>
    <row r="8">
      <c r="A8" s="28" t="inlineStr"/>
    </row>
    <row r="9">
      <c r="A9" s="29" t="inlineStr">
        <is>
          <t>【計算式（社長指定）】</t>
        </is>
      </c>
    </row>
    <row r="10">
      <c r="A10" s="28" t="inlineStr">
        <is>
          <t xml:space="preserve">  予想アクセス数 ＝ 広告費 ÷ アクセス単価</t>
        </is>
      </c>
    </row>
    <row r="11">
      <c r="A11" s="28" t="inlineStr">
        <is>
          <t xml:space="preserve">  予想獲得数(CPA基準) ＝ 広告費 ÷ CPA</t>
        </is>
      </c>
    </row>
    <row r="12">
      <c r="A12" s="28" t="inlineStr">
        <is>
          <t xml:space="preserve">  予想獲得数(アクセス基準) ＝ 予想アクセス数 × 予想転換率</t>
        </is>
      </c>
    </row>
    <row r="13">
      <c r="A13" s="28" t="inlineStr">
        <is>
          <t xml:space="preserve">  整合差異 ＝ 2つの獲得数の差（大きくズレたら CPA か 転換率の前提を見直す合図）</t>
        </is>
      </c>
    </row>
    <row r="14">
      <c r="A14" s="28" t="inlineStr">
        <is>
          <t xml:space="preserve">  予想売上 ＝ 予想獲得数(CPA基準) × 客単価 ／ ROAS ＝ 予想売上 ÷ 広告費</t>
        </is>
      </c>
    </row>
    <row r="15">
      <c r="A15" s="28" t="inlineStr"/>
    </row>
    <row r="16">
      <c r="A16" s="29" t="inlineStr">
        <is>
          <t>【見るシート】</t>
        </is>
      </c>
    </row>
    <row r="17">
      <c r="A17" s="28" t="inlineStr">
        <is>
          <t xml:space="preserve">  ・日別サマリー … 対象年月を入れると、1〜月末の日別トレンドと月累計が出る</t>
        </is>
      </c>
    </row>
    <row r="18">
      <c r="A18" s="28" t="inlineStr">
        <is>
          <t xml:space="preserve">  ・商品別サマリー / 媒体別サマリー … その月の合計を自動集計（対象年月に連動）</t>
        </is>
      </c>
    </row>
    <row r="19">
      <c r="A19" s="28" t="inlineStr">
        <is>
          <t xml:space="preserve">  ・ダッシュボード … 当月ROASと『日割りペースからの月末着地見込み』、月商1億/10億の達成率</t>
        </is>
      </c>
    </row>
    <row r="20">
      <c r="A20" s="28" t="inlineStr"/>
    </row>
    <row r="21">
      <c r="A21" s="28" t="inlineStr">
        <is>
          <t>【ポイント】月の途中でも、ダッシュボードの『着地見込み』が今のペースでの月末売上を示します。</t>
        </is>
      </c>
    </row>
    <row r="22">
      <c r="A22" s="28" t="inlineStr"/>
    </row>
    <row r="23">
      <c r="A23" s="30" t="inlineStr">
        <is>
          <t>色：青字＝入力 / 黒字＝自動計算 / 緑字＝他シート参照。数値はサンプルです。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2026-07-27T06:38:35Z</dcterms:created>
  <dcterms:modified xsi:type="dcterms:W3CDTF">2026-07-27T06:38:35Z</dcterms:modified>
</cp:coreProperties>
</file>