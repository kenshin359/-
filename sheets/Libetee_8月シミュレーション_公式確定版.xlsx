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額まとめ_公式7月ベース" sheetId="1" state="visible" r:id="rId1"/>
    <sheet name="SC_FAN_合算" sheetId="2" state="visible" r:id="rId2"/>
    <sheet name="グラフ" sheetId="3" state="visible" r:id="rId3"/>
    <sheet name="日別明細" sheetId="4" state="visible" r:id="rId4"/>
    <sheet name="前提と検算" sheetId="5" state="visible" r:id="rId5"/>
    <sheet name="用語解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%&quot;"/>
    <numFmt numFmtId="165" formatCode="¥#,##0"/>
    <numFmt numFmtId="166" formatCode="0.0%"/>
    <numFmt numFmtId="167" formatCode="m/d(aaa)"/>
    <numFmt numFmtId="168" formatCode="0.0&quot;倍&quot;"/>
  </numFmts>
  <fonts count="9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  <b val="1"/>
      <color rgb="00C0392B"/>
      <sz val="13"/>
    </font>
    <font>
      <name val="Arial"/>
      <b val="1"/>
      <color rgb="00C0392B"/>
    </font>
    <font>
      <name val="Arial"/>
    </font>
    <font>
      <name val="Arial"/>
      <b val="1"/>
      <sz val="14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E2DD"/>
      </patternFill>
    </fill>
    <fill>
      <patternFill patternType="solid">
        <fgColor rgb="00D6E4F0"/>
      </patternFill>
    </fill>
    <fill>
      <patternFill patternType="solid">
        <fgColor rgb="00DDEBD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165" fontId="4" fillId="8" borderId="1" pivotButton="0" quotePrefix="0" xfId="0"/>
    <xf numFmtId="0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5" fontId="5" fillId="9" borderId="0" pivotButton="0" quotePrefix="0" xfId="0"/>
    <xf numFmtId="0" fontId="6" fillId="0" borderId="0" pivotButton="0" quotePrefix="0" xfId="0"/>
    <xf numFmtId="0" fontId="4" fillId="10" borderId="1" pivotButton="0" quotePrefix="0" xfId="0"/>
    <xf numFmtId="165" fontId="0" fillId="10" borderId="1" pivotButton="0" quotePrefix="0" xfId="0"/>
    <xf numFmtId="166" fontId="0" fillId="10" borderId="1" pivotButton="0" quotePrefix="0" xfId="0"/>
    <xf numFmtId="0" fontId="4" fillId="11" borderId="1" pivotButton="0" quotePrefix="0" xfId="0"/>
    <xf numFmtId="165" fontId="0" fillId="11" borderId="1" pivotButton="0" quotePrefix="0" xfId="0"/>
    <xf numFmtId="166" fontId="0" fillId="11" borderId="1" pivotButton="0" quotePrefix="0" xfId="0"/>
    <xf numFmtId="166" fontId="4" fillId="8" borderId="1" pivotButton="0" quotePrefix="0" xfId="0"/>
    <xf numFmtId="0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0" fillId="6" borderId="1" pivotButton="0" quotePrefix="0" xfId="0"/>
    <xf numFmtId="165" fontId="0" fillId="6" borderId="1" pivotButton="0" quotePrefix="0" xfId="0"/>
    <xf numFmtId="0" fontId="0" fillId="7" borderId="1" pivotButton="0" quotePrefix="0" xfId="0"/>
    <xf numFmtId="165" fontId="0" fillId="7" borderId="1" pivotButton="0" quotePrefix="0" xfId="0"/>
    <xf numFmtId="167" fontId="0" fillId="5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167" fontId="0" fillId="6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10" fontId="0" fillId="3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10" fontId="0" fillId="6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67" fontId="0" fillId="5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167" fontId="0" fillId="6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168" fontId="0" fillId="3" borderId="1" pivotButton="0" quotePrefix="0" xfId="0"/>
    <xf numFmtId="0" fontId="2" fillId="3" borderId="1" pivotButton="0" quotePrefix="0" xfId="0"/>
    <xf numFmtId="168" fontId="0" fillId="5" borderId="1" pivotButton="0" quotePrefix="0" xfId="0"/>
    <xf numFmtId="0" fontId="2" fillId="5" borderId="1" pivotButton="0" quotePrefix="0" xfId="0"/>
    <xf numFmtId="168" fontId="0" fillId="4" borderId="1" pivotButton="0" quotePrefix="0" xfId="0"/>
    <xf numFmtId="0" fontId="2" fillId="4" borderId="1" pivotButton="0" quotePrefix="0" xfId="0"/>
    <xf numFmtId="168" fontId="0" fillId="6" borderId="1" pivotButton="0" quotePrefix="0" xfId="0"/>
    <xf numFmtId="0" fontId="2" fillId="6" borderId="1" pivotButton="0" quotePrefix="0" xfId="0"/>
    <xf numFmtId="168" fontId="0" fillId="7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8月 月商：ベース vs 増額後（SC/FAN/合算）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'グラフ'!$H$2:$H$4</f>
            </numRef>
          </cat>
          <val>
            <numRef>
              <f>'グラフ'!$I$2:$I$4</f>
            </numRef>
          </val>
        </ser>
        <ser>
          <idx val="1"/>
          <order val="1"/>
          <tx>
            <strRef>
              <f>'グラフ'!J1</f>
            </strRef>
          </tx>
          <spPr>
            <a:ln>
              <a:prstDash val="solid"/>
            </a:ln>
          </spPr>
          <cat>
            <numRef>
              <f>'グラフ'!$H$2:$H$4</f>
            </numRef>
          </cat>
          <val>
            <numRef>
              <f>'グラフ'!$J$2:$J$4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1日あたり売上：ベース vs 増額後（セグメント別）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'グラフ'!I8</f>
            </strRef>
          </tx>
          <spPr>
            <a:ln>
              <a:prstDash val="solid"/>
            </a:ln>
          </spPr>
          <cat>
            <numRef>
              <f>'グラフ'!$H$9:$H$13</f>
            </numRef>
          </cat>
          <val>
            <numRef>
              <f>'グラフ'!$I$9:$I$13</f>
            </numRef>
          </val>
        </ser>
        <ser>
          <idx val="1"/>
          <order val="1"/>
          <tx>
            <strRef>
              <f>'グラフ'!J8</f>
            </strRef>
          </tx>
          <spPr>
            <a:ln>
              <a:prstDash val="solid"/>
            </a:ln>
          </spPr>
          <cat>
            <numRef>
              <f>'グラフ'!$H$9:$H$13</f>
            </numRef>
          </cat>
          <val>
            <numRef>
              <f>'グラフ'!$J$9:$J$13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  <col width="15" customWidth="1" min="8" max="8"/>
    <col width="14" customWidth="1" min="9" max="9"/>
    <col width="15" customWidth="1" min="10" max="10"/>
  </cols>
  <sheetData>
    <row r="1">
      <c r="A1" s="1" t="inlineStr">
        <is>
          <t>通常予算 vs 増額【7月公式カレンダー確定版・転換率キープ】</t>
        </is>
      </c>
    </row>
    <row r="2">
      <c r="A2" s="2" t="inlineStr">
        <is>
          <t>公式判明：7月はマラソン2回（7/4-11・7/19-26）→7/20・7/25はかぶり日。旧推定版の分類を修正済み。増額＝平日+5千/イベント+1万アクセス。</t>
        </is>
      </c>
    </row>
    <row r="4">
      <c r="A4" s="3" t="inlineStr">
        <is>
          <t>セグメント</t>
        </is>
      </c>
      <c r="B4" s="3" t="inlineStr">
        <is>
          <t>日数</t>
        </is>
      </c>
      <c r="C4" s="3" t="inlineStr">
        <is>
          <t>7月転換率</t>
        </is>
      </c>
      <c r="D4" s="3" t="inlineStr">
        <is>
          <t>7月客単価</t>
        </is>
      </c>
      <c r="E4" s="3" t="inlineStr">
        <is>
          <t>1アクセス
価値</t>
        </is>
      </c>
      <c r="F4" s="3" t="inlineStr">
        <is>
          <t>ペース 売上/日</t>
        </is>
      </c>
      <c r="G4" s="3" t="inlineStr">
        <is>
          <t>差額/日</t>
        </is>
      </c>
      <c r="H4" s="3" t="inlineStr">
        <is>
          <t>月間ベース</t>
        </is>
      </c>
      <c r="I4" s="3" t="inlineStr">
        <is>
          <t>月間差額</t>
        </is>
      </c>
      <c r="J4" s="3" t="inlineStr">
        <is>
          <t>月間 増額後</t>
        </is>
      </c>
    </row>
    <row r="5">
      <c r="A5" s="4" t="inlineStr">
        <is>
          <t>かぶり日（8/5・10・25）</t>
        </is>
      </c>
      <c r="B5" s="5" t="n">
        <v>3</v>
      </c>
      <c r="C5" s="59" t="n">
        <v>0.007307402038884962</v>
      </c>
      <c r="D5" s="7" t="n">
        <v>13048</v>
      </c>
      <c r="E5" s="5" t="n">
        <v>95.40000000000001</v>
      </c>
      <c r="F5" s="7" t="n">
        <v>3979792</v>
      </c>
      <c r="G5" s="8" t="n">
        <v>953506</v>
      </c>
      <c r="H5" s="7" t="n">
        <v>11939376</v>
      </c>
      <c r="I5" s="8" t="n">
        <v>2860518</v>
      </c>
      <c r="J5" s="7" t="n">
        <v>14799894</v>
      </c>
    </row>
    <row r="6">
      <c r="A6" s="9" t="inlineStr">
        <is>
          <t>5と0単独（8/15・20・30）</t>
        </is>
      </c>
      <c r="B6" s="10" t="n">
        <v>3</v>
      </c>
      <c r="C6" s="60" t="n">
        <v>0.006999776602874377</v>
      </c>
      <c r="D6" s="12" t="n">
        <v>8765</v>
      </c>
      <c r="E6" s="10" t="n">
        <v>61.4</v>
      </c>
      <c r="F6" s="12" t="n">
        <v>1647756</v>
      </c>
      <c r="G6" s="13" t="n">
        <v>613507</v>
      </c>
      <c r="H6" s="12" t="n">
        <v>4943268</v>
      </c>
      <c r="I6" s="13" t="n">
        <v>1840521</v>
      </c>
      <c r="J6" s="12" t="n">
        <v>6783789</v>
      </c>
    </row>
    <row r="7">
      <c r="A7" s="14" t="inlineStr">
        <is>
          <t>ワンダフルデー（8/1）</t>
        </is>
      </c>
      <c r="B7" s="15" t="n">
        <v>1</v>
      </c>
      <c r="C7" s="61" t="n">
        <v>0.003378378378378378</v>
      </c>
      <c r="D7" s="17" t="n">
        <v>27905</v>
      </c>
      <c r="E7" s="15" t="n">
        <v>94.3</v>
      </c>
      <c r="F7" s="17" t="n">
        <v>1199910</v>
      </c>
      <c r="G7" s="18" t="n">
        <v>942733</v>
      </c>
      <c r="H7" s="17" t="n">
        <v>1199910</v>
      </c>
      <c r="I7" s="18" t="n">
        <v>942733</v>
      </c>
      <c r="J7" s="17" t="n">
        <v>2142643</v>
      </c>
    </row>
    <row r="8">
      <c r="A8" s="19" t="inlineStr">
        <is>
          <t>マラソン通常（8/4・6・7・8・9・24・26）</t>
        </is>
      </c>
      <c r="B8" s="20" t="n">
        <v>7</v>
      </c>
      <c r="C8" s="62" t="n">
        <v>0.003021880463286714</v>
      </c>
      <c r="D8" s="22" t="n">
        <v>15334</v>
      </c>
      <c r="E8" s="20" t="n">
        <v>46.3</v>
      </c>
      <c r="F8" s="22" t="n">
        <v>1357078</v>
      </c>
      <c r="G8" s="23" t="n">
        <v>463382</v>
      </c>
      <c r="H8" s="22" t="n">
        <v>9499546</v>
      </c>
      <c r="I8" s="23" t="n">
        <v>3243674</v>
      </c>
      <c r="J8" s="22" t="n">
        <v>12743220</v>
      </c>
    </row>
    <row r="9">
      <c r="A9" s="24" t="inlineStr">
        <is>
          <t>平日（17日）</t>
        </is>
      </c>
      <c r="B9" s="25" t="n">
        <v>17</v>
      </c>
      <c r="C9" s="63" t="n">
        <v>0.00372457195612264</v>
      </c>
      <c r="D9" s="27" t="n">
        <v>10958</v>
      </c>
      <c r="E9" s="25" t="n">
        <v>40.8</v>
      </c>
      <c r="F9" s="27" t="n">
        <v>1158307</v>
      </c>
      <c r="G9" s="28" t="n">
        <v>204078</v>
      </c>
      <c r="H9" s="27" t="n">
        <v>19691219</v>
      </c>
      <c r="I9" s="28" t="n">
        <v>3469326</v>
      </c>
      <c r="J9" s="27" t="n">
        <v>23160545</v>
      </c>
    </row>
    <row r="10">
      <c r="A10" s="29" t="inlineStr">
        <is>
          <t>合計（8月・31日）</t>
        </is>
      </c>
      <c r="B10" s="29" t="n"/>
      <c r="C10" s="29" t="n"/>
      <c r="D10" s="29" t="n"/>
      <c r="E10" s="29" t="n"/>
      <c r="F10" s="29" t="n"/>
      <c r="G10" s="29" t="n"/>
      <c r="H10" s="30" t="n">
        <v>47273319</v>
      </c>
      <c r="I10" s="30" t="n">
        <v>12356772</v>
      </c>
      <c r="J10" s="30" t="n">
        <v>59630091</v>
      </c>
    </row>
    <row r="12">
      <c r="A12" s="31" t="inlineStr">
        <is>
          <t>8月 月商（通常予算・7月公式ペース）</t>
        </is>
      </c>
      <c r="C12" s="32" t="n">
        <v>47273319</v>
      </c>
    </row>
    <row r="13">
      <c r="A13" s="31" t="inlineStr">
        <is>
          <t>8月 月商（増額後）</t>
        </is>
      </c>
      <c r="C13" s="32" t="n">
        <v>59630091</v>
      </c>
    </row>
    <row r="14">
      <c r="A14" s="33" t="inlineStr">
        <is>
          <t>差額</t>
        </is>
      </c>
      <c r="C14" s="34" t="n">
        <v>12356772</v>
      </c>
      <c r="E14" s="35" t="inlineStr">
        <is>
          <t>+26%</t>
        </is>
      </c>
    </row>
    <row r="16">
      <c r="A16" s="2" t="inlineStr">
        <is>
          <t>旧推定版との差：ベース¥53.0M→¥47.3M／増額後¥66.8M→¥59.6M（7/20・25をかぶりへ、7/19・21-24をマラソンへ正しく再分類したため）。</t>
        </is>
      </c>
    </row>
    <row r="17">
      <c r="A17" s="2" t="inlineStr">
        <is>
          <t>前年8月(¥26.3M)比：通常+80% / 増額後+127%。</t>
        </is>
      </c>
    </row>
    <row r="18">
      <c r="A18" s="2" t="inlineStr">
        <is>
          <t>5と0単独は7月に7/15の1日しかなくサンプン極少（n=1）→ 8/15・20・30の予測は確度低め。</t>
        </is>
      </c>
    </row>
    <row r="19">
      <c r="A19" s="2" t="inlineStr">
        <is>
          <t>追加アクセス22.5万×¥12≒追加広告費約¥270万 → 増分ROAS約4.6倍。絶対条件はスーツケース在庫。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6" customWidth="1" min="4" max="4"/>
    <col width="10" customWidth="1" min="5" max="5"/>
  </cols>
  <sheetData>
    <row r="1">
      <c r="A1" s="1" t="inlineStr">
        <is>
          <t>スーツケース × ハンディファン 分解 → 合算（公式7月ベース）</t>
        </is>
      </c>
    </row>
    <row r="2">
      <c r="A2" s="2" t="inlineStr">
        <is>
          <t>分解：冬(1-2月)客単価¥29,500=スーツケース、ファン¥3,500と置き各セグメント客単価から逆算。</t>
        </is>
      </c>
    </row>
    <row r="4">
      <c r="A4" s="3" t="inlineStr">
        <is>
          <t>区分</t>
        </is>
      </c>
      <c r="B4" s="3" t="inlineStr">
        <is>
          <t>ベース(通常)</t>
        </is>
      </c>
      <c r="C4" s="3" t="inlineStr">
        <is>
          <t>増額の追加</t>
        </is>
      </c>
      <c r="D4" s="3" t="inlineStr">
        <is>
          <t>増額後</t>
        </is>
      </c>
      <c r="E4" s="3" t="inlineStr">
        <is>
          <t>構成比</t>
        </is>
      </c>
    </row>
    <row r="5">
      <c r="A5" s="36" t="inlineStr">
        <is>
          <t>スーツケース</t>
        </is>
      </c>
      <c r="B5" s="37" t="n">
        <v>37996670</v>
      </c>
      <c r="C5" s="37" t="n">
        <v>10084233</v>
      </c>
      <c r="D5" s="37" t="n">
        <v>48080903</v>
      </c>
      <c r="E5" s="38" t="n">
        <v>0.8063194637754284</v>
      </c>
    </row>
    <row r="6">
      <c r="A6" s="39" t="inlineStr">
        <is>
          <t>ハンディファン</t>
        </is>
      </c>
      <c r="B6" s="40" t="n">
        <v>9276649</v>
      </c>
      <c r="C6" s="40" t="n">
        <v>2272539</v>
      </c>
      <c r="D6" s="40" t="n">
        <v>11549188</v>
      </c>
      <c r="E6" s="41" t="n">
        <v>0.1936805362245716</v>
      </c>
    </row>
    <row r="7">
      <c r="A7" s="29" t="inlineStr">
        <is>
          <t>合算</t>
        </is>
      </c>
      <c r="B7" s="30" t="n">
        <v>47273319</v>
      </c>
      <c r="C7" s="30" t="n">
        <v>12356772</v>
      </c>
      <c r="D7" s="30" t="n">
        <v>59630091</v>
      </c>
      <c r="E7" s="42" t="n">
        <v>1</v>
      </c>
    </row>
    <row r="10">
      <c r="A10" s="31" t="inlineStr">
        <is>
          <t>セグメント別内訳（増額後・月間）</t>
        </is>
      </c>
    </row>
    <row r="11">
      <c r="A11" s="3" t="inlineStr">
        <is>
          <t>セグメント</t>
        </is>
      </c>
      <c r="B11" s="3" t="inlineStr">
        <is>
          <t>スーツケース</t>
        </is>
      </c>
      <c r="C11" s="3" t="inlineStr">
        <is>
          <t>ハンディファン</t>
        </is>
      </c>
      <c r="D11" s="3" t="inlineStr">
        <is>
          <t>合計</t>
        </is>
      </c>
    </row>
    <row r="12">
      <c r="A12" s="43" t="inlineStr">
        <is>
          <t>かぶり日（8/5・10・25）</t>
        </is>
      </c>
      <c r="B12" s="44" t="n">
        <v>12287844</v>
      </c>
      <c r="C12" s="44" t="n">
        <v>2512050</v>
      </c>
      <c r="D12" s="44" t="n">
        <v>14799894</v>
      </c>
    </row>
    <row r="13">
      <c r="A13" s="45" t="inlineStr">
        <is>
          <t>5と0単独（8/15・20・30）</t>
        </is>
      </c>
      <c r="B13" s="46" t="n">
        <v>4623462</v>
      </c>
      <c r="C13" s="46" t="n">
        <v>2160327</v>
      </c>
      <c r="D13" s="46" t="n">
        <v>6783789</v>
      </c>
    </row>
    <row r="14">
      <c r="A14" s="47" t="inlineStr">
        <is>
          <t>ワンダフルデー（8/1）</t>
        </is>
      </c>
      <c r="B14" s="48" t="n">
        <v>2126156</v>
      </c>
      <c r="C14" s="48" t="n">
        <v>16487</v>
      </c>
      <c r="D14" s="48" t="n">
        <v>2142643</v>
      </c>
    </row>
    <row r="15">
      <c r="A15" s="49" t="inlineStr">
        <is>
          <t>マラソン通常（8/4・6・7・8・9・24・26）</t>
        </is>
      </c>
      <c r="B15" s="50" t="n">
        <v>11158455</v>
      </c>
      <c r="C15" s="50" t="n">
        <v>1584765</v>
      </c>
      <c r="D15" s="50" t="n">
        <v>12743220</v>
      </c>
    </row>
    <row r="16">
      <c r="A16" s="51" t="inlineStr">
        <is>
          <t>平日（17日）</t>
        </is>
      </c>
      <c r="B16" s="52" t="n">
        <v>17884986</v>
      </c>
      <c r="C16" s="52" t="n">
        <v>5275559</v>
      </c>
      <c r="D16" s="52" t="n">
        <v>23160545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グラフ（公式7月ベース）</t>
        </is>
      </c>
      <c r="H1" t="inlineStr">
        <is>
          <t>区分</t>
        </is>
      </c>
      <c r="I1" t="inlineStr">
        <is>
          <t>ベース</t>
        </is>
      </c>
      <c r="J1" t="inlineStr">
        <is>
          <t>増額後</t>
        </is>
      </c>
    </row>
    <row r="2">
      <c r="H2" t="inlineStr">
        <is>
          <t>スーツケース</t>
        </is>
      </c>
      <c r="I2" t="n">
        <v>37996670</v>
      </c>
      <c r="J2" t="n">
        <v>48080903</v>
      </c>
    </row>
    <row r="3">
      <c r="H3" t="inlineStr">
        <is>
          <t>ハンディファン</t>
        </is>
      </c>
      <c r="I3" t="n">
        <v>9276649</v>
      </c>
      <c r="J3" t="n">
        <v>11549188</v>
      </c>
    </row>
    <row r="4">
      <c r="H4" t="inlineStr">
        <is>
          <t>合算</t>
        </is>
      </c>
      <c r="I4" t="n">
        <v>47273319</v>
      </c>
      <c r="J4" t="n">
        <v>59630091</v>
      </c>
    </row>
    <row r="8">
      <c r="H8" t="inlineStr">
        <is>
          <t>セグメント</t>
        </is>
      </c>
      <c r="I8" t="inlineStr">
        <is>
          <t>ベース/日</t>
        </is>
      </c>
      <c r="J8" t="inlineStr">
        <is>
          <t>増額後/日</t>
        </is>
      </c>
    </row>
    <row r="9">
      <c r="H9" t="inlineStr">
        <is>
          <t>かぶり日</t>
        </is>
      </c>
      <c r="I9" t="n">
        <v>3979792</v>
      </c>
      <c r="J9" t="n">
        <v>4933298</v>
      </c>
    </row>
    <row r="10">
      <c r="H10" t="inlineStr">
        <is>
          <t>5と0単独</t>
        </is>
      </c>
      <c r="I10" t="n">
        <v>1647756</v>
      </c>
      <c r="J10" t="n">
        <v>2261263</v>
      </c>
    </row>
    <row r="11">
      <c r="H11" t="inlineStr">
        <is>
          <t>ワンダフル</t>
        </is>
      </c>
      <c r="I11" t="n">
        <v>1199910</v>
      </c>
      <c r="J11" t="n">
        <v>2142643</v>
      </c>
    </row>
    <row r="12">
      <c r="H12" t="inlineStr">
        <is>
          <t>マラソン通常</t>
        </is>
      </c>
      <c r="I12" t="n">
        <v>1357078</v>
      </c>
      <c r="J12" t="n">
        <v>1820460</v>
      </c>
    </row>
    <row r="13">
      <c r="H13" t="inlineStr">
        <is>
          <t>平日</t>
        </is>
      </c>
      <c r="I13" t="n">
        <v>1158307</v>
      </c>
      <c r="J13" t="n">
        <v>1362385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22" customWidth="1" min="9" max="9"/>
  </cols>
  <sheetData>
    <row r="1">
      <c r="A1" s="1" t="inlineStr">
        <is>
          <t>8月 日別明細（公式カレンダー・公式7月ベース・転換率キープ）</t>
        </is>
      </c>
    </row>
    <row r="3">
      <c r="A3" s="3" t="inlineStr">
        <is>
          <t>日付</t>
        </is>
      </c>
      <c r="B3" s="3" t="inlineStr">
        <is>
          <t>曜日</t>
        </is>
      </c>
      <c r="C3" s="3" t="inlineStr">
        <is>
          <t>セグメント</t>
        </is>
      </c>
      <c r="D3" s="3" t="inlineStr">
        <is>
          <t>SC売上</t>
        </is>
      </c>
      <c r="E3" s="3" t="inlineStr">
        <is>
          <t>FAN売上</t>
        </is>
      </c>
      <c r="F3" s="3" t="inlineStr">
        <is>
          <t>ベース計</t>
        </is>
      </c>
      <c r="G3" s="3" t="inlineStr">
        <is>
          <t>増額後</t>
        </is>
      </c>
      <c r="H3" s="3" t="inlineStr">
        <is>
          <t>差額</t>
        </is>
      </c>
      <c r="I3" s="3" t="inlineStr">
        <is>
          <t>メモ</t>
        </is>
      </c>
    </row>
    <row r="4">
      <c r="A4" s="15" t="inlineStr">
        <is>
          <t>8/1(土)</t>
        </is>
      </c>
      <c r="B4" s="15" t="inlineStr">
        <is>
          <t>土</t>
        </is>
      </c>
      <c r="C4" s="14" t="inlineStr">
        <is>
          <t>ワンダフルデー</t>
        </is>
      </c>
      <c r="D4" s="17" t="n">
        <v>1190677</v>
      </c>
      <c r="E4" s="17" t="n">
        <v>9233</v>
      </c>
      <c r="F4" s="17" t="n">
        <v>1199910</v>
      </c>
      <c r="G4" s="17" t="n">
        <v>2142643</v>
      </c>
      <c r="H4" s="17" t="n">
        <v>942733</v>
      </c>
      <c r="I4" s="14" t="inlineStr"/>
    </row>
    <row r="5">
      <c r="A5" s="25" t="inlineStr">
        <is>
          <t>8/2(日)</t>
        </is>
      </c>
      <c r="B5" s="25" t="inlineStr">
        <is>
          <t>日</t>
        </is>
      </c>
      <c r="C5" s="24" t="inlineStr">
        <is>
          <t>平日</t>
        </is>
      </c>
      <c r="D5" s="27" t="n">
        <v>894465</v>
      </c>
      <c r="E5" s="27" t="n">
        <v>263842</v>
      </c>
      <c r="F5" s="27" t="n">
        <v>1158307</v>
      </c>
      <c r="G5" s="27" t="n">
        <v>1362385</v>
      </c>
      <c r="H5" s="27" t="n">
        <v>204078</v>
      </c>
      <c r="I5" s="24" t="inlineStr"/>
    </row>
    <row r="6">
      <c r="A6" s="25" t="inlineStr">
        <is>
          <t>8/3(月)</t>
        </is>
      </c>
      <c r="B6" s="25" t="inlineStr">
        <is>
          <t>月</t>
        </is>
      </c>
      <c r="C6" s="24" t="inlineStr">
        <is>
          <t>平日</t>
        </is>
      </c>
      <c r="D6" s="27" t="n">
        <v>894465</v>
      </c>
      <c r="E6" s="27" t="n">
        <v>263842</v>
      </c>
      <c r="F6" s="27" t="n">
        <v>1158307</v>
      </c>
      <c r="G6" s="27" t="n">
        <v>1362385</v>
      </c>
      <c r="H6" s="27" t="n">
        <v>204078</v>
      </c>
      <c r="I6" s="24" t="inlineStr"/>
    </row>
    <row r="7">
      <c r="A7" s="20" t="inlineStr">
        <is>
          <t>8/4(火)</t>
        </is>
      </c>
      <c r="B7" s="20" t="inlineStr">
        <is>
          <t>火</t>
        </is>
      </c>
      <c r="C7" s="19" t="inlineStr">
        <is>
          <t>マラソン通常</t>
        </is>
      </c>
      <c r="D7" s="22" t="n">
        <v>1188310</v>
      </c>
      <c r="E7" s="22" t="n">
        <v>168768</v>
      </c>
      <c r="F7" s="22" t="n">
        <v>1357078</v>
      </c>
      <c r="G7" s="22" t="n">
        <v>1820460</v>
      </c>
      <c r="H7" s="22" t="n">
        <v>463382</v>
      </c>
      <c r="I7" s="19" t="inlineStr">
        <is>
          <t>本番20:00開始</t>
        </is>
      </c>
    </row>
    <row r="8">
      <c r="A8" s="5" t="inlineStr">
        <is>
          <t>8/5(水)</t>
        </is>
      </c>
      <c r="B8" s="5" t="inlineStr">
        <is>
          <t>水</t>
        </is>
      </c>
      <c r="C8" s="4" t="inlineStr">
        <is>
          <t>かぶり日</t>
        </is>
      </c>
      <c r="D8" s="7" t="n">
        <v>3304285</v>
      </c>
      <c r="E8" s="7" t="n">
        <v>675507</v>
      </c>
      <c r="F8" s="7" t="n">
        <v>3979792</v>
      </c>
      <c r="G8" s="7" t="n">
        <v>4933298</v>
      </c>
      <c r="H8" s="7" t="n">
        <v>953506</v>
      </c>
      <c r="I8" s="4" t="inlineStr">
        <is>
          <t>★マラソン×5と0</t>
        </is>
      </c>
    </row>
    <row r="9">
      <c r="A9" s="20" t="inlineStr">
        <is>
          <t>8/6(木)</t>
        </is>
      </c>
      <c r="B9" s="20" t="inlineStr">
        <is>
          <t>木</t>
        </is>
      </c>
      <c r="C9" s="19" t="inlineStr">
        <is>
          <t>マラソン通常</t>
        </is>
      </c>
      <c r="D9" s="22" t="n">
        <v>1188310</v>
      </c>
      <c r="E9" s="22" t="n">
        <v>168768</v>
      </c>
      <c r="F9" s="22" t="n">
        <v>1357078</v>
      </c>
      <c r="G9" s="22" t="n">
        <v>1820460</v>
      </c>
      <c r="H9" s="22" t="n">
        <v>463382</v>
      </c>
      <c r="I9" s="19" t="inlineStr"/>
    </row>
    <row r="10">
      <c r="A10" s="20" t="inlineStr">
        <is>
          <t>8/7(金)</t>
        </is>
      </c>
      <c r="B10" s="20" t="inlineStr">
        <is>
          <t>金</t>
        </is>
      </c>
      <c r="C10" s="19" t="inlineStr">
        <is>
          <t>マラソン通常</t>
        </is>
      </c>
      <c r="D10" s="22" t="n">
        <v>1188310</v>
      </c>
      <c r="E10" s="22" t="n">
        <v>168768</v>
      </c>
      <c r="F10" s="22" t="n">
        <v>1357078</v>
      </c>
      <c r="G10" s="22" t="n">
        <v>1820460</v>
      </c>
      <c r="H10" s="22" t="n">
        <v>463382</v>
      </c>
      <c r="I10" s="19" t="inlineStr"/>
    </row>
    <row r="11">
      <c r="A11" s="20" t="inlineStr">
        <is>
          <t>8/8(土)</t>
        </is>
      </c>
      <c r="B11" s="20" t="inlineStr">
        <is>
          <t>土</t>
        </is>
      </c>
      <c r="C11" s="19" t="inlineStr">
        <is>
          <t>マラソン通常</t>
        </is>
      </c>
      <c r="D11" s="22" t="n">
        <v>1188310</v>
      </c>
      <c r="E11" s="22" t="n">
        <v>168768</v>
      </c>
      <c r="F11" s="22" t="n">
        <v>1357078</v>
      </c>
      <c r="G11" s="22" t="n">
        <v>1820460</v>
      </c>
      <c r="H11" s="22" t="n">
        <v>463382</v>
      </c>
      <c r="I11" s="19" t="inlineStr"/>
    </row>
    <row r="12">
      <c r="A12" s="20" t="inlineStr">
        <is>
          <t>8/9(日)</t>
        </is>
      </c>
      <c r="B12" s="20" t="inlineStr">
        <is>
          <t>日</t>
        </is>
      </c>
      <c r="C12" s="19" t="inlineStr">
        <is>
          <t>マラソン通常</t>
        </is>
      </c>
      <c r="D12" s="22" t="n">
        <v>1188310</v>
      </c>
      <c r="E12" s="22" t="n">
        <v>168768</v>
      </c>
      <c r="F12" s="22" t="n">
        <v>1357078</v>
      </c>
      <c r="G12" s="22" t="n">
        <v>1820460</v>
      </c>
      <c r="H12" s="22" t="n">
        <v>463382</v>
      </c>
      <c r="I12" s="19" t="inlineStr"/>
    </row>
    <row r="13">
      <c r="A13" s="5" t="inlineStr">
        <is>
          <t>8/10(月)</t>
        </is>
      </c>
      <c r="B13" s="5" t="inlineStr">
        <is>
          <t>月</t>
        </is>
      </c>
      <c r="C13" s="4" t="inlineStr">
        <is>
          <t>かぶり日</t>
        </is>
      </c>
      <c r="D13" s="7" t="n">
        <v>3304285</v>
      </c>
      <c r="E13" s="7" t="n">
        <v>675507</v>
      </c>
      <c r="F13" s="7" t="n">
        <v>3979792</v>
      </c>
      <c r="G13" s="7" t="n">
        <v>4933298</v>
      </c>
      <c r="H13" s="7" t="n">
        <v>953506</v>
      </c>
      <c r="I13" s="4" t="inlineStr">
        <is>
          <t>★マラソン×5と0</t>
        </is>
      </c>
    </row>
    <row r="14">
      <c r="A14" s="25" t="inlineStr">
        <is>
          <t>8/11(火)</t>
        </is>
      </c>
      <c r="B14" s="25" t="inlineStr">
        <is>
          <t>火</t>
        </is>
      </c>
      <c r="C14" s="24" t="inlineStr">
        <is>
          <t>平日</t>
        </is>
      </c>
      <c r="D14" s="27" t="n">
        <v>894465</v>
      </c>
      <c r="E14" s="27" t="n">
        <v>263842</v>
      </c>
      <c r="F14" s="27" t="n">
        <v>1158307</v>
      </c>
      <c r="G14" s="27" t="n">
        <v>1362385</v>
      </c>
      <c r="H14" s="27" t="n">
        <v>204078</v>
      </c>
      <c r="I14" s="24" t="inlineStr">
        <is>
          <t>マラソン①終了01:59</t>
        </is>
      </c>
    </row>
    <row r="15">
      <c r="A15" s="25" t="inlineStr">
        <is>
          <t>8/12(水)</t>
        </is>
      </c>
      <c r="B15" s="25" t="inlineStr">
        <is>
          <t>水</t>
        </is>
      </c>
      <c r="C15" s="24" t="inlineStr">
        <is>
          <t>平日</t>
        </is>
      </c>
      <c r="D15" s="27" t="n">
        <v>894465</v>
      </c>
      <c r="E15" s="27" t="n">
        <v>263842</v>
      </c>
      <c r="F15" s="27" t="n">
        <v>1158307</v>
      </c>
      <c r="G15" s="27" t="n">
        <v>1362385</v>
      </c>
      <c r="H15" s="27" t="n">
        <v>204078</v>
      </c>
      <c r="I15" s="24" t="inlineStr"/>
    </row>
    <row r="16">
      <c r="A16" s="25" t="inlineStr">
        <is>
          <t>8/13(木)</t>
        </is>
      </c>
      <c r="B16" s="25" t="inlineStr">
        <is>
          <t>木</t>
        </is>
      </c>
      <c r="C16" s="24" t="inlineStr">
        <is>
          <t>平日</t>
        </is>
      </c>
      <c r="D16" s="27" t="n">
        <v>894465</v>
      </c>
      <c r="E16" s="27" t="n">
        <v>263842</v>
      </c>
      <c r="F16" s="27" t="n">
        <v>1158307</v>
      </c>
      <c r="G16" s="27" t="n">
        <v>1362385</v>
      </c>
      <c r="H16" s="27" t="n">
        <v>204078</v>
      </c>
      <c r="I16" s="24" t="inlineStr"/>
    </row>
    <row r="17">
      <c r="A17" s="25" t="inlineStr">
        <is>
          <t>8/14(金)</t>
        </is>
      </c>
      <c r="B17" s="25" t="inlineStr">
        <is>
          <t>金</t>
        </is>
      </c>
      <c r="C17" s="24" t="inlineStr">
        <is>
          <t>平日</t>
        </is>
      </c>
      <c r="D17" s="27" t="n">
        <v>894465</v>
      </c>
      <c r="E17" s="27" t="n">
        <v>263842</v>
      </c>
      <c r="F17" s="27" t="n">
        <v>1158307</v>
      </c>
      <c r="G17" s="27" t="n">
        <v>1362385</v>
      </c>
      <c r="H17" s="27" t="n">
        <v>204078</v>
      </c>
      <c r="I17" s="24" t="inlineStr"/>
    </row>
    <row r="18">
      <c r="A18" s="10" t="inlineStr">
        <is>
          <t>8/15(土)</t>
        </is>
      </c>
      <c r="B18" s="10" t="inlineStr">
        <is>
          <t>土</t>
        </is>
      </c>
      <c r="C18" s="9" t="inlineStr">
        <is>
          <t>5と0単独</t>
        </is>
      </c>
      <c r="D18" s="12" t="n">
        <v>1123021</v>
      </c>
      <c r="E18" s="12" t="n">
        <v>524735</v>
      </c>
      <c r="F18" s="12" t="n">
        <v>1647756</v>
      </c>
      <c r="G18" s="12" t="n">
        <v>2261263</v>
      </c>
      <c r="H18" s="12" t="n">
        <v>613507</v>
      </c>
      <c r="I18" s="9" t="inlineStr"/>
    </row>
    <row r="19">
      <c r="A19" s="25" t="inlineStr">
        <is>
          <t>8/16(日)</t>
        </is>
      </c>
      <c r="B19" s="25" t="inlineStr">
        <is>
          <t>日</t>
        </is>
      </c>
      <c r="C19" s="24" t="inlineStr">
        <is>
          <t>平日</t>
        </is>
      </c>
      <c r="D19" s="27" t="n">
        <v>894465</v>
      </c>
      <c r="E19" s="27" t="n">
        <v>263842</v>
      </c>
      <c r="F19" s="27" t="n">
        <v>1158307</v>
      </c>
      <c r="G19" s="27" t="n">
        <v>1362385</v>
      </c>
      <c r="H19" s="27" t="n">
        <v>204078</v>
      </c>
      <c r="I19" s="24" t="inlineStr"/>
    </row>
    <row r="20">
      <c r="A20" s="25" t="inlineStr">
        <is>
          <t>8/17(月)</t>
        </is>
      </c>
      <c r="B20" s="25" t="inlineStr">
        <is>
          <t>月</t>
        </is>
      </c>
      <c r="C20" s="24" t="inlineStr">
        <is>
          <t>平日</t>
        </is>
      </c>
      <c r="D20" s="27" t="n">
        <v>894465</v>
      </c>
      <c r="E20" s="27" t="n">
        <v>263842</v>
      </c>
      <c r="F20" s="27" t="n">
        <v>1158307</v>
      </c>
      <c r="G20" s="27" t="n">
        <v>1362385</v>
      </c>
      <c r="H20" s="27" t="n">
        <v>204078</v>
      </c>
      <c r="I20" s="24" t="inlineStr"/>
    </row>
    <row r="21">
      <c r="A21" s="25" t="inlineStr">
        <is>
          <t>8/18(火)</t>
        </is>
      </c>
      <c r="B21" s="25" t="inlineStr">
        <is>
          <t>火</t>
        </is>
      </c>
      <c r="C21" s="24" t="inlineStr">
        <is>
          <t>平日</t>
        </is>
      </c>
      <c r="D21" s="27" t="n">
        <v>894465</v>
      </c>
      <c r="E21" s="27" t="n">
        <v>263842</v>
      </c>
      <c r="F21" s="27" t="n">
        <v>1158307</v>
      </c>
      <c r="G21" s="27" t="n">
        <v>1362385</v>
      </c>
      <c r="H21" s="27" t="n">
        <v>204078</v>
      </c>
      <c r="I21" s="24" t="inlineStr"/>
    </row>
    <row r="22">
      <c r="A22" s="25" t="inlineStr">
        <is>
          <t>8/19(水)</t>
        </is>
      </c>
      <c r="B22" s="25" t="inlineStr">
        <is>
          <t>水</t>
        </is>
      </c>
      <c r="C22" s="24" t="inlineStr">
        <is>
          <t>平日</t>
        </is>
      </c>
      <c r="D22" s="27" t="n">
        <v>894465</v>
      </c>
      <c r="E22" s="27" t="n">
        <v>263842</v>
      </c>
      <c r="F22" s="27" t="n">
        <v>1158307</v>
      </c>
      <c r="G22" s="27" t="n">
        <v>1362385</v>
      </c>
      <c r="H22" s="27" t="n">
        <v>204078</v>
      </c>
      <c r="I22" s="24" t="inlineStr"/>
    </row>
    <row r="23">
      <c r="A23" s="10" t="inlineStr">
        <is>
          <t>8/20(木)</t>
        </is>
      </c>
      <c r="B23" s="10" t="inlineStr">
        <is>
          <t>木</t>
        </is>
      </c>
      <c r="C23" s="9" t="inlineStr">
        <is>
          <t>5と0単独</t>
        </is>
      </c>
      <c r="D23" s="12" t="n">
        <v>1123021</v>
      </c>
      <c r="E23" s="12" t="n">
        <v>524735</v>
      </c>
      <c r="F23" s="12" t="n">
        <v>1647756</v>
      </c>
      <c r="G23" s="12" t="n">
        <v>2261263</v>
      </c>
      <c r="H23" s="12" t="n">
        <v>613507</v>
      </c>
      <c r="I23" s="9" t="inlineStr"/>
    </row>
    <row r="24">
      <c r="A24" s="25" t="inlineStr">
        <is>
          <t>8/21(金)</t>
        </is>
      </c>
      <c r="B24" s="25" t="inlineStr">
        <is>
          <t>金</t>
        </is>
      </c>
      <c r="C24" s="24" t="inlineStr">
        <is>
          <t>平日</t>
        </is>
      </c>
      <c r="D24" s="27" t="n">
        <v>894465</v>
      </c>
      <c r="E24" s="27" t="n">
        <v>263842</v>
      </c>
      <c r="F24" s="27" t="n">
        <v>1158307</v>
      </c>
      <c r="G24" s="27" t="n">
        <v>1362385</v>
      </c>
      <c r="H24" s="27" t="n">
        <v>204078</v>
      </c>
      <c r="I24" s="24" t="inlineStr"/>
    </row>
    <row r="25">
      <c r="A25" s="25" t="inlineStr">
        <is>
          <t>8/22(土)</t>
        </is>
      </c>
      <c r="B25" s="25" t="inlineStr">
        <is>
          <t>土</t>
        </is>
      </c>
      <c r="C25" s="24" t="inlineStr">
        <is>
          <t>平日</t>
        </is>
      </c>
      <c r="D25" s="27" t="n">
        <v>894465</v>
      </c>
      <c r="E25" s="27" t="n">
        <v>263842</v>
      </c>
      <c r="F25" s="27" t="n">
        <v>1158307</v>
      </c>
      <c r="G25" s="27" t="n">
        <v>1362385</v>
      </c>
      <c r="H25" s="27" t="n">
        <v>204078</v>
      </c>
      <c r="I25" s="24" t="inlineStr"/>
    </row>
    <row r="26">
      <c r="A26" s="25" t="inlineStr">
        <is>
          <t>8/23(日)</t>
        </is>
      </c>
      <c r="B26" s="25" t="inlineStr">
        <is>
          <t>日</t>
        </is>
      </c>
      <c r="C26" s="24" t="inlineStr">
        <is>
          <t>平日</t>
        </is>
      </c>
      <c r="D26" s="27" t="n">
        <v>894465</v>
      </c>
      <c r="E26" s="27" t="n">
        <v>263842</v>
      </c>
      <c r="F26" s="27" t="n">
        <v>1158307</v>
      </c>
      <c r="G26" s="27" t="n">
        <v>1362385</v>
      </c>
      <c r="H26" s="27" t="n">
        <v>204078</v>
      </c>
      <c r="I26" s="24" t="inlineStr"/>
    </row>
    <row r="27">
      <c r="A27" s="20" t="inlineStr">
        <is>
          <t>8/24(月)</t>
        </is>
      </c>
      <c r="B27" s="20" t="inlineStr">
        <is>
          <t>月</t>
        </is>
      </c>
      <c r="C27" s="19" t="inlineStr">
        <is>
          <t>マラソン通常</t>
        </is>
      </c>
      <c r="D27" s="22" t="n">
        <v>1188310</v>
      </c>
      <c r="E27" s="22" t="n">
        <v>168768</v>
      </c>
      <c r="F27" s="22" t="n">
        <v>1357078</v>
      </c>
      <c r="G27" s="22" t="n">
        <v>1820460</v>
      </c>
      <c r="H27" s="22" t="n">
        <v>463382</v>
      </c>
      <c r="I27" s="19" t="inlineStr">
        <is>
          <t>本番20:00開始</t>
        </is>
      </c>
    </row>
    <row r="28">
      <c r="A28" s="5" t="inlineStr">
        <is>
          <t>8/25(火)</t>
        </is>
      </c>
      <c r="B28" s="5" t="inlineStr">
        <is>
          <t>火</t>
        </is>
      </c>
      <c r="C28" s="4" t="inlineStr">
        <is>
          <t>かぶり日</t>
        </is>
      </c>
      <c r="D28" s="7" t="n">
        <v>3304285</v>
      </c>
      <c r="E28" s="7" t="n">
        <v>675507</v>
      </c>
      <c r="F28" s="7" t="n">
        <v>3979792</v>
      </c>
      <c r="G28" s="7" t="n">
        <v>4933298</v>
      </c>
      <c r="H28" s="7" t="n">
        <v>953506</v>
      </c>
      <c r="I28" s="4" t="inlineStr">
        <is>
          <t>★マラソン×5と0</t>
        </is>
      </c>
    </row>
    <row r="29">
      <c r="A29" s="20" t="inlineStr">
        <is>
          <t>8/26(水)</t>
        </is>
      </c>
      <c r="B29" s="20" t="inlineStr">
        <is>
          <t>水</t>
        </is>
      </c>
      <c r="C29" s="19" t="inlineStr">
        <is>
          <t>マラソン通常</t>
        </is>
      </c>
      <c r="D29" s="22" t="n">
        <v>1188310</v>
      </c>
      <c r="E29" s="22" t="n">
        <v>168768</v>
      </c>
      <c r="F29" s="22" t="n">
        <v>1357078</v>
      </c>
      <c r="G29" s="22" t="n">
        <v>1820460</v>
      </c>
      <c r="H29" s="22" t="n">
        <v>463382</v>
      </c>
      <c r="I29" s="19" t="inlineStr"/>
    </row>
    <row r="30">
      <c r="A30" s="25" t="inlineStr">
        <is>
          <t>8/27(木)</t>
        </is>
      </c>
      <c r="B30" s="25" t="inlineStr">
        <is>
          <t>木</t>
        </is>
      </c>
      <c r="C30" s="24" t="inlineStr">
        <is>
          <t>平日</t>
        </is>
      </c>
      <c r="D30" s="27" t="n">
        <v>894465</v>
      </c>
      <c r="E30" s="27" t="n">
        <v>263842</v>
      </c>
      <c r="F30" s="27" t="n">
        <v>1158307</v>
      </c>
      <c r="G30" s="27" t="n">
        <v>1362385</v>
      </c>
      <c r="H30" s="27" t="n">
        <v>204078</v>
      </c>
      <c r="I30" s="24" t="inlineStr">
        <is>
          <t>マラソン②終了09:59</t>
        </is>
      </c>
    </row>
    <row r="31">
      <c r="A31" s="25" t="inlineStr">
        <is>
          <t>8/28(金)</t>
        </is>
      </c>
      <c r="B31" s="25" t="inlineStr">
        <is>
          <t>金</t>
        </is>
      </c>
      <c r="C31" s="24" t="inlineStr">
        <is>
          <t>平日</t>
        </is>
      </c>
      <c r="D31" s="27" t="n">
        <v>894465</v>
      </c>
      <c r="E31" s="27" t="n">
        <v>263842</v>
      </c>
      <c r="F31" s="27" t="n">
        <v>1158307</v>
      </c>
      <c r="G31" s="27" t="n">
        <v>1362385</v>
      </c>
      <c r="H31" s="27" t="n">
        <v>204078</v>
      </c>
      <c r="I31" s="24" t="inlineStr"/>
    </row>
    <row r="32">
      <c r="A32" s="25" t="inlineStr">
        <is>
          <t>8/29(土)</t>
        </is>
      </c>
      <c r="B32" s="25" t="inlineStr">
        <is>
          <t>土</t>
        </is>
      </c>
      <c r="C32" s="24" t="inlineStr">
        <is>
          <t>平日</t>
        </is>
      </c>
      <c r="D32" s="27" t="n">
        <v>894465</v>
      </c>
      <c r="E32" s="27" t="n">
        <v>263842</v>
      </c>
      <c r="F32" s="27" t="n">
        <v>1158307</v>
      </c>
      <c r="G32" s="27" t="n">
        <v>1362385</v>
      </c>
      <c r="H32" s="27" t="n">
        <v>204078</v>
      </c>
      <c r="I32" s="24" t="inlineStr"/>
    </row>
    <row r="33">
      <c r="A33" s="10" t="inlineStr">
        <is>
          <t>8/30(日)</t>
        </is>
      </c>
      <c r="B33" s="10" t="inlineStr">
        <is>
          <t>日</t>
        </is>
      </c>
      <c r="C33" s="9" t="inlineStr">
        <is>
          <t>5と0単独</t>
        </is>
      </c>
      <c r="D33" s="12" t="n">
        <v>1123021</v>
      </c>
      <c r="E33" s="12" t="n">
        <v>524735</v>
      </c>
      <c r="F33" s="12" t="n">
        <v>1647756</v>
      </c>
      <c r="G33" s="12" t="n">
        <v>2261263</v>
      </c>
      <c r="H33" s="12" t="n">
        <v>613507</v>
      </c>
      <c r="I33" s="9" t="inlineStr"/>
    </row>
    <row r="34">
      <c r="A34" s="25" t="inlineStr">
        <is>
          <t>8/31(月)</t>
        </is>
      </c>
      <c r="B34" s="25" t="inlineStr">
        <is>
          <t>月</t>
        </is>
      </c>
      <c r="C34" s="24" t="inlineStr">
        <is>
          <t>平日</t>
        </is>
      </c>
      <c r="D34" s="27" t="n">
        <v>894465</v>
      </c>
      <c r="E34" s="27" t="n">
        <v>263842</v>
      </c>
      <c r="F34" s="27" t="n">
        <v>1158307</v>
      </c>
      <c r="G34" s="27" t="n">
        <v>1362385</v>
      </c>
      <c r="H34" s="27" t="n">
        <v>204078</v>
      </c>
      <c r="I34" s="24" t="inlineStr"/>
    </row>
    <row r="35">
      <c r="A35" s="29" t="inlineStr">
        <is>
          <t>合計</t>
        </is>
      </c>
      <c r="B35" s="29" t="n"/>
      <c r="C35" s="29" t="n"/>
      <c r="D35" s="29" t="n"/>
      <c r="E35" s="29" t="n"/>
      <c r="F35" s="30" t="n">
        <v>47273319</v>
      </c>
      <c r="G35" s="30" t="n">
        <v>59630091</v>
      </c>
      <c r="H35" s="30" t="n">
        <v>12356772</v>
      </c>
      <c r="I35" s="29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31" t="inlineStr">
        <is>
          <t>公式カレンダーによる修正内容</t>
        </is>
      </c>
    </row>
    <row r="2">
      <c r="A2" s="58" t="inlineStr">
        <is>
          <t xml:space="preserve">  ・7月マラソン② 7/19(日)20:00〜7/26(日)01:59 が公式判明 → 7/20・7/25は「かぶり日」、7/19・21〜24は「マラソン通常」に再分類。</t>
        </is>
      </c>
    </row>
    <row r="3">
      <c r="A3" s="58" t="inlineStr">
        <is>
          <t xml:space="preserve">  ・旧推定版：ベース¥53.0M/増額後¥66.8M → 公式版：ベース¥47.3M/増額後¥59.6M（下方修正）。</t>
        </is>
      </c>
    </row>
    <row r="4">
      <c r="A4" s="58" t="inlineStr">
        <is>
          <t xml:space="preserve">  ・7月のかぶり日は4日(7/5,10,20,25)：日商平均¥3,979,792・転換0.73%。</t>
        </is>
      </c>
    </row>
    <row r="5">
      <c r="A5" s="58" t="inlineStr"/>
    </row>
    <row r="6">
      <c r="A6" s="31" t="inlineStr">
        <is>
          <t>前提</t>
        </is>
      </c>
    </row>
    <row r="7">
      <c r="A7" s="58" t="inlineStr">
        <is>
          <t xml:space="preserve">  ・転換率・客単価・販売ペース＝2026年7月実績（公式カレンダー分類）。転換率キープの理論値。</t>
        </is>
      </c>
    </row>
    <row r="8">
      <c r="A8" s="58" t="inlineStr">
        <is>
          <t xml:space="preserve">  ・SC/FAN分解：スーツケース客単価¥29,500(冬実績)・ファン¥3,500(価格帯)から逆算。</t>
        </is>
      </c>
    </row>
    <row r="9">
      <c r="A9" s="58" t="inlineStr">
        <is>
          <t xml:space="preserve">  ・5と0単独は7月n=1(7/15のみ)のため確度低め。8月実績で更新推奨。</t>
        </is>
      </c>
    </row>
    <row r="10">
      <c r="A10" s="58" t="inlineStr"/>
    </row>
    <row r="11">
      <c r="A11" s="31" t="inlineStr">
        <is>
          <t>検算</t>
        </is>
      </c>
    </row>
    <row r="12">
      <c r="A12" s="58" t="inlineStr">
        <is>
          <t xml:space="preserve">  ・まとめ=47,273,319/59,630,091、日別明細合計と一致を確認。SC(48,080,903)+FAN(11,549,188)=合算(59,630,091)。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42" customWidth="1" min="5" max="5"/>
  </cols>
  <sheetData>
    <row r="1">
      <c r="A1" s="69" t="inlineStr">
        <is>
          <t>用語解説：1アクセス価値 ／ アクセス単価の前提</t>
        </is>
      </c>
    </row>
    <row r="3" ht="30" customHeight="1">
      <c r="A3" s="70" t="inlineStr">
        <is>
          <t>定義</t>
        </is>
      </c>
      <c r="B3" s="71" t="inlineStr">
        <is>
          <t>お客さん1人がページに来たとき、平均していくら売上になるか</t>
        </is>
      </c>
      <c r="C3" s="72" t="n"/>
      <c r="D3" s="72" t="n"/>
      <c r="E3" s="72" t="n"/>
    </row>
    <row r="4" ht="30" customHeight="1">
      <c r="A4" s="70" t="inlineStr">
        <is>
          <t>計算式</t>
        </is>
      </c>
      <c r="B4" s="71" t="inlineStr">
        <is>
          <t>1アクセス価値 ＝ 転換率 × 客単価</t>
        </is>
      </c>
      <c r="C4" s="72" t="n"/>
      <c r="D4" s="72" t="n"/>
      <c r="E4" s="72" t="n"/>
    </row>
    <row r="5" ht="30" customHeight="1">
      <c r="A5" s="70" t="inlineStr">
        <is>
          <t>例（かぶり日・7月実績）</t>
        </is>
      </c>
      <c r="B5" s="71" t="inlineStr">
        <is>
          <t>転換率0.73% × 客単価¥13,048 ≒ ¥95。1,000人来たら約7人が買い、売上約¥95,000 → 1人あたり¥95</t>
        </is>
      </c>
      <c r="C5" s="72" t="n"/>
      <c r="D5" s="72" t="n"/>
      <c r="E5" s="72" t="n"/>
    </row>
    <row r="6" ht="30" customHeight="1">
      <c r="A6" s="70" t="inlineStr">
        <is>
          <t>使い方①（広告判断）</t>
        </is>
      </c>
      <c r="B6" s="71" t="inlineStr">
        <is>
          <t>アクセス単価と比べる。¥10で1人連れてきて、その日の価値が¥95なら9.5倍で返る計算</t>
        </is>
      </c>
      <c r="C6" s="72" t="n"/>
      <c r="D6" s="72" t="n"/>
      <c r="E6" s="72" t="n"/>
    </row>
    <row r="7" ht="30" customHeight="1">
      <c r="A7" s="70" t="inlineStr">
        <is>
          <t>使い方②（増額試算）</t>
        </is>
      </c>
      <c r="B7" s="71" t="inlineStr">
        <is>
          <t>追加売上 ＝ 増やすアクセス数 × 1アクセス価値。転換率×0.8のシナリオは価値を2割引きで見積もったもの</t>
        </is>
      </c>
      <c r="C7" s="72" t="n"/>
      <c r="D7" s="72" t="n"/>
      <c r="E7" s="72" t="n"/>
    </row>
    <row r="8" ht="30" customHeight="1">
      <c r="A8" s="70" t="inlineStr">
        <is>
          <t>★アクセス単価の統一前提</t>
        </is>
      </c>
      <c r="B8" s="71" t="inlineStr">
        <is>
          <t>スーツケース ¥10/アクセス ／ ハンディファン ¥8/アクセス（社長指定・全シート共通）</t>
        </is>
      </c>
      <c r="C8" s="72" t="n"/>
      <c r="D8" s="72" t="n"/>
      <c r="E8" s="72" t="n"/>
    </row>
    <row r="10">
      <c r="A10" s="31" t="inlineStr">
        <is>
          <t>セグメント別 1アクセス価値（7月公式実績・店舗全体）</t>
        </is>
      </c>
    </row>
    <row r="11">
      <c r="A11" s="73" t="inlineStr">
        <is>
          <t>区分</t>
        </is>
      </c>
      <c r="B11" s="73" t="inlineStr">
        <is>
          <t>1アクセス価値</t>
        </is>
      </c>
      <c r="C11" s="73" t="inlineStr">
        <is>
          <t>SC単価</t>
        </is>
      </c>
      <c r="D11" s="73" t="inlineStr">
        <is>
          <t>倍率</t>
        </is>
      </c>
      <c r="E11" s="73" t="inlineStr">
        <is>
          <t>読み方</t>
        </is>
      </c>
    </row>
    <row r="12">
      <c r="A12" s="43" t="inlineStr">
        <is>
          <t>かぶり日（イベント×5と0）</t>
        </is>
      </c>
      <c r="B12" s="44" t="n">
        <v>95</v>
      </c>
      <c r="C12" s="44" t="n">
        <v>10</v>
      </c>
      <c r="D12" s="74" t="n">
        <v>9.5</v>
      </c>
      <c r="E12" s="75" t="inlineStr">
        <is>
          <t>¥10仕入→¥95売上。最優先で広告を張る日</t>
        </is>
      </c>
    </row>
    <row r="13">
      <c r="A13" s="47" t="inlineStr">
        <is>
          <t>ワンダフルデー</t>
        </is>
      </c>
      <c r="B13" s="48" t="n">
        <v>94</v>
      </c>
      <c r="C13" s="48" t="n">
        <v>10</v>
      </c>
      <c r="D13" s="76" t="n">
        <v>9.4</v>
      </c>
      <c r="E13" s="77" t="inlineStr"/>
    </row>
    <row r="14">
      <c r="A14" s="45" t="inlineStr">
        <is>
          <t>5と0のつく日（単独）</t>
        </is>
      </c>
      <c r="B14" s="46" t="n">
        <v>61</v>
      </c>
      <c r="C14" s="46" t="n">
        <v>10</v>
      </c>
      <c r="D14" s="78" t="n">
        <v>6.1</v>
      </c>
      <c r="E14" s="79" t="inlineStr"/>
    </row>
    <row r="15">
      <c r="A15" s="49" t="inlineStr">
        <is>
          <t>マラソン通常</t>
        </is>
      </c>
      <c r="B15" s="50" t="n">
        <v>46</v>
      </c>
      <c r="C15" s="50" t="n">
        <v>10</v>
      </c>
      <c r="D15" s="80" t="n">
        <v>4.6</v>
      </c>
      <c r="E15" s="81" t="inlineStr"/>
    </row>
    <row r="16">
      <c r="A16" s="51" t="inlineStr">
        <is>
          <t>平日</t>
        </is>
      </c>
      <c r="B16" s="52" t="n">
        <v>41</v>
      </c>
      <c r="C16" s="52" t="n">
        <v>10</v>
      </c>
      <c r="D16" s="82" t="n">
        <v>4.1</v>
      </c>
      <c r="E16" s="83" t="inlineStr">
        <is>
          <t>それでも4.1倍。広告を切らない理由</t>
        </is>
      </c>
    </row>
    <row r="18">
      <c r="A18" s="2" t="inlineStr">
        <is>
          <t>※スーツケースのみの価値：平日¥45／かぶり日¥110。ハンディファンの広告費は¥8/アクセス（据え置き）。</t>
        </is>
      </c>
    </row>
  </sheetData>
  <mergeCells count="6">
    <mergeCell ref="B8:E8"/>
    <mergeCell ref="B4:E4"/>
    <mergeCell ref="B6:E6"/>
    <mergeCell ref="B7:E7"/>
    <mergeCell ref="B3:E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2026-07-27T15:12:19Z</dcterms:created>
  <dcterms:modified xsi:type="dcterms:W3CDTF">2026-07-27T16:11:53Z</dcterms:modified>
</cp:coreProperties>
</file>