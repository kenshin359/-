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別シミュレーション" sheetId="1" state="visible" r:id="rId1"/>
    <sheet name="前提条件・用語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¥#,##0"/>
    <numFmt numFmtId="166" formatCode="+¥#,##0;-¥#,##0"/>
  </numFmts>
  <fonts count="6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</font>
    <font>
      <name val="Arial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4B183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3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3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6" fontId="4" fillId="7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/>
    </xf>
    <xf numFmtId="3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6" fontId="0" fillId="8" borderId="1" applyAlignment="1" pivotButton="0" quotePrefix="0" xfId="0">
      <alignment horizontal="center" vertical="center" wrapText="1"/>
    </xf>
    <xf numFmtId="0" fontId="4" fillId="9" borderId="1" pivotButton="0" quotePrefix="0" xfId="0"/>
    <xf numFmtId="3" fontId="4" fillId="9" borderId="1" pivotButton="0" quotePrefix="0" xfId="0"/>
    <xf numFmtId="165" fontId="4" fillId="9" borderId="1" pivotButton="0" quotePrefix="0" xfId="0"/>
    <xf numFmtId="166" fontId="4" fillId="9" borderId="1" pivotButton="0" quotePrefix="0" xfId="0"/>
    <xf numFmtId="0" fontId="1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累計売上：計画 vs ¥6,500万ペース</a:t>
            </a:r>
          </a:p>
        </rich>
      </tx>
    </title>
    <plotArea>
      <lineChart>
        <grouping val="standard"/>
        <ser>
          <idx val="0"/>
          <order val="0"/>
          <tx>
            <strRef>
              <f>'日別シミュレーション'!H4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'日別シミュレーション'!$A$5:$A$35</f>
            </numRef>
          </cat>
          <val>
            <numRef>
              <f>'日別シミュレーション'!$H$5:$H$35</f>
            </numRef>
          </val>
        </ser>
        <ser>
          <idx val="1"/>
          <order val="1"/>
          <tx>
            <strRef>
              <f>'日別シミュレーション'!I4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'日別シミュレーション'!$A$5:$A$35</f>
            </numRef>
          </cat>
          <val>
            <numRef>
              <f>'日別シミュレーション'!$I$5:$I$35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累計売上</a:t>
                </a:r>
              </a:p>
            </rich>
          </tx>
        </title>
        <numFmt formatCode="¥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1" customWidth="1" min="3" max="3"/>
    <col width="10" customWidth="1" min="4" max="4"/>
    <col width="13" customWidth="1" min="5" max="5"/>
    <col width="11" customWidth="1" min="6" max="6"/>
    <col width="13" customWidth="1" min="7" max="7"/>
    <col width="14" customWidth="1" min="8" max="8"/>
    <col width="14" customWidth="1" min="9" max="9"/>
    <col width="14" customWidth="1" min="10" max="10"/>
    <col width="11" customWidth="1" min="11" max="11"/>
    <col width="24" customWidth="1" min="12" max="12"/>
  </cols>
  <sheetData>
    <row r="1">
      <c r="A1" s="1" t="inlineStr">
        <is>
          <t>8月 ¥6,500万達成 日別シミュレーション（決定版6本柱）</t>
        </is>
      </c>
    </row>
    <row r="2">
      <c r="A2" s="2" t="inlineStr">
        <is>
          <t>前提：SCアクセス 平日3万/イベント5万・転換率×0.9(コンテンツページで回復)・セット率5%・FANは据え置き。目標ペース＝¥6,500万÷31日の直線。貯金＝計画累計−目標ペース。</t>
        </is>
      </c>
    </row>
    <row r="4">
      <c r="A4" s="3" t="inlineStr">
        <is>
          <t>日付</t>
        </is>
      </c>
      <c r="B4" s="3" t="inlineStr">
        <is>
          <t>セグメント</t>
        </is>
      </c>
      <c r="C4" s="3" t="inlineStr">
        <is>
          <t>SCアクセス</t>
        </is>
      </c>
      <c r="D4" s="3" t="inlineStr">
        <is>
          <t>SC転換率</t>
        </is>
      </c>
      <c r="E4" s="3" t="inlineStr">
        <is>
          <t>SC売上</t>
        </is>
      </c>
      <c r="F4" s="3" t="inlineStr">
        <is>
          <t>FAN売上</t>
        </is>
      </c>
      <c r="G4" s="3" t="inlineStr">
        <is>
          <t>日合計</t>
        </is>
      </c>
      <c r="H4" s="3" t="inlineStr">
        <is>
          <t>累計</t>
        </is>
      </c>
      <c r="I4" s="3" t="inlineStr">
        <is>
          <t>目標ペース累計</t>
        </is>
      </c>
      <c r="J4" s="3" t="inlineStr">
        <is>
          <t>貯金(＋)/借金(−)</t>
        </is>
      </c>
      <c r="K4" s="3" t="inlineStr">
        <is>
          <t>SC広告費</t>
        </is>
      </c>
      <c r="L4" s="3" t="inlineStr">
        <is>
          <t>メモ</t>
        </is>
      </c>
    </row>
    <row r="5">
      <c r="A5" s="4" t="inlineStr">
        <is>
          <t>8/1(土)</t>
        </is>
      </c>
      <c r="B5" s="5" t="inlineStr">
        <is>
          <t>ワンダフルデー</t>
        </is>
      </c>
      <c r="C5" s="6" t="n">
        <v>50000</v>
      </c>
      <c r="D5" s="7" t="n">
        <v>0.00121085841591664</v>
      </c>
      <c r="E5" s="8" t="n">
        <v>1860181</v>
      </c>
      <c r="F5" s="8" t="n">
        <v>9233</v>
      </c>
      <c r="G5" s="8" t="n">
        <v>1869414</v>
      </c>
      <c r="H5" s="8" t="n">
        <v>1869414</v>
      </c>
      <c r="I5" s="8" t="n">
        <v>2096774</v>
      </c>
      <c r="J5" s="9" t="n">
        <v>-227360</v>
      </c>
      <c r="K5" s="8" t="n">
        <v>500000</v>
      </c>
      <c r="L5" s="5" t="inlineStr"/>
    </row>
    <row r="6">
      <c r="A6" s="10" t="inlineStr">
        <is>
          <t>8/2(日)</t>
        </is>
      </c>
      <c r="B6" s="11" t="inlineStr">
        <is>
          <t>平日</t>
        </is>
      </c>
      <c r="C6" s="12" t="n">
        <v>30000</v>
      </c>
      <c r="D6" s="13" t="n">
        <v>0.001364438388076151</v>
      </c>
      <c r="E6" s="14" t="n">
        <v>1257671</v>
      </c>
      <c r="F6" s="14" t="n">
        <v>263842</v>
      </c>
      <c r="G6" s="14" t="n">
        <v>1521513</v>
      </c>
      <c r="H6" s="14" t="n">
        <v>3390927</v>
      </c>
      <c r="I6" s="14" t="n">
        <v>4193548</v>
      </c>
      <c r="J6" s="9" t="n">
        <v>-802621</v>
      </c>
      <c r="K6" s="14" t="n">
        <v>300000</v>
      </c>
      <c r="L6" s="11" t="inlineStr"/>
    </row>
    <row r="7">
      <c r="A7" s="10" t="inlineStr">
        <is>
          <t>8/3(月)</t>
        </is>
      </c>
      <c r="B7" s="11" t="inlineStr">
        <is>
          <t>平日</t>
        </is>
      </c>
      <c r="C7" s="12" t="n">
        <v>30000</v>
      </c>
      <c r="D7" s="13" t="n">
        <v>0.001364438388076151</v>
      </c>
      <c r="E7" s="14" t="n">
        <v>1257671</v>
      </c>
      <c r="F7" s="14" t="n">
        <v>263842</v>
      </c>
      <c r="G7" s="14" t="n">
        <v>1521513</v>
      </c>
      <c r="H7" s="14" t="n">
        <v>4912440</v>
      </c>
      <c r="I7" s="14" t="n">
        <v>6290323</v>
      </c>
      <c r="J7" s="9" t="n">
        <v>-1377883</v>
      </c>
      <c r="K7" s="14" t="n">
        <v>300000</v>
      </c>
      <c r="L7" s="11" t="inlineStr"/>
    </row>
    <row r="8">
      <c r="A8" s="15" t="inlineStr">
        <is>
          <t>8/4(火)</t>
        </is>
      </c>
      <c r="B8" s="16" t="inlineStr">
        <is>
          <t>お買い物マラソン</t>
        </is>
      </c>
      <c r="C8" s="17" t="n">
        <v>50000</v>
      </c>
      <c r="D8" s="18" t="n">
        <v>0.001208450380652346</v>
      </c>
      <c r="E8" s="19" t="n">
        <v>1856482</v>
      </c>
      <c r="F8" s="19" t="n">
        <v>168768</v>
      </c>
      <c r="G8" s="19" t="n">
        <v>2025250</v>
      </c>
      <c r="H8" s="19" t="n">
        <v>6937690</v>
      </c>
      <c r="I8" s="19" t="n">
        <v>8387097</v>
      </c>
      <c r="J8" s="9" t="n">
        <v>-1449407</v>
      </c>
      <c r="K8" s="19" t="n">
        <v>500000</v>
      </c>
      <c r="L8" s="16" t="inlineStr">
        <is>
          <t>マラソン① 20:00開始</t>
        </is>
      </c>
    </row>
    <row r="9">
      <c r="A9" s="20" t="inlineStr">
        <is>
          <t>8/5(水)</t>
        </is>
      </c>
      <c r="B9" s="21" t="inlineStr">
        <is>
          <t>★かぶり(マラソン×5と0)</t>
        </is>
      </c>
      <c r="C9" s="22" t="n">
        <v>50000</v>
      </c>
      <c r="D9" s="23" t="n">
        <v>0.003360289877847474</v>
      </c>
      <c r="E9" s="24" t="n">
        <v>5162245</v>
      </c>
      <c r="F9" s="24" t="n">
        <v>675507</v>
      </c>
      <c r="G9" s="24" t="n">
        <v>5837752</v>
      </c>
      <c r="H9" s="24" t="n">
        <v>12775442</v>
      </c>
      <c r="I9" s="24" t="n">
        <v>10483871</v>
      </c>
      <c r="J9" s="25" t="n">
        <v>2291571</v>
      </c>
      <c r="K9" s="24" t="n">
        <v>500000</v>
      </c>
      <c r="L9" s="21" t="inlineStr"/>
    </row>
    <row r="10">
      <c r="A10" s="15" t="inlineStr">
        <is>
          <t>8/6(木)</t>
        </is>
      </c>
      <c r="B10" s="16" t="inlineStr">
        <is>
          <t>お買い物マラソン</t>
        </is>
      </c>
      <c r="C10" s="17" t="n">
        <v>50000</v>
      </c>
      <c r="D10" s="18" t="n">
        <v>0.001208450380652346</v>
      </c>
      <c r="E10" s="19" t="n">
        <v>1856482</v>
      </c>
      <c r="F10" s="19" t="n">
        <v>168768</v>
      </c>
      <c r="G10" s="19" t="n">
        <v>2025250</v>
      </c>
      <c r="H10" s="19" t="n">
        <v>14800692</v>
      </c>
      <c r="I10" s="19" t="n">
        <v>12580645</v>
      </c>
      <c r="J10" s="26" t="n">
        <v>2220047</v>
      </c>
      <c r="K10" s="19" t="n">
        <v>500000</v>
      </c>
      <c r="L10" s="16" t="inlineStr"/>
    </row>
    <row r="11">
      <c r="A11" s="15" t="inlineStr">
        <is>
          <t>8/7(金)</t>
        </is>
      </c>
      <c r="B11" s="16" t="inlineStr">
        <is>
          <t>お買い物マラソン</t>
        </is>
      </c>
      <c r="C11" s="17" t="n">
        <v>50000</v>
      </c>
      <c r="D11" s="18" t="n">
        <v>0.001208450380652346</v>
      </c>
      <c r="E11" s="19" t="n">
        <v>1856482</v>
      </c>
      <c r="F11" s="19" t="n">
        <v>168768</v>
      </c>
      <c r="G11" s="19" t="n">
        <v>2025250</v>
      </c>
      <c r="H11" s="19" t="n">
        <v>16825942</v>
      </c>
      <c r="I11" s="19" t="n">
        <v>14677419</v>
      </c>
      <c r="J11" s="26" t="n">
        <v>2148523</v>
      </c>
      <c r="K11" s="19" t="n">
        <v>500000</v>
      </c>
      <c r="L11" s="16" t="inlineStr"/>
    </row>
    <row r="12">
      <c r="A12" s="15" t="inlineStr">
        <is>
          <t>8/8(土)</t>
        </is>
      </c>
      <c r="B12" s="16" t="inlineStr">
        <is>
          <t>お買い物マラソン</t>
        </is>
      </c>
      <c r="C12" s="17" t="n">
        <v>50000</v>
      </c>
      <c r="D12" s="18" t="n">
        <v>0.001208450380652346</v>
      </c>
      <c r="E12" s="19" t="n">
        <v>1856482</v>
      </c>
      <c r="F12" s="19" t="n">
        <v>168768</v>
      </c>
      <c r="G12" s="19" t="n">
        <v>2025250</v>
      </c>
      <c r="H12" s="19" t="n">
        <v>18851192</v>
      </c>
      <c r="I12" s="19" t="n">
        <v>16774194</v>
      </c>
      <c r="J12" s="26" t="n">
        <v>2076998</v>
      </c>
      <c r="K12" s="19" t="n">
        <v>500000</v>
      </c>
      <c r="L12" s="16" t="inlineStr"/>
    </row>
    <row r="13">
      <c r="A13" s="15" t="inlineStr">
        <is>
          <t>8/9(日)</t>
        </is>
      </c>
      <c r="B13" s="16" t="inlineStr">
        <is>
          <t>お買い物マラソン</t>
        </is>
      </c>
      <c r="C13" s="17" t="n">
        <v>50000</v>
      </c>
      <c r="D13" s="18" t="n">
        <v>0.001208450380652346</v>
      </c>
      <c r="E13" s="19" t="n">
        <v>1856482</v>
      </c>
      <c r="F13" s="19" t="n">
        <v>168768</v>
      </c>
      <c r="G13" s="19" t="n">
        <v>2025250</v>
      </c>
      <c r="H13" s="19" t="n">
        <v>20876442</v>
      </c>
      <c r="I13" s="19" t="n">
        <v>18870968</v>
      </c>
      <c r="J13" s="26" t="n">
        <v>2005474</v>
      </c>
      <c r="K13" s="19" t="n">
        <v>500000</v>
      </c>
      <c r="L13" s="16" t="inlineStr"/>
    </row>
    <row r="14">
      <c r="A14" s="20" t="inlineStr">
        <is>
          <t>8/10(月)</t>
        </is>
      </c>
      <c r="B14" s="21" t="inlineStr">
        <is>
          <t>★かぶり(マラソン×5と0)</t>
        </is>
      </c>
      <c r="C14" s="22" t="n">
        <v>50000</v>
      </c>
      <c r="D14" s="23" t="n">
        <v>0.003360289877847474</v>
      </c>
      <c r="E14" s="24" t="n">
        <v>5162245</v>
      </c>
      <c r="F14" s="24" t="n">
        <v>675507</v>
      </c>
      <c r="G14" s="24" t="n">
        <v>5837752</v>
      </c>
      <c r="H14" s="24" t="n">
        <v>26714194</v>
      </c>
      <c r="I14" s="24" t="n">
        <v>20967742</v>
      </c>
      <c r="J14" s="25" t="n">
        <v>5746452</v>
      </c>
      <c r="K14" s="24" t="n">
        <v>500000</v>
      </c>
      <c r="L14" s="21" t="inlineStr"/>
    </row>
    <row r="15">
      <c r="A15" s="10" t="inlineStr">
        <is>
          <t>8/11(火)</t>
        </is>
      </c>
      <c r="B15" s="11" t="inlineStr">
        <is>
          <t>平日</t>
        </is>
      </c>
      <c r="C15" s="12" t="n">
        <v>30000</v>
      </c>
      <c r="D15" s="13" t="n">
        <v>0.001364438388076151</v>
      </c>
      <c r="E15" s="14" t="n">
        <v>1257671</v>
      </c>
      <c r="F15" s="14" t="n">
        <v>263842</v>
      </c>
      <c r="G15" s="14" t="n">
        <v>1521513</v>
      </c>
      <c r="H15" s="14" t="n">
        <v>28235707</v>
      </c>
      <c r="I15" s="14" t="n">
        <v>23064516</v>
      </c>
      <c r="J15" s="27" t="n">
        <v>5171191</v>
      </c>
      <c r="K15" s="14" t="n">
        <v>300000</v>
      </c>
      <c r="L15" s="11" t="inlineStr"/>
    </row>
    <row r="16">
      <c r="A16" s="10" t="inlineStr">
        <is>
          <t>8/12(水)</t>
        </is>
      </c>
      <c r="B16" s="11" t="inlineStr">
        <is>
          <t>平日</t>
        </is>
      </c>
      <c r="C16" s="12" t="n">
        <v>30000</v>
      </c>
      <c r="D16" s="13" t="n">
        <v>0.001364438388076151</v>
      </c>
      <c r="E16" s="14" t="n">
        <v>1257671</v>
      </c>
      <c r="F16" s="14" t="n">
        <v>263842</v>
      </c>
      <c r="G16" s="14" t="n">
        <v>1521513</v>
      </c>
      <c r="H16" s="14" t="n">
        <v>29757220</v>
      </c>
      <c r="I16" s="14" t="n">
        <v>25161290</v>
      </c>
      <c r="J16" s="27" t="n">
        <v>4595930</v>
      </c>
      <c r="K16" s="14" t="n">
        <v>300000</v>
      </c>
      <c r="L16" s="11" t="inlineStr"/>
    </row>
    <row r="17">
      <c r="A17" s="10" t="inlineStr">
        <is>
          <t>8/13(木)</t>
        </is>
      </c>
      <c r="B17" s="11" t="inlineStr">
        <is>
          <t>平日</t>
        </is>
      </c>
      <c r="C17" s="12" t="n">
        <v>30000</v>
      </c>
      <c r="D17" s="13" t="n">
        <v>0.001364438388076151</v>
      </c>
      <c r="E17" s="14" t="n">
        <v>1257671</v>
      </c>
      <c r="F17" s="14" t="n">
        <v>263842</v>
      </c>
      <c r="G17" s="14" t="n">
        <v>1521513</v>
      </c>
      <c r="H17" s="14" t="n">
        <v>31278733</v>
      </c>
      <c r="I17" s="14" t="n">
        <v>27258065</v>
      </c>
      <c r="J17" s="27" t="n">
        <v>4020668</v>
      </c>
      <c r="K17" s="14" t="n">
        <v>300000</v>
      </c>
      <c r="L17" s="11" t="inlineStr"/>
    </row>
    <row r="18">
      <c r="A18" s="10" t="inlineStr">
        <is>
          <t>8/14(金)</t>
        </is>
      </c>
      <c r="B18" s="11" t="inlineStr">
        <is>
          <t>平日</t>
        </is>
      </c>
      <c r="C18" s="12" t="n">
        <v>30000</v>
      </c>
      <c r="D18" s="13" t="n">
        <v>0.001364438388076151</v>
      </c>
      <c r="E18" s="14" t="n">
        <v>1257671</v>
      </c>
      <c r="F18" s="14" t="n">
        <v>263842</v>
      </c>
      <c r="G18" s="14" t="n">
        <v>1521513</v>
      </c>
      <c r="H18" s="14" t="n">
        <v>32800246</v>
      </c>
      <c r="I18" s="14" t="n">
        <v>29354839</v>
      </c>
      <c r="J18" s="27" t="n">
        <v>3445407</v>
      </c>
      <c r="K18" s="14" t="n">
        <v>300000</v>
      </c>
      <c r="L18" s="11" t="inlineStr"/>
    </row>
    <row r="19">
      <c r="A19" s="28" t="inlineStr">
        <is>
          <t>8/15(土)</t>
        </is>
      </c>
      <c r="B19" s="29" t="inlineStr">
        <is>
          <t>5と0のつく日</t>
        </is>
      </c>
      <c r="C19" s="30" t="n">
        <v>50000</v>
      </c>
      <c r="D19" s="31" t="n">
        <v>0.001142055641756988</v>
      </c>
      <c r="E19" s="32" t="n">
        <v>1754483</v>
      </c>
      <c r="F19" s="32" t="n">
        <v>524735</v>
      </c>
      <c r="G19" s="32" t="n">
        <v>2279218</v>
      </c>
      <c r="H19" s="32" t="n">
        <v>35079464</v>
      </c>
      <c r="I19" s="32" t="n">
        <v>31451613</v>
      </c>
      <c r="J19" s="33" t="n">
        <v>3627851</v>
      </c>
      <c r="K19" s="32" t="n">
        <v>500000</v>
      </c>
      <c r="L19" s="29" t="inlineStr"/>
    </row>
    <row r="20">
      <c r="A20" s="10" t="inlineStr">
        <is>
          <t>8/16(日)</t>
        </is>
      </c>
      <c r="B20" s="11" t="inlineStr">
        <is>
          <t>平日</t>
        </is>
      </c>
      <c r="C20" s="12" t="n">
        <v>30000</v>
      </c>
      <c r="D20" s="13" t="n">
        <v>0.001364438388076151</v>
      </c>
      <c r="E20" s="14" t="n">
        <v>1257671</v>
      </c>
      <c r="F20" s="14" t="n">
        <v>263842</v>
      </c>
      <c r="G20" s="14" t="n">
        <v>1521513</v>
      </c>
      <c r="H20" s="14" t="n">
        <v>36600977</v>
      </c>
      <c r="I20" s="14" t="n">
        <v>33548387</v>
      </c>
      <c r="J20" s="27" t="n">
        <v>3052590</v>
      </c>
      <c r="K20" s="14" t="n">
        <v>300000</v>
      </c>
      <c r="L20" s="11" t="inlineStr"/>
    </row>
    <row r="21">
      <c r="A21" s="10" t="inlineStr">
        <is>
          <t>8/17(月)</t>
        </is>
      </c>
      <c r="B21" s="11" t="inlineStr">
        <is>
          <t>平日</t>
        </is>
      </c>
      <c r="C21" s="12" t="n">
        <v>30000</v>
      </c>
      <c r="D21" s="13" t="n">
        <v>0.001364438388076151</v>
      </c>
      <c r="E21" s="14" t="n">
        <v>1257671</v>
      </c>
      <c r="F21" s="14" t="n">
        <v>263842</v>
      </c>
      <c r="G21" s="14" t="n">
        <v>1521513</v>
      </c>
      <c r="H21" s="14" t="n">
        <v>38122490</v>
      </c>
      <c r="I21" s="14" t="n">
        <v>35645161</v>
      </c>
      <c r="J21" s="27" t="n">
        <v>2477329</v>
      </c>
      <c r="K21" s="14" t="n">
        <v>300000</v>
      </c>
      <c r="L21" s="11" t="inlineStr"/>
    </row>
    <row r="22">
      <c r="A22" s="10" t="inlineStr">
        <is>
          <t>8/18(火)</t>
        </is>
      </c>
      <c r="B22" s="11" t="inlineStr">
        <is>
          <t>平日</t>
        </is>
      </c>
      <c r="C22" s="12" t="n">
        <v>30000</v>
      </c>
      <c r="D22" s="13" t="n">
        <v>0.001364438388076151</v>
      </c>
      <c r="E22" s="14" t="n">
        <v>1257671</v>
      </c>
      <c r="F22" s="14" t="n">
        <v>263842</v>
      </c>
      <c r="G22" s="14" t="n">
        <v>1521513</v>
      </c>
      <c r="H22" s="14" t="n">
        <v>39644003</v>
      </c>
      <c r="I22" s="14" t="n">
        <v>37741935</v>
      </c>
      <c r="J22" s="27" t="n">
        <v>1902068</v>
      </c>
      <c r="K22" s="14" t="n">
        <v>300000</v>
      </c>
      <c r="L22" s="11" t="inlineStr">
        <is>
          <t>ご愛顧感謝デー(会員限定・平日扱い)</t>
        </is>
      </c>
    </row>
    <row r="23">
      <c r="A23" s="10" t="inlineStr">
        <is>
          <t>8/19(水)</t>
        </is>
      </c>
      <c r="B23" s="11" t="inlineStr">
        <is>
          <t>平日</t>
        </is>
      </c>
      <c r="C23" s="12" t="n">
        <v>30000</v>
      </c>
      <c r="D23" s="13" t="n">
        <v>0.001364438388076151</v>
      </c>
      <c r="E23" s="14" t="n">
        <v>1257671</v>
      </c>
      <c r="F23" s="14" t="n">
        <v>263842</v>
      </c>
      <c r="G23" s="14" t="n">
        <v>1521513</v>
      </c>
      <c r="H23" s="14" t="n">
        <v>41165516</v>
      </c>
      <c r="I23" s="14" t="n">
        <v>39838710</v>
      </c>
      <c r="J23" s="27" t="n">
        <v>1326806</v>
      </c>
      <c r="K23" s="14" t="n">
        <v>300000</v>
      </c>
      <c r="L23" s="11" t="inlineStr"/>
    </row>
    <row r="24">
      <c r="A24" s="28" t="inlineStr">
        <is>
          <t>8/20(木)</t>
        </is>
      </c>
      <c r="B24" s="29" t="inlineStr">
        <is>
          <t>5と0のつく日</t>
        </is>
      </c>
      <c r="C24" s="30" t="n">
        <v>50000</v>
      </c>
      <c r="D24" s="31" t="n">
        <v>0.001142055641756988</v>
      </c>
      <c r="E24" s="32" t="n">
        <v>1754483</v>
      </c>
      <c r="F24" s="32" t="n">
        <v>524735</v>
      </c>
      <c r="G24" s="32" t="n">
        <v>2279218</v>
      </c>
      <c r="H24" s="32" t="n">
        <v>43444734</v>
      </c>
      <c r="I24" s="32" t="n">
        <v>41935484</v>
      </c>
      <c r="J24" s="33" t="n">
        <v>1509250</v>
      </c>
      <c r="K24" s="32" t="n">
        <v>500000</v>
      </c>
      <c r="L24" s="29" t="inlineStr"/>
    </row>
    <row r="25">
      <c r="A25" s="10" t="inlineStr">
        <is>
          <t>8/21(金)</t>
        </is>
      </c>
      <c r="B25" s="11" t="inlineStr">
        <is>
          <t>平日</t>
        </is>
      </c>
      <c r="C25" s="12" t="n">
        <v>30000</v>
      </c>
      <c r="D25" s="13" t="n">
        <v>0.001364438388076151</v>
      </c>
      <c r="E25" s="14" t="n">
        <v>1257671</v>
      </c>
      <c r="F25" s="14" t="n">
        <v>263842</v>
      </c>
      <c r="G25" s="14" t="n">
        <v>1521513</v>
      </c>
      <c r="H25" s="14" t="n">
        <v>44966247</v>
      </c>
      <c r="I25" s="14" t="n">
        <v>44032258</v>
      </c>
      <c r="J25" s="27" t="n">
        <v>933989</v>
      </c>
      <c r="K25" s="14" t="n">
        <v>300000</v>
      </c>
      <c r="L25" s="11" t="inlineStr"/>
    </row>
    <row r="26">
      <c r="A26" s="10" t="inlineStr">
        <is>
          <t>8/22(土)</t>
        </is>
      </c>
      <c r="B26" s="11" t="inlineStr">
        <is>
          <t>平日</t>
        </is>
      </c>
      <c r="C26" s="12" t="n">
        <v>30000</v>
      </c>
      <c r="D26" s="13" t="n">
        <v>0.001364438388076151</v>
      </c>
      <c r="E26" s="14" t="n">
        <v>1257671</v>
      </c>
      <c r="F26" s="14" t="n">
        <v>263842</v>
      </c>
      <c r="G26" s="14" t="n">
        <v>1521513</v>
      </c>
      <c r="H26" s="14" t="n">
        <v>46487760</v>
      </c>
      <c r="I26" s="14" t="n">
        <v>46129032</v>
      </c>
      <c r="J26" s="27" t="n">
        <v>358728</v>
      </c>
      <c r="K26" s="14" t="n">
        <v>300000</v>
      </c>
      <c r="L26" s="11" t="inlineStr"/>
    </row>
    <row r="27">
      <c r="A27" s="10" t="inlineStr">
        <is>
          <t>8/23(日)</t>
        </is>
      </c>
      <c r="B27" s="11" t="inlineStr">
        <is>
          <t>平日</t>
        </is>
      </c>
      <c r="C27" s="12" t="n">
        <v>30000</v>
      </c>
      <c r="D27" s="13" t="n">
        <v>0.001364438388076151</v>
      </c>
      <c r="E27" s="14" t="n">
        <v>1257671</v>
      </c>
      <c r="F27" s="14" t="n">
        <v>263842</v>
      </c>
      <c r="G27" s="14" t="n">
        <v>1521513</v>
      </c>
      <c r="H27" s="14" t="n">
        <v>48009273</v>
      </c>
      <c r="I27" s="14" t="n">
        <v>48225806</v>
      </c>
      <c r="J27" s="9" t="n">
        <v>-216533</v>
      </c>
      <c r="K27" s="14" t="n">
        <v>300000</v>
      </c>
      <c r="L27" s="11" t="inlineStr"/>
    </row>
    <row r="28">
      <c r="A28" s="15" t="inlineStr">
        <is>
          <t>8/24(月)</t>
        </is>
      </c>
      <c r="B28" s="16" t="inlineStr">
        <is>
          <t>お買い物マラソン</t>
        </is>
      </c>
      <c r="C28" s="17" t="n">
        <v>50000</v>
      </c>
      <c r="D28" s="18" t="n">
        <v>0.001208450380652346</v>
      </c>
      <c r="E28" s="19" t="n">
        <v>1856482</v>
      </c>
      <c r="F28" s="19" t="n">
        <v>168768</v>
      </c>
      <c r="G28" s="19" t="n">
        <v>2025250</v>
      </c>
      <c r="H28" s="19" t="n">
        <v>50034523</v>
      </c>
      <c r="I28" s="19" t="n">
        <v>50322581</v>
      </c>
      <c r="J28" s="9" t="n">
        <v>-288058</v>
      </c>
      <c r="K28" s="19" t="n">
        <v>500000</v>
      </c>
      <c r="L28" s="16" t="inlineStr">
        <is>
          <t>マラソン② 20:00開始</t>
        </is>
      </c>
    </row>
    <row r="29">
      <c r="A29" s="20" t="inlineStr">
        <is>
          <t>8/25(火)</t>
        </is>
      </c>
      <c r="B29" s="21" t="inlineStr">
        <is>
          <t>★かぶり(マラソン×5と0)</t>
        </is>
      </c>
      <c r="C29" s="22" t="n">
        <v>50000</v>
      </c>
      <c r="D29" s="23" t="n">
        <v>0.003360289877847474</v>
      </c>
      <c r="E29" s="24" t="n">
        <v>5162245</v>
      </c>
      <c r="F29" s="24" t="n">
        <v>675507</v>
      </c>
      <c r="G29" s="24" t="n">
        <v>5837752</v>
      </c>
      <c r="H29" s="24" t="n">
        <v>55872275</v>
      </c>
      <c r="I29" s="24" t="n">
        <v>52419355</v>
      </c>
      <c r="J29" s="25" t="n">
        <v>3452920</v>
      </c>
      <c r="K29" s="24" t="n">
        <v>500000</v>
      </c>
      <c r="L29" s="21" t="inlineStr"/>
    </row>
    <row r="30">
      <c r="A30" s="15" t="inlineStr">
        <is>
          <t>8/26(水)</t>
        </is>
      </c>
      <c r="B30" s="16" t="inlineStr">
        <is>
          <t>お買い物マラソン</t>
        </is>
      </c>
      <c r="C30" s="17" t="n">
        <v>50000</v>
      </c>
      <c r="D30" s="18" t="n">
        <v>0.001208450380652346</v>
      </c>
      <c r="E30" s="19" t="n">
        <v>1856482</v>
      </c>
      <c r="F30" s="19" t="n">
        <v>168768</v>
      </c>
      <c r="G30" s="19" t="n">
        <v>2025250</v>
      </c>
      <c r="H30" s="19" t="n">
        <v>57897525</v>
      </c>
      <c r="I30" s="19" t="n">
        <v>54516129</v>
      </c>
      <c r="J30" s="26" t="n">
        <v>3381396</v>
      </c>
      <c r="K30" s="19" t="n">
        <v>500000</v>
      </c>
      <c r="L30" s="16" t="inlineStr">
        <is>
          <t>マラソン② 最終盤(〜27日9:59)</t>
        </is>
      </c>
    </row>
    <row r="31">
      <c r="A31" s="10" t="inlineStr">
        <is>
          <t>8/27(木)</t>
        </is>
      </c>
      <c r="B31" s="11" t="inlineStr">
        <is>
          <t>平日</t>
        </is>
      </c>
      <c r="C31" s="12" t="n">
        <v>30000</v>
      </c>
      <c r="D31" s="13" t="n">
        <v>0.001364438388076151</v>
      </c>
      <c r="E31" s="14" t="n">
        <v>1257671</v>
      </c>
      <c r="F31" s="14" t="n">
        <v>263842</v>
      </c>
      <c r="G31" s="14" t="n">
        <v>1521513</v>
      </c>
      <c r="H31" s="14" t="n">
        <v>59419038</v>
      </c>
      <c r="I31" s="14" t="n">
        <v>56612903</v>
      </c>
      <c r="J31" s="27" t="n">
        <v>2806135</v>
      </c>
      <c r="K31" s="14" t="n">
        <v>300000</v>
      </c>
      <c r="L31" s="11" t="inlineStr"/>
    </row>
    <row r="32">
      <c r="A32" s="10" t="inlineStr">
        <is>
          <t>8/28(金)</t>
        </is>
      </c>
      <c r="B32" s="11" t="inlineStr">
        <is>
          <t>平日</t>
        </is>
      </c>
      <c r="C32" s="12" t="n">
        <v>30000</v>
      </c>
      <c r="D32" s="13" t="n">
        <v>0.001364438388076151</v>
      </c>
      <c r="E32" s="14" t="n">
        <v>1257671</v>
      </c>
      <c r="F32" s="14" t="n">
        <v>263842</v>
      </c>
      <c r="G32" s="14" t="n">
        <v>1521513</v>
      </c>
      <c r="H32" s="14" t="n">
        <v>60940551</v>
      </c>
      <c r="I32" s="14" t="n">
        <v>58709677</v>
      </c>
      <c r="J32" s="27" t="n">
        <v>2230874</v>
      </c>
      <c r="K32" s="14" t="n">
        <v>300000</v>
      </c>
      <c r="L32" s="11" t="inlineStr"/>
    </row>
    <row r="33">
      <c r="A33" s="10" t="inlineStr">
        <is>
          <t>8/29(土)</t>
        </is>
      </c>
      <c r="B33" s="11" t="inlineStr">
        <is>
          <t>平日</t>
        </is>
      </c>
      <c r="C33" s="12" t="n">
        <v>30000</v>
      </c>
      <c r="D33" s="13" t="n">
        <v>0.001364438388076151</v>
      </c>
      <c r="E33" s="14" t="n">
        <v>1257671</v>
      </c>
      <c r="F33" s="14" t="n">
        <v>263842</v>
      </c>
      <c r="G33" s="14" t="n">
        <v>1521513</v>
      </c>
      <c r="H33" s="14" t="n">
        <v>62462064</v>
      </c>
      <c r="I33" s="14" t="n">
        <v>60806452</v>
      </c>
      <c r="J33" s="27" t="n">
        <v>1655612</v>
      </c>
      <c r="K33" s="14" t="n">
        <v>300000</v>
      </c>
      <c r="L33" s="11" t="inlineStr"/>
    </row>
    <row r="34">
      <c r="A34" s="28" t="inlineStr">
        <is>
          <t>8/30(日)</t>
        </is>
      </c>
      <c r="B34" s="29" t="inlineStr">
        <is>
          <t>5と0のつく日</t>
        </is>
      </c>
      <c r="C34" s="30" t="n">
        <v>50000</v>
      </c>
      <c r="D34" s="31" t="n">
        <v>0.001142055641756988</v>
      </c>
      <c r="E34" s="32" t="n">
        <v>1754483</v>
      </c>
      <c r="F34" s="32" t="n">
        <v>524735</v>
      </c>
      <c r="G34" s="32" t="n">
        <v>2279218</v>
      </c>
      <c r="H34" s="32" t="n">
        <v>64741282</v>
      </c>
      <c r="I34" s="32" t="n">
        <v>62903226</v>
      </c>
      <c r="J34" s="33" t="n">
        <v>1838056</v>
      </c>
      <c r="K34" s="32" t="n">
        <v>500000</v>
      </c>
      <c r="L34" s="29" t="inlineStr"/>
    </row>
    <row r="35">
      <c r="A35" s="10" t="inlineStr">
        <is>
          <t>8/31(月)</t>
        </is>
      </c>
      <c r="B35" s="11" t="inlineStr">
        <is>
          <t>平日</t>
        </is>
      </c>
      <c r="C35" s="12" t="n">
        <v>30000</v>
      </c>
      <c r="D35" s="13" t="n">
        <v>0.001364438388076151</v>
      </c>
      <c r="E35" s="14" t="n">
        <v>1257671</v>
      </c>
      <c r="F35" s="14" t="n">
        <v>263842</v>
      </c>
      <c r="G35" s="14" t="n">
        <v>1521513</v>
      </c>
      <c r="H35" s="14" t="n">
        <v>66262795</v>
      </c>
      <c r="I35" s="14" t="n">
        <v>65000000</v>
      </c>
      <c r="J35" s="27" t="n">
        <v>1262795</v>
      </c>
      <c r="K35" s="14" t="n">
        <v>300000</v>
      </c>
      <c r="L35" s="11" t="inlineStr"/>
    </row>
    <row r="36">
      <c r="A36" s="34" t="inlineStr">
        <is>
          <t>月間</t>
        </is>
      </c>
      <c r="B36" s="34" t="n"/>
      <c r="C36" s="35" t="n">
        <v>1210000</v>
      </c>
      <c r="D36" s="34" t="n"/>
      <c r="E36" s="36" t="n">
        <v>56986146</v>
      </c>
      <c r="F36" s="36" t="n">
        <v>9276649</v>
      </c>
      <c r="G36" s="36" t="n">
        <v>66262795</v>
      </c>
      <c r="H36" s="36" t="n">
        <v>66262795</v>
      </c>
      <c r="I36" s="36" t="n">
        <v>65000000</v>
      </c>
      <c r="J36" s="37" t="n">
        <v>1262795</v>
      </c>
      <c r="K36" s="36" t="n">
        <v>12100000</v>
      </c>
      <c r="L36" s="34" t="n"/>
    </row>
    <row r="38">
      <c r="A38" s="2" t="inlineStr">
        <is>
          <t>月間見込み ¥66,262,795（目標¥65,000,000 に対し +¥1,262,795 の貯金）。SC販売個数 約1,932個。</t>
        </is>
      </c>
    </row>
    <row r="39">
      <c r="A39" s="2" t="inlineStr">
        <is>
          <t>SC広告費 ¥12,100,000（アクセス1,210,000×¥10）。SC売上¥56,986,146 → SCのROAS 4.7倍。FAN広告は据え置き(¥8/アクセス)のため本表に含めず。</t>
        </is>
      </c>
    </row>
    <row r="40">
      <c r="A40" s="2" t="inlineStr">
        <is>
          <t>山は3つ：8/5(¥583万)・8/10(¥583万)・8/25(¥583万)のかぶり日。この3日で月の26%を売る。在庫を最厚に。</t>
        </is>
      </c>
    </row>
    <row r="41">
      <c r="A41" s="2" t="inlineStr">
        <is>
          <t>8/2〜3と8/11〜14は借金(−)側に沈むのが正常。かぶり日で一気に回収する山谷型の計画。</t>
        </is>
      </c>
    </row>
    <row r="42">
      <c r="A42" s="2" t="inlineStr">
        <is>
          <t>毎週の答え合わせ：実績の累計をH列の隣に書き、貯金列がマイナス継続なら広告・在庫・転換率のどれが欠けたかを検証チームで特定。</t>
        </is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8" t="inlineStr">
        <is>
          <t>この日別シミュレーションの前提（決定版6本柱）</t>
        </is>
      </c>
    </row>
    <row r="2">
      <c r="A2" s="39" t="inlineStr"/>
    </row>
    <row r="3">
      <c r="A3" s="39" t="inlineStr">
        <is>
          <t>1) アクセス：スーツケース(SC)を平日30,000／イベント日50,000にメタ広告で調整。ハンディファン(FAN)は据え置き。</t>
        </is>
      </c>
    </row>
    <row r="4">
      <c r="A4" s="39" t="inlineStr">
        <is>
          <t>2) 転換率：アクセス増で薄まる分を×0.8と見ていたが、SCコンテンツページ新設で×0.9まで回復させる（6本柱⑤）。</t>
        </is>
      </c>
    </row>
    <row r="5">
      <c r="A5" s="39" t="inlineStr">
        <is>
          <t>3) セット率5%：セット購入¥5,000引き（6本柱③）で、SC注文の5%が2個目(¥24,500)を追加購入する想定。</t>
        </is>
      </c>
    </row>
    <row r="6">
      <c r="A6" s="39" t="inlineStr">
        <is>
          <t>4) 単価：7月実績ベース。SC客単価¥29,500・FAN¥3,500。アクセス単価はSC¥10/アクセス・FAN¥8/アクセスで統一。</t>
        </is>
      </c>
    </row>
    <row r="7">
      <c r="A7" s="39" t="inlineStr">
        <is>
          <t>5) イベント日：楽天公式カレンダー（8月）。マラソン①8/4-11・②8/24-27、かぶり日=8/5・8/10・8/25、5と0単独=8/15・20・30、8/1ワンダフルデー。</t>
        </is>
      </c>
    </row>
    <row r="8">
      <c r="A8" s="39" t="inlineStr">
        <is>
          <t>6) 各セグメントの1日の売上・転換率は、7月の公式カレンダー実績から逆算（かぶり/5と0/ワンダフル/マラソン/平日の5区分）。</t>
        </is>
      </c>
    </row>
    <row r="9">
      <c r="A9" s="39" t="inlineStr"/>
    </row>
    <row r="10">
      <c r="A10" s="40" t="inlineStr">
        <is>
          <t>【用語のかんたん解説】</t>
        </is>
      </c>
    </row>
    <row r="11">
      <c r="A11" s="39" t="inlineStr">
        <is>
          <t>・SC転換率＝スーツケースを見に来た100人のうち買う人の割合。0.123%なら1万アクセスで約12人が購入。</t>
        </is>
      </c>
    </row>
    <row r="12">
      <c r="A12" s="39" t="inlineStr">
        <is>
          <t>・目標ペース累計＝¥6,500万を31日で均等に割った「今日ここまで売れていれば合格」の線。</t>
        </is>
      </c>
    </row>
    <row r="13">
      <c r="A13" s="39" t="inlineStr">
        <is>
          <t>・貯金(＋)/借金(−)＝計画の累計が目標ペースより進んでいるか遅れているか。イベント前は借金、イベント後に貯金になるのが正常。</t>
        </is>
      </c>
    </row>
    <row r="14">
      <c r="A14" s="39" t="inlineStr">
        <is>
          <t>・かぶり日＝お買い物マラソンと「5と0のつく日」が重なる日。転換率が跳ね、1日で平日の4〜5倍売れる最重要日。</t>
        </is>
      </c>
    </row>
    <row r="15">
      <c r="A15" s="39" t="inlineStr">
        <is>
          <t>・セット率＝2個同時購入クーポン(¥5,000引き)を使ってくれる注文の割合。1組増えるごとに売上+¥24,500。</t>
        </is>
      </c>
    </row>
    <row r="16">
      <c r="A16" s="39" t="inlineStr"/>
    </row>
    <row r="17">
      <c r="A17" s="40" t="inlineStr">
        <is>
          <t>【使い方】8月が始まったら、毎日の実績をこの表の横に記入 → 貯金列のプラス/マイナスで「今月は勝てているか」が一目で分かる。</t>
        </is>
      </c>
    </row>
    <row r="18">
      <c r="A18" s="39" t="inlineStr">
        <is>
          <t>週1回、検証チームが「予測との差」を分解（アクセス不足？転換率低下？在庫切れ？）して次週の広告調整に反映する。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2026-07-27T16:55:38Z</dcterms:created>
  <dcterms:modified xsi:type="dcterms:W3CDTF">2026-07-27T16:55:38Z</dcterms:modified>
</cp:coreProperties>
</file>