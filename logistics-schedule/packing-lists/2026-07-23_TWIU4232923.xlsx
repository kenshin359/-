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3256" windowHeight="13176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G9" i="1"/>
  <c r="J8" i="1"/>
  <c r="K8" i="1" s="1"/>
  <c r="J7" i="1"/>
  <c r="K7" i="1" s="1"/>
  <c r="J6" i="1"/>
  <c r="K6" i="1" s="1"/>
  <c r="J5" i="1"/>
  <c r="K5" i="1" s="1"/>
  <c r="J4" i="1"/>
  <c r="K4" i="1" s="1"/>
  <c r="I9" i="1" l="1"/>
  <c r="K9" i="1" l="1"/>
</calcChain>
</file>

<file path=xl/sharedStrings.xml><?xml version="1.0" encoding="utf-8"?>
<sst xmlns="http://schemas.openxmlformats.org/spreadsheetml/2006/main" count="40" uniqueCount="29">
  <si>
    <t>日期：</t>
  </si>
  <si>
    <t>货柜号</t>
  </si>
  <si>
    <t>封条号</t>
  </si>
  <si>
    <t>品名</t>
  </si>
  <si>
    <t>颜色</t>
  </si>
  <si>
    <t>规格</t>
  </si>
  <si>
    <t>外箱尺寸</t>
  </si>
  <si>
    <t>毛重(KG)</t>
  </si>
  <si>
    <t>净重（KG)</t>
  </si>
  <si>
    <t>数量（个）</t>
  </si>
  <si>
    <t>体积（m³）</t>
  </si>
  <si>
    <t>总体积（m³）</t>
  </si>
  <si>
    <t>柜型:  40GP</t>
    <phoneticPr fontId="5" type="noConversion"/>
  </si>
  <si>
    <t xml:space="preserve">合计 </t>
  </si>
  <si>
    <t>拉杆箱材质</t>
    <phoneticPr fontId="5" type="noConversion"/>
  </si>
  <si>
    <t>铝合金，PC，ABS，涤纶</t>
    <phoneticPr fontId="5" type="noConversion"/>
  </si>
  <si>
    <t>PO号： LM260507</t>
    <phoneticPr fontId="5" type="noConversion"/>
  </si>
  <si>
    <t>TWIU4232923</t>
    <phoneticPr fontId="5" type="noConversion"/>
  </si>
  <si>
    <t>TSF0574898</t>
    <phoneticPr fontId="5" type="noConversion"/>
  </si>
  <si>
    <t>41.5*26*58cm</t>
    <phoneticPr fontId="2" type="noConversion"/>
  </si>
  <si>
    <t>パッキングリスト</t>
    <phoneticPr fontId="2" type="noConversion"/>
  </si>
  <si>
    <r>
      <rPr>
        <sz val="11"/>
        <color theme="1"/>
        <rFont val="宋体"/>
        <family val="3"/>
        <charset val="134"/>
        <scheme val="minor"/>
      </rPr>
      <t xml:space="preserve">PC </t>
    </r>
    <r>
      <rPr>
        <sz val="11"/>
        <color theme="1"/>
        <rFont val="宋体"/>
        <family val="2"/>
        <scheme val="minor"/>
      </rPr>
      <t>スーツケース(S</t>
    </r>
    <r>
      <rPr>
        <sz val="12"/>
        <rFont val="宋体"/>
        <family val="3"/>
        <charset val="134"/>
      </rPr>
      <t>)</t>
    </r>
    <phoneticPr fontId="5" type="noConversion"/>
  </si>
  <si>
    <t>エナメルホワイト</t>
    <phoneticPr fontId="2" type="noConversion"/>
  </si>
  <si>
    <t>マットブラック</t>
    <phoneticPr fontId="2" type="noConversion"/>
  </si>
  <si>
    <t>マットグレー</t>
    <phoneticPr fontId="2" type="noConversion"/>
  </si>
  <si>
    <t>エナメルシルバー</t>
    <phoneticPr fontId="2" type="noConversion"/>
  </si>
  <si>
    <t>マットシルバー</t>
    <phoneticPr fontId="2" type="noConversion"/>
  </si>
  <si>
    <t>20インチ</t>
  </si>
  <si>
    <t>20インチ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</si>
</sst>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宋体"/>
      <family val="2"/>
      <scheme val="minor"/>
    </font>
    <font>
      <b/>
      <sz val="2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2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b/>
      <sz val="12"/>
      <color theme="1"/>
      <name val="宋体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宋体"/>
      <family val="3"/>
      <charset val="134"/>
    </font>
    <font>
      <sz val="12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Border="1" applyAlignment="1">
      <alignment vertical="center" wrapText="1"/>
    </xf>
    <xf numFmtId="0" fontId="0" fillId="0" borderId="0" xfId="0" applyAlignment="1"/>
    <xf numFmtId="0" fontId="0" fillId="0" borderId="7" xfId="0" applyBorder="1" applyAlignment="1"/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5</xdr:row>
      <xdr:rowOff>314326</xdr:rowOff>
    </xdr:from>
    <xdr:to>
      <xdr:col>1</xdr:col>
      <xdr:colOff>766386</xdr:colOff>
      <xdr:row>8</xdr:row>
      <xdr:rowOff>19051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DD89C1F1-2AB1-BEFA-4A21-1A179BE1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1" y="1981201"/>
          <a:ext cx="594935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workbookViewId="0">
      <selection activeCell="K9" sqref="K9"/>
    </sheetView>
  </sheetViews>
  <sheetFormatPr defaultRowHeight="26.25" customHeight="1"/>
  <cols>
    <col min="1" max="2" width="12.77734375" bestFit="1" customWidth="1"/>
    <col min="3" max="3" width="21.33203125" customWidth="1"/>
    <col min="4" max="4" width="22" customWidth="1"/>
    <col min="5" max="5" width="10.44140625" bestFit="1" customWidth="1"/>
    <col min="6" max="6" width="17.6640625" customWidth="1"/>
    <col min="7" max="7" width="9.21875" bestFit="1" customWidth="1"/>
    <col min="8" max="8" width="10.109375" bestFit="1" customWidth="1"/>
    <col min="9" max="9" width="11" bestFit="1" customWidth="1"/>
    <col min="10" max="10" width="11.109375" bestFit="1" customWidth="1"/>
    <col min="11" max="11" width="13.109375" bestFit="1" customWidth="1"/>
  </cols>
  <sheetData>
    <row r="1" spans="1:16" ht="26.25" customHeight="1">
      <c r="A1" s="24" t="s">
        <v>20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6" ht="26.25" customHeight="1">
      <c r="A2" s="26" t="s">
        <v>16</v>
      </c>
      <c r="B2" s="26"/>
      <c r="C2" s="26"/>
      <c r="D2" s="26"/>
      <c r="E2" s="26"/>
      <c r="F2" s="26"/>
      <c r="G2" s="26"/>
      <c r="H2" s="27" t="s">
        <v>0</v>
      </c>
      <c r="I2" s="27"/>
      <c r="J2" s="28">
        <v>46226</v>
      </c>
      <c r="K2" s="29"/>
    </row>
    <row r="3" spans="1:16" ht="26.2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3" t="s">
        <v>9</v>
      </c>
      <c r="J3" s="1" t="s">
        <v>10</v>
      </c>
      <c r="K3" s="1" t="s">
        <v>11</v>
      </c>
    </row>
    <row r="4" spans="1:16" ht="26.25" customHeight="1">
      <c r="A4" s="30" t="s">
        <v>17</v>
      </c>
      <c r="B4" s="30" t="s">
        <v>18</v>
      </c>
      <c r="C4" s="32" t="s">
        <v>21</v>
      </c>
      <c r="D4" s="13" t="s">
        <v>22</v>
      </c>
      <c r="E4" s="10" t="s">
        <v>28</v>
      </c>
      <c r="F4" s="11" t="s">
        <v>19</v>
      </c>
      <c r="G4" s="12">
        <v>6</v>
      </c>
      <c r="H4" s="12">
        <v>5.18</v>
      </c>
      <c r="I4" s="14">
        <v>196</v>
      </c>
      <c r="J4" s="11">
        <f>0.415*0.26*0.58</f>
        <v>6.2581999999999999E-2</v>
      </c>
      <c r="K4" s="12">
        <f>I4*J4</f>
        <v>12.266071999999999</v>
      </c>
      <c r="L4" s="9"/>
      <c r="M4" s="8"/>
      <c r="N4" s="8"/>
      <c r="O4" s="8"/>
      <c r="P4" s="8"/>
    </row>
    <row r="5" spans="1:16" ht="26.25" customHeight="1">
      <c r="A5" s="31"/>
      <c r="B5" s="31"/>
      <c r="C5" s="32" t="s">
        <v>21</v>
      </c>
      <c r="D5" s="15" t="s">
        <v>23</v>
      </c>
      <c r="E5" s="10" t="s">
        <v>28</v>
      </c>
      <c r="F5" s="11" t="s">
        <v>19</v>
      </c>
      <c r="G5" s="12">
        <v>6</v>
      </c>
      <c r="H5" s="12">
        <v>5.18</v>
      </c>
      <c r="I5" s="16">
        <v>550</v>
      </c>
      <c r="J5" s="11">
        <f t="shared" ref="J5:J8" si="0">0.415*0.26*0.58</f>
        <v>6.2581999999999999E-2</v>
      </c>
      <c r="K5" s="12">
        <f t="shared" ref="K5:K8" si="1">I5*J5</f>
        <v>34.420099999999998</v>
      </c>
      <c r="L5" s="9"/>
      <c r="M5" s="8"/>
      <c r="N5" s="8"/>
      <c r="O5" s="8"/>
      <c r="P5" s="8"/>
    </row>
    <row r="6" spans="1:16" ht="26.25" customHeight="1">
      <c r="A6" s="31"/>
      <c r="B6" s="31"/>
      <c r="C6" s="32" t="s">
        <v>21</v>
      </c>
      <c r="D6" s="15" t="s">
        <v>24</v>
      </c>
      <c r="E6" s="10" t="s">
        <v>27</v>
      </c>
      <c r="F6" s="11" t="s">
        <v>19</v>
      </c>
      <c r="G6" s="12">
        <v>6</v>
      </c>
      <c r="H6" s="12">
        <v>5.18</v>
      </c>
      <c r="I6" s="16">
        <v>286</v>
      </c>
      <c r="J6" s="11">
        <f t="shared" si="0"/>
        <v>6.2581999999999999E-2</v>
      </c>
      <c r="K6" s="12">
        <f t="shared" si="1"/>
        <v>17.898451999999999</v>
      </c>
      <c r="L6" s="9"/>
      <c r="M6" s="8"/>
      <c r="N6" s="8"/>
      <c r="O6" s="8"/>
      <c r="P6" s="8"/>
    </row>
    <row r="7" spans="1:16" ht="26.25" customHeight="1">
      <c r="A7" s="31"/>
      <c r="B7" s="31"/>
      <c r="C7" s="32" t="s">
        <v>21</v>
      </c>
      <c r="D7" s="17" t="s">
        <v>25</v>
      </c>
      <c r="E7" s="10" t="s">
        <v>27</v>
      </c>
      <c r="F7" s="11" t="s">
        <v>19</v>
      </c>
      <c r="G7" s="12">
        <v>6</v>
      </c>
      <c r="H7" s="12">
        <v>5.18</v>
      </c>
      <c r="I7" s="14">
        <v>3</v>
      </c>
      <c r="J7" s="11">
        <f t="shared" si="0"/>
        <v>6.2581999999999999E-2</v>
      </c>
      <c r="K7" s="12">
        <f t="shared" si="1"/>
        <v>0.187746</v>
      </c>
      <c r="L7" s="9"/>
      <c r="M7" s="8"/>
      <c r="N7" s="8"/>
      <c r="O7" s="8"/>
      <c r="P7" s="8"/>
    </row>
    <row r="8" spans="1:16" ht="26.25" customHeight="1">
      <c r="A8" s="31"/>
      <c r="B8" s="31"/>
      <c r="C8" s="32" t="s">
        <v>21</v>
      </c>
      <c r="D8" s="17" t="s">
        <v>26</v>
      </c>
      <c r="E8" s="10" t="s">
        <v>27</v>
      </c>
      <c r="F8" s="11" t="s">
        <v>19</v>
      </c>
      <c r="G8" s="12">
        <v>6</v>
      </c>
      <c r="H8" s="12">
        <v>5.18</v>
      </c>
      <c r="I8" s="18">
        <v>25</v>
      </c>
      <c r="J8" s="11">
        <f t="shared" si="0"/>
        <v>6.2581999999999999E-2</v>
      </c>
      <c r="K8" s="12">
        <f t="shared" si="1"/>
        <v>1.5645499999999999</v>
      </c>
      <c r="L8" s="9"/>
      <c r="M8" s="8"/>
      <c r="N8" s="8"/>
      <c r="O8" s="8"/>
      <c r="P8" s="8"/>
    </row>
    <row r="9" spans="1:16" ht="26.25" customHeight="1">
      <c r="A9" s="19" t="s">
        <v>12</v>
      </c>
      <c r="B9" s="20"/>
      <c r="C9" s="20"/>
      <c r="D9" s="20"/>
      <c r="E9" s="20"/>
      <c r="F9" s="1" t="s">
        <v>13</v>
      </c>
      <c r="G9" s="4">
        <f>G4*I9</f>
        <v>6360</v>
      </c>
      <c r="H9" s="4">
        <f>H4*I9</f>
        <v>5490.7999999999993</v>
      </c>
      <c r="I9" s="5">
        <f>SUM(I4:I8)</f>
        <v>1060</v>
      </c>
      <c r="J9" s="4"/>
      <c r="K9" s="5">
        <f>SUM(K4:K8)</f>
        <v>66.336919999999992</v>
      </c>
      <c r="M9" s="7"/>
      <c r="N9" s="7"/>
      <c r="O9" s="7"/>
    </row>
    <row r="10" spans="1:16" ht="26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6" ht="26.25" customHeight="1">
      <c r="A11" s="1" t="s">
        <v>14</v>
      </c>
      <c r="B11" s="21" t="s">
        <v>15</v>
      </c>
      <c r="C11" s="22"/>
      <c r="D11" s="22"/>
      <c r="E11" s="22"/>
      <c r="F11" s="22"/>
      <c r="G11" s="22"/>
      <c r="H11" s="22"/>
      <c r="I11" s="22"/>
      <c r="J11" s="22"/>
      <c r="K11" s="23"/>
    </row>
  </sheetData>
  <mergeCells count="8">
    <mergeCell ref="A9:E9"/>
    <mergeCell ref="B11:K11"/>
    <mergeCell ref="A1:K1"/>
    <mergeCell ref="A2:G2"/>
    <mergeCell ref="H2:I2"/>
    <mergeCell ref="J2:K2"/>
    <mergeCell ref="B4:B8"/>
    <mergeCell ref="A4:A8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2026-07-24T14:10:40Z</dcterms:modified>
</cp:coreProperties>
</file>