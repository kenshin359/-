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3256" windowHeight="13176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J10" i="1"/>
  <c r="K10" i="1" s="1"/>
  <c r="J9" i="1"/>
  <c r="K9" i="1" s="1"/>
  <c r="J8" i="1" l="1"/>
  <c r="K8" i="1" s="1"/>
  <c r="J7" i="1"/>
  <c r="J6" i="1"/>
  <c r="K6" i="1" s="1"/>
  <c r="J5" i="1"/>
  <c r="J4" i="1"/>
  <c r="K7" i="1"/>
  <c r="I11" i="1"/>
  <c r="K5" i="1"/>
  <c r="K4" i="1" l="1"/>
  <c r="K11" i="1" s="1"/>
</calcChain>
</file>

<file path=xl/sharedStrings.xml><?xml version="1.0" encoding="utf-8"?>
<sst xmlns="http://schemas.openxmlformats.org/spreadsheetml/2006/main" count="48" uniqueCount="35">
  <si>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</si>
  <si>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</si>
  <si>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</si>
  <si>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</si>
  <si>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</si>
  <si>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</si>
  <si>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</si>
  <si>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</si>
  <si>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</si>
  <si>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</si>
  <si>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</si>
  <si>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</si>
  <si>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>柜型:  40GP</t>
    <phoneticPr fontId="5" type="noConversion"/>
  </si>
  <si>
    <t xml:space="preserve">合计 </t>
  </si>
  <si>
    <t>拉杆箱材质</t>
    <phoneticPr fontId="5" type="noConversion"/>
  </si>
  <si>
    <t>铝合金，PC，ABS，涤纶</t>
    <phoneticPr fontId="5" type="noConversion"/>
  </si>
  <si>
    <t>47*29*68.5cm</t>
    <phoneticPr fontId="2" type="noConversion"/>
  </si>
  <si>
    <t>PO号： LM260507</t>
    <phoneticPr fontId="5" type="noConversion"/>
  </si>
  <si>
    <t>41.5*26*58cm</t>
    <phoneticPr fontId="2" type="noConversion"/>
  </si>
  <si>
    <t>IAAU1022523</t>
    <phoneticPr fontId="5" type="noConversion"/>
  </si>
  <si>
    <t>IAAJ645288</t>
    <phoneticPr fontId="5" type="noConversion"/>
  </si>
  <si>
    <r>
      <t>多機能</t>
    </r>
    <r>
      <rPr>
        <sz val="11"/>
        <color theme="1"/>
        <rFont val="宋体"/>
        <family val="3"/>
        <charset val="134"/>
        <scheme val="minor"/>
      </rPr>
      <t>PCスーツケース</t>
    </r>
    <r>
      <rPr>
        <sz val="11"/>
        <color theme="1"/>
        <rFont val="宋体"/>
        <family val="2"/>
        <scheme val="minor"/>
      </rPr>
      <t>(M</t>
    </r>
    <r>
      <rPr>
        <sz val="12"/>
        <rFont val="宋体"/>
        <family val="3"/>
        <charset val="134"/>
      </rPr>
      <t>)</t>
    </r>
    <phoneticPr fontId="5" type="noConversion"/>
  </si>
  <si>
    <r>
      <t>多機能</t>
    </r>
    <r>
      <rPr>
        <sz val="11"/>
        <color theme="1"/>
        <rFont val="宋体"/>
        <family val="3"/>
        <charset val="134"/>
        <scheme val="minor"/>
      </rPr>
      <t>PCスーツケース</t>
    </r>
    <r>
      <rPr>
        <sz val="11"/>
        <color theme="1"/>
        <rFont val="宋体"/>
        <family val="2"/>
        <scheme val="minor"/>
      </rPr>
      <t>(M</t>
    </r>
    <r>
      <rPr>
        <sz val="12"/>
        <rFont val="宋体"/>
        <family val="3"/>
        <charset val="134"/>
      </rPr>
      <t>)</t>
    </r>
    <phoneticPr fontId="5" type="noConversion"/>
  </si>
  <si>
    <t>多機能PCスーツケース(M)</t>
    <phoneticPr fontId="5" type="noConversion"/>
  </si>
  <si>
    <r>
      <t>多機能</t>
    </r>
    <r>
      <rPr>
        <sz val="11"/>
        <color theme="1"/>
        <rFont val="宋体"/>
        <family val="3"/>
        <charset val="134"/>
        <scheme val="minor"/>
      </rPr>
      <t>PC</t>
    </r>
    <r>
      <rPr>
        <sz val="11"/>
        <color theme="1"/>
        <rFont val="宋体"/>
        <family val="2"/>
        <scheme val="minor"/>
      </rPr>
      <t>スーツケース(S</t>
    </r>
    <r>
      <rPr>
        <sz val="12"/>
        <rFont val="宋体"/>
        <family val="3"/>
        <charset val="134"/>
      </rPr>
      <t>)</t>
    </r>
    <phoneticPr fontId="5" type="noConversion"/>
  </si>
  <si>
    <t xml:space="preserve">パッキングリスト  </t>
    <phoneticPr fontId="2" type="noConversion"/>
  </si>
  <si>
    <t>24インチ</t>
    <phoneticPr fontId="5" type="noConversion"/>
  </si>
  <si>
    <t>24インチ</t>
    <phoneticPr fontId="5" type="noConversion"/>
  </si>
  <si>
    <t>20インチ</t>
    <phoneticPr fontId="5" type="noConversion"/>
  </si>
  <si>
    <t>マットグレー</t>
    <phoneticPr fontId="2" type="noConversion"/>
  </si>
  <si>
    <t>マットブラック</t>
    <phoneticPr fontId="2" type="noConversion"/>
  </si>
  <si>
    <t>エナメルカーキ</t>
    <phoneticPr fontId="2" type="noConversion"/>
  </si>
  <si>
    <t>マットシルバー</t>
    <phoneticPr fontId="2" type="noConversion"/>
  </si>
  <si>
    <t>エナメルシルバー</t>
    <phoneticPr fontId="2" type="noConversion"/>
  </si>
  <si>
    <t>エナメルシルバー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</si>
</sst>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宋体"/>
      <family val="2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4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4"/>
      <color theme="1"/>
      <name val="宋体"/>
      <family val="2"/>
      <scheme val="minor"/>
    </font>
    <font>
      <b/>
      <sz val="14"/>
      <color theme="1"/>
      <name val="Calibri"/>
      <family val="2"/>
    </font>
    <font>
      <sz val="14"/>
      <color theme="1"/>
      <name val="宋体"/>
      <family val="2"/>
      <scheme val="minor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4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Alignment="1"/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874395</xdr:colOff>
      <xdr:row>7</xdr:row>
      <xdr:rowOff>18698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9CD9F420-AF7B-C5F4-A20E-7B2A503AE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1038225"/>
          <a:ext cx="819150" cy="1314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K11" sqref="K11"/>
    </sheetView>
  </sheetViews>
  <sheetFormatPr defaultRowHeight="26.25" customHeight="1"/>
  <cols>
    <col min="1" max="2" width="12.77734375" bestFit="1" customWidth="1"/>
    <col min="3" max="3" width="26.109375" bestFit="1" customWidth="1"/>
    <col min="4" max="4" width="24.33203125" bestFit="1" customWidth="1"/>
    <col min="5" max="5" width="9.5546875" customWidth="1"/>
    <col min="6" max="6" width="17.6640625" customWidth="1"/>
    <col min="7" max="7" width="9.21875" bestFit="1" customWidth="1"/>
    <col min="8" max="8" width="10.5546875" customWidth="1"/>
    <col min="9" max="9" width="11" bestFit="1" customWidth="1"/>
    <col min="10" max="10" width="11.109375" bestFit="1" customWidth="1"/>
    <col min="11" max="11" width="13.109375" bestFit="1" customWidth="1"/>
  </cols>
  <sheetData>
    <row r="1" spans="1:16" ht="26.25" customHeight="1">
      <c r="A1" s="24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6" ht="26.25" customHeight="1">
      <c r="A2" s="26" t="s">
        <v>17</v>
      </c>
      <c r="B2" s="26"/>
      <c r="C2" s="26"/>
      <c r="D2" s="26"/>
      <c r="E2" s="26"/>
      <c r="F2" s="26"/>
      <c r="G2" s="26"/>
      <c r="H2" s="27" t="s">
        <v>0</v>
      </c>
      <c r="I2" s="27"/>
      <c r="J2" s="28">
        <v>46227</v>
      </c>
      <c r="K2" s="29"/>
    </row>
    <row r="3" spans="1:16" ht="26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6" ht="26.25" customHeight="1">
      <c r="A4" s="30" t="s">
        <v>19</v>
      </c>
      <c r="B4" s="30" t="s">
        <v>20</v>
      </c>
      <c r="C4" s="8" t="s">
        <v>22</v>
      </c>
      <c r="D4" s="17" t="s">
        <v>33</v>
      </c>
      <c r="E4" s="9" t="s">
        <v>26</v>
      </c>
      <c r="F4" s="8" t="s">
        <v>16</v>
      </c>
      <c r="G4" s="10">
        <v>7.26</v>
      </c>
      <c r="H4" s="10">
        <v>6.15</v>
      </c>
      <c r="I4" s="13">
        <v>213</v>
      </c>
      <c r="J4" s="11">
        <f>0.47*0.29*0.685</f>
        <v>9.336549999999999E-2</v>
      </c>
      <c r="K4" s="10">
        <f>I4*J4</f>
        <v>19.886851499999999</v>
      </c>
    </row>
    <row r="5" spans="1:16" ht="26.25" customHeight="1">
      <c r="A5" s="31"/>
      <c r="B5" s="31"/>
      <c r="C5" s="8" t="s">
        <v>21</v>
      </c>
      <c r="D5" s="18" t="s">
        <v>29</v>
      </c>
      <c r="E5" s="9" t="s">
        <v>26</v>
      </c>
      <c r="F5" s="8" t="s">
        <v>16</v>
      </c>
      <c r="G5" s="10">
        <v>7.26</v>
      </c>
      <c r="H5" s="10">
        <v>6.15</v>
      </c>
      <c r="I5" s="13">
        <v>194</v>
      </c>
      <c r="J5" s="11">
        <f t="shared" ref="J5:J8" si="0">0.47*0.29*0.685</f>
        <v>9.336549999999999E-2</v>
      </c>
      <c r="K5" s="10">
        <f t="shared" ref="K5:K10" si="1">I5*J5</f>
        <v>18.112907</v>
      </c>
      <c r="M5" s="12"/>
      <c r="N5" s="12"/>
      <c r="O5" s="12"/>
      <c r="P5" s="12"/>
    </row>
    <row r="6" spans="1:16" ht="26.25" customHeight="1">
      <c r="A6" s="31"/>
      <c r="B6" s="31"/>
      <c r="C6" s="8" t="s">
        <v>21</v>
      </c>
      <c r="D6" s="17" t="s">
        <v>30</v>
      </c>
      <c r="E6" s="9" t="s">
        <v>26</v>
      </c>
      <c r="F6" s="8" t="s">
        <v>16</v>
      </c>
      <c r="G6" s="10">
        <v>7.26</v>
      </c>
      <c r="H6" s="10">
        <v>6.15</v>
      </c>
      <c r="I6" s="14">
        <v>309</v>
      </c>
      <c r="J6" s="11">
        <f t="shared" si="0"/>
        <v>9.336549999999999E-2</v>
      </c>
      <c r="K6" s="10">
        <f t="shared" si="1"/>
        <v>28.849939499999998</v>
      </c>
      <c r="M6" s="12"/>
      <c r="N6" s="12"/>
      <c r="O6" s="12"/>
      <c r="P6" s="12"/>
    </row>
    <row r="7" spans="1:16" ht="26.25" customHeight="1">
      <c r="A7" s="31"/>
      <c r="B7" s="31"/>
      <c r="C7" s="8" t="s">
        <v>23</v>
      </c>
      <c r="D7" s="32" t="s">
        <v>31</v>
      </c>
      <c r="E7" s="9" t="s">
        <v>27</v>
      </c>
      <c r="F7" s="8" t="s">
        <v>16</v>
      </c>
      <c r="G7" s="10">
        <v>7.26</v>
      </c>
      <c r="H7" s="10">
        <v>6.15</v>
      </c>
      <c r="I7" s="15">
        <v>3</v>
      </c>
      <c r="J7" s="11">
        <f t="shared" si="0"/>
        <v>9.336549999999999E-2</v>
      </c>
      <c r="K7" s="10">
        <f t="shared" ref="K7" si="2">I7*J7</f>
        <v>0.28009649999999997</v>
      </c>
      <c r="M7" s="12"/>
      <c r="N7" s="12"/>
      <c r="O7" s="12"/>
      <c r="P7" s="12"/>
    </row>
    <row r="8" spans="1:16" ht="26.25" customHeight="1">
      <c r="A8" s="31"/>
      <c r="B8" s="31"/>
      <c r="C8" s="8" t="s">
        <v>23</v>
      </c>
      <c r="D8" s="17" t="s">
        <v>32</v>
      </c>
      <c r="E8" s="9" t="s">
        <v>26</v>
      </c>
      <c r="F8" s="8" t="s">
        <v>16</v>
      </c>
      <c r="G8" s="10">
        <v>7.26</v>
      </c>
      <c r="H8" s="10">
        <v>6.15</v>
      </c>
      <c r="I8" s="16">
        <v>6</v>
      </c>
      <c r="J8" s="11">
        <f t="shared" si="0"/>
        <v>9.336549999999999E-2</v>
      </c>
      <c r="K8" s="10">
        <f t="shared" si="1"/>
        <v>0.56019299999999994</v>
      </c>
      <c r="M8" s="12"/>
      <c r="N8" s="12"/>
      <c r="O8" s="12"/>
      <c r="P8" s="12"/>
    </row>
    <row r="9" spans="1:16" ht="26.25" customHeight="1">
      <c r="A9" s="31"/>
      <c r="B9" s="31"/>
      <c r="C9" s="33" t="s">
        <v>24</v>
      </c>
      <c r="D9" s="34" t="s">
        <v>31</v>
      </c>
      <c r="E9" s="35" t="s">
        <v>28</v>
      </c>
      <c r="F9" s="33" t="s">
        <v>18</v>
      </c>
      <c r="G9" s="36">
        <v>6</v>
      </c>
      <c r="H9" s="36">
        <v>5.18</v>
      </c>
      <c r="I9" s="38">
        <v>17</v>
      </c>
      <c r="J9" s="33">
        <f t="shared" ref="J9:J10" si="3">0.415*0.26*0.58</f>
        <v>6.2581999999999999E-2</v>
      </c>
      <c r="K9" s="36">
        <f t="shared" si="1"/>
        <v>1.0638939999999999</v>
      </c>
      <c r="M9" s="12"/>
      <c r="N9" s="12"/>
      <c r="O9" s="12"/>
      <c r="P9" s="12"/>
    </row>
    <row r="10" spans="1:16" ht="26.25" customHeight="1">
      <c r="A10" s="31"/>
      <c r="B10" s="31"/>
      <c r="C10" s="33" t="s">
        <v>24</v>
      </c>
      <c r="D10" s="37" t="s">
        <v>34</v>
      </c>
      <c r="E10" s="35" t="s">
        <v>28</v>
      </c>
      <c r="F10" s="33" t="s">
        <v>18</v>
      </c>
      <c r="G10" s="36">
        <v>6</v>
      </c>
      <c r="H10" s="36">
        <v>5.18</v>
      </c>
      <c r="I10" s="39">
        <v>3</v>
      </c>
      <c r="J10" s="33">
        <f t="shared" si="3"/>
        <v>6.2581999999999999E-2</v>
      </c>
      <c r="K10" s="36">
        <f t="shared" si="1"/>
        <v>0.187746</v>
      </c>
      <c r="M10" s="12"/>
      <c r="N10" s="12"/>
      <c r="O10" s="12"/>
      <c r="P10" s="12"/>
    </row>
    <row r="11" spans="1:16" ht="26.25" customHeight="1">
      <c r="A11" s="19" t="s">
        <v>12</v>
      </c>
      <c r="B11" s="20"/>
      <c r="C11" s="20"/>
      <c r="D11" s="20"/>
      <c r="E11" s="20"/>
      <c r="F11" s="1" t="s">
        <v>13</v>
      </c>
      <c r="G11" s="4">
        <f>G8*725+G10*20</f>
        <v>5383.5</v>
      </c>
      <c r="H11" s="4" t="e">
        <f>#REF!*725+H10*20</f>
        <v>#REF!</v>
      </c>
      <c r="I11" s="5">
        <f>SUM(I4:I10)</f>
        <v>745</v>
      </c>
      <c r="J11" s="4"/>
      <c r="K11" s="5">
        <f>SUM(K4:K10)</f>
        <v>68.941627499999996</v>
      </c>
      <c r="M11" s="7"/>
      <c r="N11" s="7"/>
      <c r="O11" s="7"/>
    </row>
    <row r="12" spans="1:16" ht="26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6" ht="26.25" customHeight="1">
      <c r="A13" s="1" t="s">
        <v>14</v>
      </c>
      <c r="B13" s="21" t="s">
        <v>15</v>
      </c>
      <c r="C13" s="22"/>
      <c r="D13" s="22"/>
      <c r="E13" s="22"/>
      <c r="F13" s="22"/>
      <c r="G13" s="22"/>
      <c r="H13" s="22"/>
      <c r="I13" s="22"/>
      <c r="J13" s="22"/>
      <c r="K13" s="23"/>
    </row>
  </sheetData>
  <mergeCells count="8">
    <mergeCell ref="A11:E11"/>
    <mergeCell ref="B13:K13"/>
    <mergeCell ref="A1:K1"/>
    <mergeCell ref="A2:G2"/>
    <mergeCell ref="H2:I2"/>
    <mergeCell ref="J2:K2"/>
    <mergeCell ref="B4:B10"/>
    <mergeCell ref="A4:A10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2026-07-24T14:27:49Z</dcterms:modified>
</cp:coreProperties>
</file>