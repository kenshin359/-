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要約" sheetId="1" state="visible" r:id="rId1"/>
    <sheet name="明細" sheetId="2" state="visible" r:id="rId2"/>
    <sheet name="月別" sheetId="3" state="visible" r:id="rId3"/>
  </sheets>
  <definedNames/>
  <calcPr calcId="124519" fullCalcOnLoad="1"/>
</workbook>
</file>

<file path=xl/styles.xml><?xml version="1.0" encoding="utf-8"?>
<styleSheet xmlns="http://schemas.openxmlformats.org/spreadsheetml/2006/main">
  <numFmts count="2">
    <numFmt numFmtId="164" formatCode="#,##0&quot;ウォン&quot;"/>
    <numFmt numFmtId="165" formatCode="¥#,##0"/>
  </numFmts>
  <fonts count="13">
    <font>
      <name val="Calibri"/>
      <family val="2"/>
      <color theme="1"/>
      <sz val="11"/>
      <scheme val="minor"/>
    </font>
    <font>
      <name val="Arial"/>
      <b val="1"/>
      <color rgb="FFFFFFFF"/>
      <sz val="14"/>
    </font>
    <font>
      <name val="Arial"/>
      <sz val="9"/>
    </font>
    <font>
      <name val="Arial"/>
      <b val="1"/>
      <sz val="11"/>
    </font>
    <font>
      <name val="Arial"/>
      <b val="1"/>
      <sz val="13"/>
    </font>
    <font>
      <name val="Arial"/>
      <b val="1"/>
      <sz val="14"/>
    </font>
    <font>
      <name val="Arial"/>
      <b val="1"/>
      <sz val="12"/>
    </font>
    <font>
      <name val="Arial"/>
      <sz val="10"/>
    </font>
    <font>
      <name val="Arial"/>
      <sz val="11"/>
    </font>
    <font>
      <name val="Arial"/>
      <b val="1"/>
      <color rgb="FFFFFFFF"/>
      <sz val="9"/>
    </font>
    <font>
      <name val="Arial"/>
      <b val="1"/>
      <sz val="10"/>
    </font>
    <font>
      <name val="Arial"/>
      <color rgb="FFC00000"/>
      <sz val="10"/>
    </font>
    <font>
      <name val="Arial"/>
      <color rgb="FF8A9A99"/>
      <sz val="10"/>
    </font>
  </fonts>
  <fills count="9">
    <fill>
      <patternFill/>
    </fill>
    <fill>
      <patternFill patternType="gray125"/>
    </fill>
    <fill>
      <patternFill patternType="solid">
        <fgColor rgb="FF17365D"/>
      </patternFill>
    </fill>
    <fill>
      <patternFill patternType="solid">
        <fgColor rgb="FFD9EAF7"/>
      </patternFill>
    </fill>
    <fill>
      <patternFill patternType="solid">
        <fgColor rgb="FFC6EFCE"/>
      </patternFill>
    </fill>
    <fill>
      <patternFill patternType="solid">
        <fgColor rgb="FFFFEB9C"/>
      </patternFill>
    </fill>
    <fill>
      <patternFill patternType="solid">
        <fgColor rgb="FF1F4E78"/>
      </patternFill>
    </fill>
    <fill>
      <patternFill patternType="solid">
        <fgColor rgb="FFFFFF00"/>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wrapText="1"/>
    </xf>
    <xf numFmtId="0" fontId="3" fillId="3" borderId="0" pivotButton="0" quotePrefix="0" xfId="0"/>
    <xf numFmtId="0" fontId="4" fillId="3" borderId="1" pivotButton="0" quotePrefix="0" xfId="0"/>
    <xf numFmtId="164" fontId="5" fillId="4" borderId="1" pivotButton="0" quotePrefix="0" xfId="0"/>
    <xf numFmtId="165" fontId="6" fillId="4" borderId="1" pivotButton="0" quotePrefix="0" xfId="0"/>
    <xf numFmtId="0" fontId="7" fillId="3" borderId="1" pivotButton="0" quotePrefix="0" xfId="0"/>
    <xf numFmtId="0" fontId="8" fillId="0" borderId="1" pivotButton="0" quotePrefix="0" xfId="0"/>
    <xf numFmtId="164" fontId="6" fillId="0" borderId="1" pivotButton="0" quotePrefix="0" xfId="0"/>
    <xf numFmtId="165" fontId="7" fillId="0" borderId="1" pivotButton="0" quotePrefix="0" xfId="0"/>
    <xf numFmtId="0" fontId="7" fillId="0" borderId="1" pivotButton="0" quotePrefix="0" xfId="0"/>
    <xf numFmtId="164" fontId="6" fillId="5" borderId="1" pivotButton="0" quotePrefix="0" xfId="0"/>
    <xf numFmtId="0" fontId="9" fillId="6" borderId="1" applyAlignment="1" pivotButton="0" quotePrefix="0" xfId="0">
      <alignment horizontal="center" vertical="center" wrapText="1"/>
    </xf>
    <xf numFmtId="0" fontId="3" fillId="0" borderId="1" applyAlignment="1" pivotButton="0" quotePrefix="0" xfId="0">
      <alignment horizontal="center" vertical="center"/>
    </xf>
    <xf numFmtId="164" fontId="8" fillId="0" borderId="1" pivotButton="0" quotePrefix="0" xfId="0"/>
    <xf numFmtId="164" fontId="8" fillId="7" borderId="1" pivotButton="0" quotePrefix="0" xfId="0"/>
    <xf numFmtId="0" fontId="3" fillId="3" borderId="1" pivotButton="0" quotePrefix="0" xfId="0"/>
    <xf numFmtId="164" fontId="3" fillId="3" borderId="1" pivotButton="0" quotePrefix="0" xfId="0"/>
    <xf numFmtId="165" fontId="10" fillId="3" borderId="1" pivotButton="0" quotePrefix="0" xfId="0"/>
    <xf numFmtId="164" fontId="8" fillId="5" borderId="1" pivotButton="0" quotePrefix="0" xfId="0"/>
    <xf numFmtId="0" fontId="3" fillId="4" borderId="1" applyAlignment="1" pivotButton="0" quotePrefix="0" xfId="0">
      <alignment horizontal="center" vertical="center"/>
    </xf>
    <xf numFmtId="0" fontId="6" fillId="4" borderId="1" pivotButton="0" quotePrefix="0" xfId="0"/>
    <xf numFmtId="164" fontId="4" fillId="4" borderId="1" pivotButton="0" quotePrefix="0" xfId="0"/>
    <xf numFmtId="165" fontId="3" fillId="4" borderId="1" pivotButton="0" quotePrefix="0" xfId="0"/>
    <xf numFmtId="0" fontId="7" fillId="4" borderId="1" pivotButton="0" quotePrefix="0" xfId="0"/>
    <xf numFmtId="164" fontId="7" fillId="0" borderId="1" pivotButton="0" quotePrefix="0" xfId="0"/>
    <xf numFmtId="164" fontId="7" fillId="4" borderId="1" pivotButton="0" quotePrefix="0" xfId="0"/>
    <xf numFmtId="164" fontId="11" fillId="0" borderId="1" pivotButton="0" quotePrefix="0" xfId="0"/>
    <xf numFmtId="164" fontId="3" fillId="8" borderId="1" pivotButton="0" quotePrefix="0" xfId="0"/>
    <xf numFmtId="0" fontId="3" fillId="3" borderId="1" applyAlignment="1" pivotButton="0" quotePrefix="0" xfId="0">
      <alignment horizontal="center" vertical="center"/>
    </xf>
    <xf numFmtId="0" fontId="7" fillId="4" borderId="1" applyAlignment="1" pivotButton="0" quotePrefix="0" xfId="0">
      <alignment horizontal="center" vertical="center"/>
    </xf>
    <xf numFmtId="0" fontId="2" fillId="0" borderId="1" pivotButton="0" quotePrefix="0" xfId="0"/>
    <xf numFmtId="164" fontId="12" fillId="0" borderId="1" pivotButton="0" quotePrefix="0" xfId="0"/>
    <xf numFmtId="164" fontId="10" fillId="4" borderId="1" pivotButton="0" quotePrefix="0" xfId="0"/>
    <xf numFmtId="0" fontId="7" fillId="5" borderId="1" applyAlignment="1" pivotButton="0" quotePrefix="0" xfId="0">
      <alignment horizontal="center" vertical="center"/>
    </xf>
    <xf numFmtId="0" fontId="2" fillId="0" borderId="1" applyAlignment="1" pivotButton="0" quotePrefix="0" xfId="0">
      <alignment vertical="center" wrapText="1"/>
    </xf>
    <xf numFmtId="164" fontId="10" fillId="0" borderId="1" pivotButton="0" quotePrefix="0" xfId="0"/>
    <xf numFmtId="164" fontId="7" fillId="7" borderId="1" pivotButton="0" quotePrefix="0" xfId="0"/>
    <xf numFmtId="0" fontId="7" fillId="8" borderId="1" applyAlignment="1" pivotButton="0" quotePrefix="0" xfId="0">
      <alignment horizontal="center" vertical="center"/>
    </xf>
    <xf numFmtId="0" fontId="3" fillId="0" borderId="1" pivotButton="0" quotePrefix="0" xfId="0"/>
    <xf numFmtId="164" fontId="3" fillId="0" borderId="1" pivotButton="0" quotePrefix="0" xfId="0"/>
    <xf numFmtId="164" fontId="6" fillId="3" borderId="1" pivotButton="0" quotePrefix="0" xfId="0"/>
    <xf numFmtId="165" fontId="10" fillId="0" borderId="1" pivotButton="0" quotePrefix="0" xfId="0"/>
    <xf numFmtId="164" fontId="7" fillId="5" borderId="1" pivotButton="0" quotePrefix="0" xfId="0"/>
    <xf numFmtId="164"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6" customWidth="1" min="1" max="1"/>
    <col width="30" customWidth="1" min="2" max="2"/>
    <col width="20" customWidth="1" min="3" max="3"/>
    <col width="17" customWidth="1" min="4" max="4"/>
    <col width="44" customWidth="1" min="5" max="5"/>
  </cols>
  <sheetData>
    <row r="1">
      <c r="A1" s="1" t="inlineStr">
        <is>
          <t>リベティコリア 3ヶ月 運営資金 申請</t>
        </is>
      </c>
    </row>
    <row r="2">
      <c r="A2" s="2" t="inlineStr">
        <is>
          <t>対象期間 2026-10 〜 2026-12  |  提出先 日本本社  |  作成日 2026-09-18  |  為替 0.11 円/ウォン</t>
        </is>
      </c>
    </row>
    <row r="4">
      <c r="A4" s="3" t="inlineStr">
        <is>
          <t>結論</t>
        </is>
      </c>
    </row>
    <row r="5" ht="28" customHeight="1">
      <c r="B5" s="4" t="inlineStr">
        <is>
          <t>申請総額</t>
        </is>
      </c>
      <c r="C5" s="5">
        <f>明細!E29</f>
        <v>43193588</v>
      </c>
      <c r="D5" s="6">
        <f>C5*0.11</f>
        <v>4751294.68</v>
      </c>
      <c r="E5" s="7" t="inlineStr">
        <is>
          <t>実際に消える費用 + 仮配送の回転資金</t>
        </is>
      </c>
    </row>
    <row r="6" ht="24" customHeight="1">
      <c r="B6" s="8" t="inlineStr">
        <is>
          <t xml:space="preserve">  └ 実消費額</t>
        </is>
      </c>
      <c r="C6" s="9">
        <f>明細!E27</f>
        <v>29648588</v>
      </c>
      <c r="D6" s="10">
        <f>C6*0.11</f>
        <v>3261344.68</v>
      </c>
      <c r="E6" s="11" t="inlineStr">
        <is>
          <t>①+②+③+⑤  回収されず消えるお金</t>
        </is>
      </c>
    </row>
    <row r="7" ht="24" customHeight="1">
      <c r="B7" s="8" t="inlineStr">
        <is>
          <t xml:space="preserve">  └ 仮配送 回転運営資金</t>
        </is>
      </c>
      <c r="C7" s="12">
        <f>明細!E28</f>
        <v>13545000</v>
      </c>
      <c r="D7" s="10">
        <f>C7*0.11</f>
        <v>1489950</v>
      </c>
      <c r="E7" s="11" t="inlineStr">
        <is>
          <t>④  精算で回収 → 翌月に再利用</t>
        </is>
      </c>
    </row>
    <row r="9">
      <c r="A9" s="3" t="inlineStr">
        <is>
          <t>区分別 金額</t>
        </is>
      </c>
    </row>
    <row r="10">
      <c r="A10" s="13" t="inlineStr"/>
      <c r="B10" s="13" t="inlineStr">
        <is>
          <t>区分</t>
        </is>
      </c>
      <c r="C10" s="13" t="inlineStr">
        <is>
          <t>3ヶ月 金額</t>
        </is>
      </c>
      <c r="D10" s="13" t="inlineStr">
        <is>
          <t>円換算</t>
        </is>
      </c>
      <c r="E10" s="13" t="inlineStr">
        <is>
          <t>備考</t>
        </is>
      </c>
    </row>
    <row r="11" ht="24" customHeight="1">
      <c r="A11" s="14" t="inlineStr">
        <is>
          <t>①</t>
        </is>
      </c>
      <c r="B11" s="8" t="inlineStr">
        <is>
          <t>3ヶ月 固定費</t>
        </is>
      </c>
      <c r="C11" s="15">
        <f>明細!E10</f>
        <v>17385000</v>
      </c>
      <c r="D11" s="10">
        <f>C11*0.11</f>
        <v>1912350</v>
      </c>
      <c r="E11" s="11" t="inlineStr">
        <is>
          <t>人件費・税務費・家賃・管理費</t>
        </is>
      </c>
    </row>
    <row r="12" ht="24" customHeight="1">
      <c r="A12" s="14" t="inlineStr">
        <is>
          <t>②</t>
        </is>
      </c>
      <c r="B12" s="8" t="inlineStr">
        <is>
          <t>3ヶ月 マーケティング・運営費</t>
        </is>
      </c>
      <c r="C12" s="16">
        <f>明細!E18</f>
        <v>8340000</v>
      </c>
      <c r="D12" s="10">
        <f>C12*0.11</f>
        <v>917400</v>
      </c>
      <c r="E12" s="11" t="inlineStr">
        <is>
          <t>★ 削減反映 (従来 15,960,000ウォン)</t>
        </is>
      </c>
    </row>
    <row r="13" ht="24" customHeight="1">
      <c r="A13" s="14" t="inlineStr">
        <is>
          <t>③</t>
        </is>
      </c>
      <c r="B13" s="8" t="inlineStr">
        <is>
          <t>仮配送 関連費用</t>
        </is>
      </c>
      <c r="C13" s="15">
        <f>明細!E23</f>
        <v>2511750</v>
      </c>
      <c r="D13" s="10">
        <f>C13*0.11</f>
        <v>276292.5</v>
      </c>
      <c r="E13" s="11" t="inlineStr">
        <is>
          <t>配送費 + 税金計算書 手数料5%</t>
        </is>
      </c>
    </row>
    <row r="14" ht="24" customHeight="1">
      <c r="A14" s="14" t="inlineStr">
        <is>
          <t>⑤</t>
        </is>
      </c>
      <c r="B14" s="8" t="inlineStr">
        <is>
          <t>予備費</t>
        </is>
      </c>
      <c r="C14" s="15">
        <f>明細!E25</f>
        <v>1411838</v>
      </c>
      <c r="D14" s="10">
        <f>C14*0.11</f>
        <v>155302.18</v>
      </c>
      <c r="E14" s="11" t="inlineStr">
        <is>
          <t>(①+②+③) × 5%</t>
        </is>
      </c>
    </row>
    <row r="15" ht="24" customHeight="1">
      <c r="A15" s="14" t="inlineStr"/>
      <c r="B15" s="17" t="inlineStr">
        <is>
          <t>実消費 小計</t>
        </is>
      </c>
      <c r="C15" s="18">
        <f>明細!E27</f>
        <v>29648588</v>
      </c>
      <c r="D15" s="19">
        <f>C15*0.11</f>
        <v>3261344.68</v>
      </c>
      <c r="E15" s="11" t="inlineStr">
        <is>
          <t>上記4項目の合計</t>
        </is>
      </c>
    </row>
    <row r="16" ht="24" customHeight="1">
      <c r="A16" s="14" t="inlineStr">
        <is>
          <t>④</t>
        </is>
      </c>
      <c r="B16" s="8" t="inlineStr">
        <is>
          <t>仮配送 回転運営資金</t>
        </is>
      </c>
      <c r="C16" s="20">
        <f>明細!E28</f>
        <v>13545000</v>
      </c>
      <c r="D16" s="10">
        <f>C16*0.11</f>
        <v>1489950</v>
      </c>
      <c r="E16" s="11" t="inlineStr">
        <is>
          <t>1ヶ月分のみ必要 (精算で回収)</t>
        </is>
      </c>
    </row>
    <row r="17" ht="30" customHeight="1">
      <c r="A17" s="21" t="inlineStr">
        <is>
          <t>■</t>
        </is>
      </c>
      <c r="B17" s="22" t="inlineStr">
        <is>
          <t>申請総額</t>
        </is>
      </c>
      <c r="C17" s="23">
        <f>明細!E29</f>
        <v>43193588</v>
      </c>
      <c r="D17" s="24">
        <f>C17*0.11</f>
        <v>4751294.68</v>
      </c>
      <c r="E17" s="25" t="inlineStr"/>
    </row>
    <row r="19">
      <c r="A19" s="3" t="inlineStr">
        <is>
          <t>削減内訳 (マーケティング・運営費)</t>
        </is>
      </c>
    </row>
    <row r="20">
      <c r="A20" s="13" t="inlineStr"/>
      <c r="B20" s="13" t="inlineStr">
        <is>
          <t>項目</t>
        </is>
      </c>
      <c r="C20" s="13" t="inlineStr">
        <is>
          <t>従来 (月)</t>
        </is>
      </c>
      <c r="D20" s="13" t="inlineStr">
        <is>
          <t>削減後 (月)</t>
        </is>
      </c>
      <c r="E20" s="13" t="inlineStr">
        <is>
          <t>差額</t>
        </is>
      </c>
    </row>
    <row r="21">
      <c r="A21" s="11" t="inlineStr"/>
      <c r="B21" s="11" t="inlineStr">
        <is>
          <t>メタ広告費</t>
        </is>
      </c>
      <c r="C21" s="26" t="n">
        <v>3960000</v>
      </c>
      <c r="D21" s="27" t="n">
        <v>2000000</v>
      </c>
      <c r="E21" s="28">
        <f>D21-C21</f>
        <v>-1960000</v>
      </c>
    </row>
    <row r="22">
      <c r="A22" s="11" t="inlineStr"/>
      <c r="B22" s="11" t="inlineStr">
        <is>
          <t>NAVER・Coupang マーケティング</t>
        </is>
      </c>
      <c r="C22" s="26" t="n">
        <v>500000</v>
      </c>
      <c r="D22" s="27" t="n">
        <v>300000</v>
      </c>
      <c r="E22" s="28">
        <f>D22-C22</f>
        <v>-200000</v>
      </c>
    </row>
    <row r="23">
      <c r="A23" s="11" t="inlineStr"/>
      <c r="B23" s="11" t="inlineStr">
        <is>
          <t>宅配費</t>
        </is>
      </c>
      <c r="C23" s="26" t="n">
        <v>60000</v>
      </c>
      <c r="D23" s="26" t="n">
        <v>60000</v>
      </c>
      <c r="E23" s="26">
        <f>D23-C23</f>
        <v>0</v>
      </c>
    </row>
    <row r="24">
      <c r="A24" s="11" t="inlineStr"/>
      <c r="B24" s="11" t="inlineStr">
        <is>
          <t>交通費・出張</t>
        </is>
      </c>
      <c r="C24" s="26" t="n">
        <v>650000</v>
      </c>
      <c r="D24" s="27" t="n">
        <v>300000</v>
      </c>
      <c r="E24" s="28">
        <f>D24-C24</f>
        <v>-350000</v>
      </c>
    </row>
    <row r="25">
      <c r="A25" s="11" t="inlineStr"/>
      <c r="B25" s="11" t="inlineStr">
        <is>
          <t>その他運営費</t>
        </is>
      </c>
      <c r="C25" s="26" t="n">
        <v>150000</v>
      </c>
      <c r="D25" s="27" t="n">
        <v>120000</v>
      </c>
      <c r="E25" s="28">
        <f>D25-C25</f>
        <v>-30000</v>
      </c>
    </row>
    <row r="26">
      <c r="A26" s="7" t="inlineStr"/>
      <c r="B26" s="17" t="inlineStr">
        <is>
          <t>3ヶ月 合計</t>
        </is>
      </c>
      <c r="C26" s="18">
        <f>SUM(C21:C25)*3</f>
        <v>15960000</v>
      </c>
      <c r="D26" s="18">
        <f>SUM(D21:D25)*3</f>
        <v>8340000</v>
      </c>
      <c r="E26" s="29">
        <f>D26-C26</f>
        <v>-7620000</v>
      </c>
    </row>
    <row r="28">
      <c r="A28" s="3" t="inlineStr">
        <is>
          <t>注記</t>
        </is>
      </c>
    </row>
    <row r="29">
      <c r="A29" s="2" t="inlineStr">
        <is>
          <t>◆ 申請総額は 51,194,588ウォン → 43,193,588ウォン へ、8,001,000ウォン(−15.6%)削減しました。(円換算 ¥5,631,405 → ¥4,751,295)</t>
        </is>
      </c>
    </row>
    <row r="30">
      <c r="A30" s="2" t="inlineStr">
        <is>
          <t>◆ 申請総額 43,193,588ウォンのうち 13,545,000ウォンは仮配送の回転資金です。精算で回収して再利用するため、実際になくなるお金は 29,648,588ウォンです。</t>
        </is>
      </c>
    </row>
    <row r="31">
      <c r="A31" s="2" t="inlineStr">
        <is>
          <t>◆ メタ広告費は実績(3,960,000ウォン/月)の半分にあたる 2,000,000ウォン/月で計上しました。10月は在庫が22個しかなく大規模な広告投下ができないため、11月入荷後に段階的に増やす前提です。</t>
        </is>
      </c>
    </row>
    <row r="32">
      <c r="A32" s="2" t="inlineStr">
        <is>
          <t>◆ 出張費(航空980,000 + 宿泊135,500)は今回の3ヶ月算定から除外しています。撮影・コンテンツ制作費とEMSも除外済みです。</t>
        </is>
      </c>
    </row>
    <row r="33">
      <c r="A33" s="2" t="inlineStr">
        <is>
          <t>◆ 税金計算書 手数料(2,031,750ウォン)が発生しない場合、総額は 41,060,250ウォンまで下がります。</t>
        </is>
      </c>
    </row>
    <row r="34">
      <c r="A34" s="2" t="inlineStr">
        <is>
          <t>◆ 商品仕入代金と800個の通関費用は本申請に含まれていません(別件)。</t>
        </is>
      </c>
    </row>
  </sheetData>
  <mergeCells count="12">
    <mergeCell ref="A30:E30"/>
    <mergeCell ref="A34:E34"/>
    <mergeCell ref="A29:E29"/>
    <mergeCell ref="A4:E4"/>
    <mergeCell ref="A2:E2"/>
    <mergeCell ref="A28:E28"/>
    <mergeCell ref="A19:E19"/>
    <mergeCell ref="A33:E33"/>
    <mergeCell ref="A1:E1"/>
    <mergeCell ref="A32:E32"/>
    <mergeCell ref="A31:E31"/>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6" customWidth="1" min="1" max="1"/>
    <col width="26" customWidth="1" min="2" max="2"/>
    <col width="16" customWidth="1" min="3" max="3"/>
    <col width="16" customWidth="1" min="4" max="4"/>
    <col width="17" customWidth="1" min="5" max="5"/>
    <col width="15" customWidth="1" min="6" max="6"/>
    <col width="11" customWidth="1" min="7" max="7"/>
    <col width="48" customWidth="1" min="8" max="8"/>
  </cols>
  <sheetData>
    <row r="1">
      <c r="A1" s="1" t="inlineStr">
        <is>
          <t>詳細内訳</t>
        </is>
      </c>
    </row>
    <row r="2">
      <c r="A2" s="2" t="inlineStr">
        <is>
          <t>「実績」は 2025.12〜2026.08 の実支出から算出、「見込み」は根拠を明記した仮定値です。</t>
        </is>
      </c>
    </row>
    <row r="4" ht="26" customHeight="1">
      <c r="A4" s="13" t="inlineStr"/>
      <c r="B4" s="13" t="inlineStr">
        <is>
          <t>項目</t>
        </is>
      </c>
      <c r="C4" s="13" t="inlineStr">
        <is>
          <t>従来(月)</t>
        </is>
      </c>
      <c r="D4" s="13" t="inlineStr">
        <is>
          <t>削減後(月)</t>
        </is>
      </c>
      <c r="E4" s="13" t="inlineStr">
        <is>
          <t>3ヶ月</t>
        </is>
      </c>
      <c r="F4" s="13" t="inlineStr">
        <is>
          <t>円換算</t>
        </is>
      </c>
      <c r="G4" s="13" t="inlineStr">
        <is>
          <t>区分</t>
        </is>
      </c>
      <c r="H4" s="13" t="inlineStr">
        <is>
          <t>算定根拠</t>
        </is>
      </c>
    </row>
    <row r="5">
      <c r="A5" s="30" t="inlineStr">
        <is>
          <t>①</t>
        </is>
      </c>
      <c r="B5" s="17" t="inlineStr">
        <is>
          <t>3ヶ月 固定費</t>
        </is>
      </c>
      <c r="C5" s="7" t="n"/>
      <c r="D5" s="7" t="n"/>
      <c r="E5" s="7" t="n"/>
      <c r="F5" s="7" t="n"/>
      <c r="G5" s="7" t="n"/>
      <c r="H5" s="7" t="n"/>
    </row>
    <row r="6">
      <c r="A6" s="11" t="inlineStr"/>
      <c r="B6" s="11" t="inlineStr">
        <is>
          <t xml:space="preserve">  人件費</t>
        </is>
      </c>
      <c r="C6" s="26" t="n">
        <v>5000000</v>
      </c>
      <c r="D6" s="26" t="n">
        <v>5000000</v>
      </c>
      <c r="E6" s="26">
        <f>D6*3</f>
        <v>15000000</v>
      </c>
      <c r="F6" s="10">
        <f>E6*0.11</f>
        <v>1650000</v>
      </c>
      <c r="G6" s="31" t="inlineStr">
        <is>
          <t>確定</t>
        </is>
      </c>
      <c r="H6" s="32" t="inlineStr">
        <is>
          <t>指定金額</t>
        </is>
      </c>
    </row>
    <row r="7">
      <c r="A7" s="11" t="inlineStr"/>
      <c r="B7" s="11" t="inlineStr">
        <is>
          <t xml:space="preserve">  税務費</t>
        </is>
      </c>
      <c r="C7" s="26" t="n">
        <v>80000</v>
      </c>
      <c r="D7" s="26" t="n">
        <v>80000</v>
      </c>
      <c r="E7" s="26">
        <f>D7*3</f>
        <v>240000</v>
      </c>
      <c r="F7" s="10">
        <f>E7*0.11</f>
        <v>26400</v>
      </c>
      <c r="G7" s="31" t="inlineStr">
        <is>
          <t>確定</t>
        </is>
      </c>
      <c r="H7" s="32" t="inlineStr">
        <is>
          <t>指定金額</t>
        </is>
      </c>
    </row>
    <row r="8">
      <c r="A8" s="11" t="inlineStr"/>
      <c r="B8" s="11" t="inlineStr">
        <is>
          <t xml:space="preserve">  事務所家賃</t>
        </is>
      </c>
      <c r="C8" s="26" t="n">
        <v>550000</v>
      </c>
      <c r="D8" s="26" t="n">
        <v>550000</v>
      </c>
      <c r="E8" s="26">
        <f>D8*3</f>
        <v>1650000</v>
      </c>
      <c r="F8" s="10">
        <f>E8*0.11</f>
        <v>181500</v>
      </c>
      <c r="G8" s="31" t="inlineStr">
        <is>
          <t>確定</t>
        </is>
      </c>
      <c r="H8" s="32" t="inlineStr">
        <is>
          <t>指定金額</t>
        </is>
      </c>
    </row>
    <row r="9">
      <c r="A9" s="11" t="inlineStr"/>
      <c r="B9" s="11" t="inlineStr">
        <is>
          <t xml:space="preserve">  管理費</t>
        </is>
      </c>
      <c r="C9" s="26" t="n">
        <v>165000</v>
      </c>
      <c r="D9" s="26" t="n">
        <v>165000</v>
      </c>
      <c r="E9" s="26">
        <f>D9*3</f>
        <v>495000</v>
      </c>
      <c r="F9" s="10">
        <f>E9*0.11</f>
        <v>54450</v>
      </c>
      <c r="G9" s="31" t="inlineStr">
        <is>
          <t>確定</t>
        </is>
      </c>
      <c r="H9" s="32" t="inlineStr">
        <is>
          <t>指定金額</t>
        </is>
      </c>
    </row>
    <row r="10">
      <c r="A10" s="7" t="inlineStr"/>
      <c r="B10" s="17" t="inlineStr">
        <is>
          <t>① 小計</t>
        </is>
      </c>
      <c r="C10" s="18">
        <f>SUM(C6:C9)</f>
        <v>5795000</v>
      </c>
      <c r="D10" s="18">
        <f>SUM(D6:D9)</f>
        <v>5795000</v>
      </c>
      <c r="E10" s="18">
        <f>SUM(E6:E9)</f>
        <v>17385000</v>
      </c>
      <c r="F10" s="19">
        <f>E10*0.11</f>
        <v>1912350</v>
      </c>
      <c r="G10" s="7" t="n"/>
      <c r="H10" s="7" t="n"/>
    </row>
    <row r="12">
      <c r="A12" s="30" t="inlineStr">
        <is>
          <t>②</t>
        </is>
      </c>
      <c r="B12" s="17" t="inlineStr">
        <is>
          <t>3ヶ月 マーケティング・運営費</t>
        </is>
      </c>
      <c r="C12" s="7" t="n"/>
      <c r="D12" s="7" t="n"/>
      <c r="E12" s="7" t="n"/>
      <c r="F12" s="7" t="n"/>
      <c r="G12" s="7" t="n"/>
      <c r="H12" s="7" t="n"/>
    </row>
    <row r="13" ht="30" customHeight="1">
      <c r="A13" s="11" t="inlineStr"/>
      <c r="B13" s="11" t="inlineStr">
        <is>
          <t xml:space="preserve">  メタ広告費</t>
        </is>
      </c>
      <c r="C13" s="33" t="n">
        <v>3960000</v>
      </c>
      <c r="D13" s="34" t="n">
        <v>2000000</v>
      </c>
      <c r="E13" s="26">
        <f>D13*3</f>
        <v>6000000</v>
      </c>
      <c r="F13" s="10">
        <f>E13*0.11</f>
        <v>660000</v>
      </c>
      <c r="G13" s="35" t="inlineStr">
        <is>
          <t>削減</t>
        </is>
      </c>
      <c r="H13" s="36" t="inlineStr">
        <is>
          <t>実績3,960,000は7/18〜8/19の集中投下分。10月は在庫22個のみで大規模投下は不可。11月入荷後に段階的拡大する前提で実績の半分に設定</t>
        </is>
      </c>
    </row>
    <row r="14" ht="30" customHeight="1">
      <c r="A14" s="11" t="inlineStr"/>
      <c r="B14" s="11" t="inlineStr">
        <is>
          <t xml:space="preserve">  NAVER・Coupang マーケティング</t>
        </is>
      </c>
      <c r="C14" s="33" t="n">
        <v>500000</v>
      </c>
      <c r="D14" s="34" t="n">
        <v>300000</v>
      </c>
      <c r="E14" s="26">
        <f>D14*3</f>
        <v>900000</v>
      </c>
      <c r="F14" s="10">
        <f>E14*0.11</f>
        <v>99000</v>
      </c>
      <c r="G14" s="35" t="inlineStr">
        <is>
          <t>削減</t>
        </is>
      </c>
      <c r="H14" s="36" t="inlineStr">
        <is>
          <t>実績ベース151,700ウォン/月。再開分を見込み、実績の約2倍の水準に縮小</t>
        </is>
      </c>
    </row>
    <row r="15" ht="30" customHeight="1">
      <c r="A15" s="11" t="inlineStr"/>
      <c r="B15" s="11" t="inlineStr">
        <is>
          <t xml:space="preserve">  宅配費</t>
        </is>
      </c>
      <c r="C15" s="33" t="n">
        <v>60000</v>
      </c>
      <c r="D15" s="37" t="n">
        <v>60000</v>
      </c>
      <c r="E15" s="26">
        <f>D15*3</f>
        <v>180000</v>
      </c>
      <c r="F15" s="10">
        <f>E15*0.11</f>
        <v>19800</v>
      </c>
      <c r="G15" s="31" t="inlineStr">
        <is>
          <t>据置</t>
        </is>
      </c>
      <c r="H15" s="36" t="inlineStr">
        <is>
          <t>実績420,300÷7回=60,043。すでに最小水準のため据え置き</t>
        </is>
      </c>
    </row>
    <row r="16" ht="30" customHeight="1">
      <c r="A16" s="11" t="inlineStr"/>
      <c r="B16" s="11" t="inlineStr">
        <is>
          <t xml:space="preserve">  交通費・出張</t>
        </is>
      </c>
      <c r="C16" s="33" t="n">
        <v>650000</v>
      </c>
      <c r="D16" s="34" t="n">
        <v>300000</v>
      </c>
      <c r="E16" s="26">
        <f>D16*3</f>
        <v>900000</v>
      </c>
      <c r="F16" s="10">
        <f>E16*0.11</f>
        <v>99000</v>
      </c>
      <c r="G16" s="35" t="inlineStr">
        <is>
          <t>削減</t>
        </is>
      </c>
      <c r="H16" s="36" t="inlineStr">
        <is>
          <t>出張(航空980,000+宿泊135,500)を除外。日常交通256,667+駐車25,550=282,217を丸め</t>
        </is>
      </c>
    </row>
    <row r="17" ht="30" customHeight="1">
      <c r="A17" s="11" t="inlineStr"/>
      <c r="B17" s="11" t="inlineStr">
        <is>
          <t xml:space="preserve">  その他運営費</t>
        </is>
      </c>
      <c r="C17" s="33" t="n">
        <v>150000</v>
      </c>
      <c r="D17" s="34" t="n">
        <v>120000</v>
      </c>
      <c r="E17" s="26">
        <f>D17*3</f>
        <v>360000</v>
      </c>
      <c r="F17" s="10">
        <f>E17*0.11</f>
        <v>39600</v>
      </c>
      <c r="G17" s="35" t="inlineStr">
        <is>
          <t>削減</t>
        </is>
      </c>
      <c r="H17" s="36" t="inlineStr">
        <is>
          <t>実績 携帯55,500+その他49,000+ソフトウェア9,900=114,400を丸め</t>
        </is>
      </c>
    </row>
    <row r="18">
      <c r="A18" s="7" t="inlineStr"/>
      <c r="B18" s="17" t="inlineStr">
        <is>
          <t>② 小計</t>
        </is>
      </c>
      <c r="C18" s="18">
        <f>SUM(C13:C17)</f>
        <v>5320000</v>
      </c>
      <c r="D18" s="18">
        <f>SUM(D13:D17)</f>
        <v>2780000</v>
      </c>
      <c r="E18" s="18">
        <f>SUM(E13:E17)</f>
        <v>8340000</v>
      </c>
      <c r="F18" s="19">
        <f>E18*0.11</f>
        <v>917400</v>
      </c>
      <c r="G18" s="7" t="n"/>
      <c r="H18" s="7" t="n"/>
    </row>
    <row r="20">
      <c r="A20" s="30" t="inlineStr">
        <is>
          <t>③</t>
        </is>
      </c>
      <c r="B20" s="17" t="inlineStr">
        <is>
          <t>仮配送 関連費用</t>
        </is>
      </c>
      <c r="C20" s="7" t="n"/>
      <c r="D20" s="7" t="n"/>
      <c r="E20" s="7" t="n"/>
      <c r="F20" s="7" t="n"/>
      <c r="G20" s="7" t="n"/>
      <c r="H20" s="7" t="n"/>
    </row>
    <row r="21" ht="26" customHeight="1">
      <c r="A21" s="11" t="inlineStr"/>
      <c r="B21" s="11" t="inlineStr">
        <is>
          <t xml:space="preserve">  仮配送 配送費</t>
        </is>
      </c>
      <c r="C21" s="11" t="inlineStr"/>
      <c r="D21" s="11" t="inlineStr"/>
      <c r="E21" s="26" t="n">
        <v>480000</v>
      </c>
      <c r="F21" s="10">
        <f>E21*0.11</f>
        <v>52800</v>
      </c>
      <c r="G21" s="31" t="inlineStr">
        <is>
          <t>確定</t>
        </is>
      </c>
      <c r="H21" s="36" t="inlineStr">
        <is>
          <t>6ヶ月 960,000ウォンの3ヶ月分 (1件3,000ウォン × 165件)</t>
        </is>
      </c>
    </row>
    <row r="22" ht="26" customHeight="1">
      <c r="A22" s="11" t="inlineStr"/>
      <c r="B22" s="11" t="inlineStr">
        <is>
          <t xml:space="preserve">  税金計算書 発行手数料 5%</t>
        </is>
      </c>
      <c r="C22" s="11" t="inlineStr"/>
      <c r="D22" s="11" t="inlineStr"/>
      <c r="E22" s="38" t="n">
        <v>2031750</v>
      </c>
      <c r="F22" s="10">
        <f>E22*0.11</f>
        <v>223492.5</v>
      </c>
      <c r="G22" s="39" t="inlineStr">
        <is>
          <t>条件付</t>
        </is>
      </c>
      <c r="H22" s="36" t="inlineStr">
        <is>
          <t>仮配送 注文額 13,545,000 × 5% × 3ヶ月</t>
        </is>
      </c>
    </row>
    <row r="23">
      <c r="A23" s="7" t="inlineStr"/>
      <c r="B23" s="17" t="inlineStr">
        <is>
          <t>③ 小計</t>
        </is>
      </c>
      <c r="C23" s="7" t="n"/>
      <c r="D23" s="7" t="n"/>
      <c r="E23" s="18">
        <f>SUM(E21:E22)</f>
        <v>2511750</v>
      </c>
      <c r="F23" s="19">
        <f>E23*0.11</f>
        <v>276292.5</v>
      </c>
      <c r="G23" s="7" t="n"/>
      <c r="H23" s="7" t="n"/>
    </row>
    <row r="25" ht="26" customHeight="1">
      <c r="A25" s="14" t="inlineStr">
        <is>
          <t>⑤</t>
        </is>
      </c>
      <c r="B25" s="40" t="inlineStr">
        <is>
          <t>予備費</t>
        </is>
      </c>
      <c r="C25" s="11" t="n"/>
      <c r="D25" s="11" t="n"/>
      <c r="E25" s="41">
        <f>ROUND((E10+E18+E23)*0.05,0)</f>
        <v>1411838</v>
      </c>
      <c r="F25" s="10">
        <f>E25*0.11</f>
        <v>155302.18</v>
      </c>
      <c r="G25" s="35" t="inlineStr">
        <is>
          <t>見込み</t>
        </is>
      </c>
      <c r="H25" s="36" t="inlineStr">
        <is>
          <t>(①+②+③) × 5%。為替変動・緊急対応用。一般的な10%より保守的に設定</t>
        </is>
      </c>
    </row>
    <row r="27">
      <c r="A27" s="7" t="inlineStr"/>
      <c r="B27" s="17" t="inlineStr">
        <is>
          <t>実消費 小計 (①+②+③+⑤)</t>
        </is>
      </c>
      <c r="C27" s="7" t="n"/>
      <c r="D27" s="7" t="n"/>
      <c r="E27" s="42">
        <f>E10+E18+E23+E25</f>
        <v>29648588</v>
      </c>
      <c r="F27" s="19">
        <f>E27*0.11</f>
        <v>3261344.68</v>
      </c>
      <c r="G27" s="7" t="n"/>
      <c r="H27" s="7" t="n"/>
    </row>
    <row r="28" ht="26" customHeight="1">
      <c r="A28" s="14" t="inlineStr">
        <is>
          <t>④</t>
        </is>
      </c>
      <c r="B28" s="40" t="inlineStr">
        <is>
          <t>仮配送 回転運営資金 (1ヶ月分)</t>
        </is>
      </c>
      <c r="C28" s="11" t="n"/>
      <c r="D28" s="11" t="n"/>
      <c r="E28" s="12" t="n">
        <v>13545000</v>
      </c>
      <c r="F28" s="43">
        <f>E28*0.11</f>
        <v>1489950</v>
      </c>
      <c r="G28" s="31" t="inlineStr">
        <is>
          <t>確定</t>
        </is>
      </c>
      <c r="H28" s="36" t="inlineStr">
        <is>
          <t>S 30個×219,000 + M 25個×279,000。精算で回収して翌月に再利用</t>
        </is>
      </c>
    </row>
    <row r="29" ht="30" customHeight="1">
      <c r="A29" s="21" t="inlineStr">
        <is>
          <t>■</t>
        </is>
      </c>
      <c r="B29" s="22" t="inlineStr">
        <is>
          <t>申請総額</t>
        </is>
      </c>
      <c r="C29" s="25" t="n"/>
      <c r="D29" s="25" t="n"/>
      <c r="E29" s="23">
        <f>E27+E28</f>
        <v>43193588</v>
      </c>
      <c r="F29" s="24">
        <f>E29*0.11</f>
        <v>4751294.68</v>
      </c>
      <c r="G29" s="25" t="n"/>
      <c r="H29" s="25"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9" customWidth="1" min="5" max="5"/>
    <col width="40" customWidth="1" min="6" max="6"/>
  </cols>
  <sheetData>
    <row r="1">
      <c r="A1" s="1" t="inlineStr">
        <is>
          <t>月別 資金所要</t>
        </is>
      </c>
    </row>
    <row r="2">
      <c r="A2" s="2" t="inlineStr">
        <is>
          <t>1ヶ月目に仮配送の回転資金が一括で入るため初月のみ大きくなります。2ヶ月目以降は同額です。</t>
        </is>
      </c>
    </row>
    <row r="4">
      <c r="A4" s="13" t="inlineStr">
        <is>
          <t>区分</t>
        </is>
      </c>
      <c r="B4" s="13" t="inlineStr">
        <is>
          <t>1ヶ月目</t>
        </is>
      </c>
      <c r="C4" s="13" t="inlineStr">
        <is>
          <t>2ヶ月目</t>
        </is>
      </c>
      <c r="D4" s="13" t="inlineStr">
        <is>
          <t>3ヶ月目</t>
        </is>
      </c>
      <c r="E4" s="13" t="inlineStr">
        <is>
          <t>3ヶ月 合計</t>
        </is>
      </c>
      <c r="F4" s="13" t="inlineStr">
        <is>
          <t>備考</t>
        </is>
      </c>
    </row>
    <row r="5" ht="24" customHeight="1">
      <c r="A5" s="8" t="inlineStr">
        <is>
          <t>① 固定費</t>
        </is>
      </c>
      <c r="B5" s="26" t="n">
        <v>5795000</v>
      </c>
      <c r="C5" s="26" t="n">
        <v>5795000</v>
      </c>
      <c r="D5" s="26" t="n">
        <v>5795000</v>
      </c>
      <c r="E5" s="26">
        <f>SUM(B5:D5)</f>
        <v>17385000</v>
      </c>
      <c r="F5" s="11" t="inlineStr">
        <is>
          <t>毎月同額</t>
        </is>
      </c>
    </row>
    <row r="6" ht="24" customHeight="1">
      <c r="A6" s="8" t="inlineStr">
        <is>
          <t>② マーケティング・運営費</t>
        </is>
      </c>
      <c r="B6" s="26" t="n">
        <v>2780000</v>
      </c>
      <c r="C6" s="26" t="n">
        <v>2780000</v>
      </c>
      <c r="D6" s="26" t="n">
        <v>2780000</v>
      </c>
      <c r="E6" s="26">
        <f>SUM(B6:D6)</f>
        <v>8340000</v>
      </c>
      <c r="F6" s="11" t="inlineStr">
        <is>
          <t>削減反映</t>
        </is>
      </c>
    </row>
    <row r="7" ht="24" customHeight="1">
      <c r="A7" s="8" t="inlineStr">
        <is>
          <t>③ 仮配送 配送費・手数料</t>
        </is>
      </c>
      <c r="B7" s="26" t="n">
        <v>837250</v>
      </c>
      <c r="C7" s="26" t="n">
        <v>837250</v>
      </c>
      <c r="D7" s="26" t="n">
        <v>837250</v>
      </c>
      <c r="E7" s="26">
        <f>SUM(B7:D7)</f>
        <v>2511750</v>
      </c>
      <c r="F7" s="11" t="inlineStr">
        <is>
          <t>配送費160,000 + 手数料677,250</t>
        </is>
      </c>
    </row>
    <row r="8" ht="24" customHeight="1">
      <c r="A8" s="8" t="inlineStr">
        <is>
          <t>⑤ 予備費</t>
        </is>
      </c>
      <c r="B8" s="26" t="n">
        <v>470612.6666666667</v>
      </c>
      <c r="C8" s="26" t="n">
        <v>470612.6666666667</v>
      </c>
      <c r="D8" s="26" t="n">
        <v>470612.6666666667</v>
      </c>
      <c r="E8" s="26">
        <f>SUM(B8:D8)</f>
        <v>1411838</v>
      </c>
      <c r="F8" s="11" t="inlineStr">
        <is>
          <t>3ヶ月 均等配分</t>
        </is>
      </c>
    </row>
    <row r="9" ht="24" customHeight="1">
      <c r="A9" s="8" t="inlineStr">
        <is>
          <t>④ 仮配送 回転運営資金</t>
        </is>
      </c>
      <c r="B9" s="44" t="n">
        <v>13545000</v>
      </c>
      <c r="C9" s="26" t="n"/>
      <c r="D9" s="26" t="n"/>
      <c r="E9" s="26">
        <f>SUM(B9:D9)</f>
        <v>13545000</v>
      </c>
      <c r="F9" s="11" t="inlineStr">
        <is>
          <t>1ヶ月目のみ必要</t>
        </is>
      </c>
    </row>
    <row r="10" ht="30" customHeight="1">
      <c r="A10" s="22" t="inlineStr">
        <is>
          <t>月 所要額</t>
        </is>
      </c>
      <c r="B10" s="45">
        <f>SUM(A5:A9)</f>
        <v>23427862.666666664</v>
      </c>
      <c r="C10" s="45">
        <f>SUM(B5:B9)</f>
        <v>9882862.666666666</v>
      </c>
      <c r="D10" s="45">
        <f>SUM(C5:C9)</f>
        <v>9882862.666666666</v>
      </c>
      <c r="E10" s="45">
        <f>SUM(B10:D10)</f>
        <v>43193588</v>
      </c>
      <c r="F10" s="25" t="inlineStr"/>
    </row>
    <row r="11">
      <c r="A11" s="11" t="inlineStr">
        <is>
          <t>円換算</t>
        </is>
      </c>
      <c r="B11" s="10">
        <f>A10*0.11</f>
        <v>2577064.893333333</v>
      </c>
      <c r="C11" s="10">
        <f>B10*0.11</f>
        <v>1087114.8933333333</v>
      </c>
      <c r="D11" s="10">
        <f>C10*0.11</f>
        <v>1087114.8933333333</v>
      </c>
      <c r="E11" s="10">
        <f>E10*0.11</f>
        <v>4751294.68</v>
      </c>
      <c r="F11" s="11" t="inlineStr"/>
    </row>
    <row r="13">
      <c r="A13" s="3" t="inlineStr">
        <is>
          <t>注記</t>
        </is>
      </c>
    </row>
    <row r="14">
      <c r="A14" s="2" t="inlineStr">
        <is>
          <t>◆ 1ヶ月目 23,427,863ウォン (¥2,577,065) / 2〜3ヶ月目 各 9,882,863ウォン (¥1,087,115)</t>
        </is>
      </c>
    </row>
    <row r="15">
      <c r="A15" s="2" t="inlineStr">
        <is>
          <t>◆ 仮配送 回転資金 13,545,000ウォンは1ヶ月目のみ投入し、以降は精算で回収した資金を再利用します。</t>
        </is>
      </c>
    </row>
    <row r="16">
      <c r="A16" s="2" t="inlineStr">
        <is>
          <t>◆ 現在の在庫22個では月55件の仮配送は困難です。800個入荷(11月中旬)以降に本格稼働できるため、必要に応じて回転資金の投入を2ヶ月目へ調整できます。</t>
        </is>
      </c>
    </row>
  </sheetData>
  <mergeCells count="6">
    <mergeCell ref="A2:F2"/>
    <mergeCell ref="A16:F16"/>
    <mergeCell ref="A13:F13"/>
    <mergeCell ref="A14:F14"/>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2026-09-18T09:29:00Z</dcterms:created>
  <dcterms:modified xsi:type="dcterms:W3CDTF">2026-09-18T09:29:00Z</dcterms:modified>
</cp:coreProperties>
</file>