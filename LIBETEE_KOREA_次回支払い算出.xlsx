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次回支払い算出" sheetId="1" state="visible" r:id="rId1"/>
    <sheet name="販売価格・利益計算" sheetId="2" state="visible" r:id="rId2"/>
    <sheet name="リベティ_支出状況" sheetId="3" state="visible" r:id="rId3"/>
    <sheet name="支出詳細" sheetId="4" state="visible" r:id="rId4"/>
    <sheet name="今後の予想費用" sheetId="5" state="visible" r:id="rId5"/>
    <sheet name="スーツケース_仕入状況" sheetId="6" state="visible" r:id="rId6"/>
  </sheets>
  <definedNames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[Red]-#,##0"/>
    <numFmt numFmtId="166" formatCode="#,##0&quot;원&quot;"/>
    <numFmt numFmtId="167" formatCode="0.000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5"/>
    </font>
    <font>
      <name val="Carlito"/>
      <color rgb="FF008000"/>
      <sz val="11"/>
    </font>
    <font>
      <name val="Carlito"/>
      <sz val="9"/>
    </font>
    <font>
      <name val="Carlito"/>
      <color rgb="FF0000FF"/>
      <sz val="11"/>
    </font>
  </fonts>
  <fills count="3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7F6000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2">
    <border/>
    <border/>
  </borders>
  <cellStyleXfs count="1">
    <xf numFmtId="0" fontId="0" fillId="0" borderId="1"/>
  </cellStyleXfs>
  <cellXfs count="194">
    <xf numFmtId="0" fontId="0" fillId="0" borderId="0" pivotButton="0" quotePrefix="0" xfId="0"/>
    <xf numFmtId="0" fontId="0" fillId="0" borderId="1" pivotButton="0" quotePrefix="0" xfId="0"/>
    <xf numFmtId="3" fontId="0" fillId="0" borderId="0" pivotButton="0" quotePrefix="0" xfId="0"/>
    <xf numFmtId="3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3" fillId="5" borderId="0" pivotButton="0" quotePrefix="0" xfId="0"/>
    <xf numFmtId="0" fontId="0" fillId="5" borderId="1" pivotButton="0" quotePrefix="0" xfId="0"/>
    <xf numFmtId="0" fontId="3" fillId="5" borderId="1" pivotButton="0" quotePrefix="0" xfId="0"/>
    <xf numFmtId="0" fontId="2" fillId="3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164" fontId="0" fillId="0" borderId="0" pivotButton="0" quotePrefix="0" xfId="0"/>
    <xf numFmtId="164" fontId="0" fillId="0" borderId="1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6" borderId="1" pivotButton="0" quotePrefix="0" xfId="0"/>
    <xf numFmtId="0" fontId="1" fillId="6" borderId="1" pivotButton="0" quotePrefix="0" xfId="0"/>
    <xf numFmtId="0" fontId="1" fillId="6" borderId="0" applyAlignment="1" pivotButton="0" quotePrefix="0" xfId="0">
      <alignment wrapText="1"/>
    </xf>
    <xf numFmtId="0" fontId="1" fillId="6" borderId="1" applyAlignment="1" pivotButton="0" quotePrefix="0" xfId="0">
      <alignment wrapText="1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165" fontId="0" fillId="0" borderId="0" pivotButton="0" quotePrefix="0" xfId="0"/>
    <xf numFmtId="165" fontId="3" fillId="4" borderId="0" pivotButton="0" quotePrefix="0" xfId="0"/>
    <xf numFmtId="165" fontId="0" fillId="0" borderId="1" pivotButton="0" quotePrefix="0" xfId="0"/>
    <xf numFmtId="165" fontId="3" fillId="4" borderId="1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0" fillId="9" borderId="0" pivotButton="0" quotePrefix="0" xfId="0"/>
    <xf numFmtId="0" fontId="3" fillId="9" borderId="0" pivotButton="0" quotePrefix="0" xfId="0"/>
    <xf numFmtId="3" fontId="3" fillId="9" borderId="0" pivotButton="0" quotePrefix="0" xfId="0"/>
    <xf numFmtId="0" fontId="0" fillId="10" borderId="0" pivotButton="0" quotePrefix="0" xfId="0"/>
    <xf numFmtId="0" fontId="3" fillId="10" borderId="0" pivotButton="0" quotePrefix="0" xfId="0"/>
    <xf numFmtId="3" fontId="3" fillId="4" borderId="0" pivotButton="0" quotePrefix="0" xfId="0"/>
    <xf numFmtId="0" fontId="1" fillId="11" borderId="0" applyAlignment="1" pivotButton="0" quotePrefix="0" xfId="0">
      <alignment horizontal="center" wrapText="1"/>
    </xf>
    <xf numFmtId="0" fontId="0" fillId="11" borderId="0" pivotButton="0" quotePrefix="0" xfId="0"/>
    <xf numFmtId="0" fontId="2" fillId="11" borderId="0" applyAlignment="1" pivotButton="0" quotePrefix="0" xfId="0">
      <alignment horizontal="center" wrapText="1"/>
    </xf>
    <xf numFmtId="0" fontId="2" fillId="11" borderId="0" pivotButton="0" quotePrefix="0" xfId="0"/>
    <xf numFmtId="0" fontId="2" fillId="11" borderId="0" applyAlignment="1" pivotButton="0" quotePrefix="0" xfId="0">
      <alignment horizontal="center"/>
    </xf>
    <xf numFmtId="0" fontId="0" fillId="12" borderId="0" pivotButton="0" quotePrefix="0" xfId="0"/>
    <xf numFmtId="3" fontId="0" fillId="12" borderId="0" pivotButton="0" quotePrefix="0" xfId="0"/>
    <xf numFmtId="0" fontId="1" fillId="12" borderId="0" pivotButton="0" quotePrefix="0" xfId="0"/>
    <xf numFmtId="3" fontId="1" fillId="12" borderId="0" pivotButton="0" quotePrefix="0" xfId="0"/>
    <xf numFmtId="0" fontId="1" fillId="12" borderId="0" applyAlignment="1" pivotButton="0" quotePrefix="0" xfId="0">
      <alignment horizontal="center"/>
    </xf>
    <xf numFmtId="3" fontId="1" fillId="12" borderId="0" applyAlignment="1" pivotButton="0" quotePrefix="0" xfId="0">
      <alignment horizontal="center"/>
    </xf>
    <xf numFmtId="0" fontId="0" fillId="13" borderId="0" pivotButton="0" quotePrefix="0" xfId="0"/>
    <xf numFmtId="3" fontId="0" fillId="13" borderId="0" pivotButton="0" quotePrefix="0" xfId="0"/>
    <xf numFmtId="0" fontId="3" fillId="13" borderId="0" pivotButton="0" quotePrefix="0" xfId="0"/>
    <xf numFmtId="3" fontId="3" fillId="13" borderId="0" pivotButton="0" quotePrefix="0" xfId="0"/>
    <xf numFmtId="0" fontId="3" fillId="14" borderId="0" pivotButton="0" quotePrefix="0" xfId="0"/>
    <xf numFmtId="0" fontId="1" fillId="3" borderId="0" applyAlignment="1" pivotButton="0" quotePrefix="0" xfId="0">
      <alignment horizontal="center" wrapText="1"/>
    </xf>
    <xf numFmtId="3" fontId="0" fillId="2" borderId="0" pivotButton="0" quotePrefix="0" xfId="0"/>
    <xf numFmtId="3" fontId="1" fillId="2" borderId="0" pivotButton="0" quotePrefix="0" xfId="0"/>
    <xf numFmtId="3" fontId="1" fillId="2" borderId="0" applyAlignment="1" pivotButton="0" quotePrefix="0" xfId="0">
      <alignment horizontal="center"/>
    </xf>
    <xf numFmtId="3" fontId="0" fillId="4" borderId="0" pivotButton="0" quotePrefix="0" xfId="0"/>
    <xf numFmtId="0" fontId="1" fillId="15" borderId="0" pivotButton="0" quotePrefix="0" xfId="0"/>
    <xf numFmtId="0" fontId="0" fillId="16" borderId="0" pivotButton="0" quotePrefix="0" xfId="0"/>
    <xf numFmtId="0" fontId="3" fillId="16" borderId="0" pivotButton="0" quotePrefix="0" xfId="0"/>
    <xf numFmtId="165" fontId="3" fillId="16" borderId="0" pivotButton="0" quotePrefix="0" xfId="0"/>
    <xf numFmtId="0" fontId="0" fillId="17" borderId="0" applyAlignment="1" pivotButton="0" quotePrefix="0" xfId="0">
      <alignment wrapText="1"/>
    </xf>
    <xf numFmtId="0" fontId="3" fillId="17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0" fillId="18" borderId="0" pivotButton="0" quotePrefix="0" xfId="0"/>
    <xf numFmtId="3" fontId="0" fillId="18" borderId="0" pivotButton="0" quotePrefix="0" xfId="0"/>
    <xf numFmtId="0" fontId="3" fillId="18" borderId="0" pivotButton="0" quotePrefix="0" xfId="0"/>
    <xf numFmtId="3" fontId="3" fillId="18" borderId="0" pivotButton="0" quotePrefix="0" xfId="0"/>
    <xf numFmtId="0" fontId="2" fillId="19" borderId="0" applyAlignment="1" pivotButton="0" quotePrefix="0" xfId="0">
      <alignment horizontal="center" wrapText="1"/>
    </xf>
    <xf numFmtId="0" fontId="1" fillId="20" borderId="0" applyAlignment="1" pivotButton="0" quotePrefix="0" xfId="0">
      <alignment horizontal="center"/>
    </xf>
    <xf numFmtId="0" fontId="0" fillId="21" borderId="0" pivotButton="0" quotePrefix="0" xfId="0"/>
    <xf numFmtId="0" fontId="2" fillId="21" borderId="0" pivotButton="0" quotePrefix="0" xfId="0"/>
    <xf numFmtId="0" fontId="2" fillId="21" borderId="0" applyAlignment="1" pivotButton="0" quotePrefix="0" xfId="0">
      <alignment horizontal="center"/>
    </xf>
    <xf numFmtId="0" fontId="0" fillId="22" borderId="0" pivotButton="0" quotePrefix="0" xfId="0"/>
    <xf numFmtId="0" fontId="1" fillId="22" borderId="0" pivotButton="0" quotePrefix="0" xfId="0"/>
    <xf numFmtId="0" fontId="0" fillId="23" borderId="0" pivotButton="0" quotePrefix="0" xfId="0"/>
    <xf numFmtId="0" fontId="3" fillId="23" borderId="0" pivotButton="0" quotePrefix="0" xfId="0"/>
    <xf numFmtId="165" fontId="3" fillId="23" borderId="0" pivotButton="0" quotePrefix="0" xfId="0"/>
    <xf numFmtId="0" fontId="0" fillId="24" borderId="0" pivotButton="0" quotePrefix="0" xfId="0"/>
    <xf numFmtId="0" fontId="3" fillId="24" borderId="0" pivotButton="0" quotePrefix="0" xfId="0"/>
    <xf numFmtId="0" fontId="3" fillId="24" borderId="0" applyAlignment="1" pivotButton="0" quotePrefix="0" xfId="0">
      <alignment wrapText="1"/>
    </xf>
    <xf numFmtId="0" fontId="0" fillId="25" borderId="0" pivotButton="0" quotePrefix="0" xfId="0"/>
    <xf numFmtId="0" fontId="2" fillId="25" borderId="0" pivotButton="0" quotePrefix="0" xfId="0"/>
    <xf numFmtId="0" fontId="2" fillId="25" borderId="0" applyAlignment="1" pivotButton="0" quotePrefix="0" xfId="0">
      <alignment horizontal="center"/>
    </xf>
    <xf numFmtId="0" fontId="0" fillId="26" borderId="0" pivotButton="0" quotePrefix="0" xfId="0"/>
    <xf numFmtId="0" fontId="1" fillId="26" borderId="0" pivotButton="0" quotePrefix="0" xfId="0"/>
    <xf numFmtId="0" fontId="0" fillId="27" borderId="0" pivotButton="0" quotePrefix="0" xfId="0"/>
    <xf numFmtId="0" fontId="3" fillId="27" borderId="0" pivotButton="0" quotePrefix="0" xfId="0"/>
    <xf numFmtId="3" fontId="3" fillId="27" borderId="0" pivotButton="0" quotePrefix="0" xfId="0"/>
    <xf numFmtId="0" fontId="0" fillId="28" borderId="0" pivotButton="0" quotePrefix="0" xfId="0"/>
    <xf numFmtId="0" fontId="3" fillId="28" borderId="0" pivotButton="0" quotePrefix="0" xfId="0"/>
    <xf numFmtId="0" fontId="3" fillId="28" borderId="0" applyAlignment="1" pivotButton="0" quotePrefix="0" xfId="0">
      <alignment wrapText="1"/>
    </xf>
    <xf numFmtId="0" fontId="2" fillId="25" borderId="0" applyAlignment="1" pivotButton="0" quotePrefix="0" xfId="0">
      <alignment horizontal="center" wrapText="1"/>
    </xf>
    <xf numFmtId="0" fontId="0" fillId="29" borderId="0" pivotButton="0" quotePrefix="0" xfId="0"/>
    <xf numFmtId="0" fontId="2" fillId="29" borderId="0" pivotButton="0" quotePrefix="0" xfId="0"/>
    <xf numFmtId="0" fontId="2" fillId="29" borderId="0" applyAlignment="1" pivotButton="0" quotePrefix="0" xfId="0">
      <alignment horizontal="center"/>
    </xf>
    <xf numFmtId="0" fontId="0" fillId="30" borderId="0" pivotButton="0" quotePrefix="0" xfId="0"/>
    <xf numFmtId="0" fontId="3" fillId="30" borderId="0" pivotButton="0" quotePrefix="0" xfId="0"/>
    <xf numFmtId="0" fontId="0" fillId="31" borderId="0" pivotButton="0" quotePrefix="0" xfId="0"/>
    <xf numFmtId="0" fontId="1" fillId="31" borderId="0" pivotButton="0" quotePrefix="0" xfId="0"/>
    <xf numFmtId="0" fontId="0" fillId="32" borderId="0" pivotButton="0" quotePrefix="0" xfId="0"/>
    <xf numFmtId="0" fontId="3" fillId="32" borderId="0" pivotButton="0" quotePrefix="0" xfId="0"/>
    <xf numFmtId="0" fontId="0" fillId="33" borderId="0" pivotButton="0" quotePrefix="0" xfId="0"/>
    <xf numFmtId="0" fontId="3" fillId="33" borderId="0" pivotButton="0" quotePrefix="0" xfId="0"/>
    <xf numFmtId="3" fontId="3" fillId="32" borderId="0" pivotButton="0" quotePrefix="0" xfId="0"/>
    <xf numFmtId="3" fontId="3" fillId="30" borderId="0" pivotButton="0" quotePrefix="0" xfId="0"/>
    <xf numFmtId="3" fontId="1" fillId="31" borderId="0" pivotButton="0" quotePrefix="0" xfId="0"/>
    <xf numFmtId="3" fontId="3" fillId="33" borderId="0" pivotButton="0" quotePrefix="0" xfId="0"/>
    <xf numFmtId="0" fontId="2" fillId="29" borderId="0" applyAlignment="1" pivotButton="0" quotePrefix="0" xfId="0">
      <alignment horizontal="center" wrapText="1"/>
    </xf>
    <xf numFmtId="0" fontId="3" fillId="31" borderId="0" pivotButton="0" quotePrefix="0" xfId="0"/>
    <xf numFmtId="3" fontId="3" fillId="5" borderId="0" pivotButton="0" quotePrefix="0" xfId="0"/>
    <xf numFmtId="0" fontId="3" fillId="2" borderId="0" pivotButton="0" quotePrefix="0" xfId="0"/>
    <xf numFmtId="166" fontId="3" fillId="4" borderId="0" pivotButton="0" quotePrefix="0" xfId="0"/>
    <xf numFmtId="166" fontId="0" fillId="0" borderId="0" pivotButton="0" quotePrefix="0" xfId="0"/>
    <xf numFmtId="0" fontId="3" fillId="4" borderId="0" applyAlignment="1" pivotButton="0" quotePrefix="0" xfId="0">
      <alignment wrapText="1"/>
    </xf>
    <xf numFmtId="166" fontId="3" fillId="4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3" fillId="0" borderId="0" pivotButton="0" quotePrefix="0" xfId="0"/>
    <xf numFmtId="166" fontId="3" fillId="0" borderId="0" pivotButton="0" quotePrefix="0" xfId="0"/>
    <xf numFmtId="0" fontId="1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6" fontId="3" fillId="0" borderId="0" applyAlignment="1" pivotButton="0" quotePrefix="0" xfId="0">
      <alignment wrapText="1"/>
    </xf>
    <xf numFmtId="166" fontId="3" fillId="32" borderId="0" pivotButton="0" quotePrefix="0" xfId="0"/>
    <xf numFmtId="166" fontId="1" fillId="2" borderId="0" pivotButton="0" quotePrefix="0" xfId="0"/>
    <xf numFmtId="166" fontId="3" fillId="5" borderId="0" pivotButton="0" quotePrefix="0" xfId="0"/>
    <xf numFmtId="3" fontId="0" fillId="0" borderId="0" applyAlignment="1" pivotButton="0" quotePrefix="0" xfId="0">
      <alignment wrapText="1"/>
    </xf>
    <xf numFmtId="3" fontId="1" fillId="2" borderId="0" applyAlignment="1" pivotButton="0" quotePrefix="0" xfId="0">
      <alignment horizontal="center" wrapText="1"/>
    </xf>
    <xf numFmtId="3" fontId="3" fillId="4" borderId="0" applyAlignment="1" pivotButton="0" quotePrefix="0" xfId="0">
      <alignment wrapText="1"/>
    </xf>
    <xf numFmtId="0" fontId="3" fillId="32" borderId="0" applyAlignment="1" pivotButton="0" quotePrefix="0" xfId="0">
      <alignment wrapText="1"/>
    </xf>
    <xf numFmtId="3" fontId="3" fillId="32" borderId="0" applyAlignment="1" pivotButton="0" quotePrefix="0" xfId="0">
      <alignment wrapText="1"/>
    </xf>
    <xf numFmtId="166" fontId="3" fillId="32" borderId="0" applyAlignment="1" pivotButton="0" quotePrefix="0" xfId="0">
      <alignment wrapText="1"/>
    </xf>
    <xf numFmtId="3" fontId="1" fillId="2" borderId="0" applyAlignment="1" pivotButton="0" quotePrefix="0" xfId="0">
      <alignment wrapText="1"/>
    </xf>
    <xf numFmtId="166" fontId="1" fillId="2" borderId="0" applyAlignment="1" pivotButton="0" quotePrefix="0" xfId="0">
      <alignment wrapText="1"/>
    </xf>
    <xf numFmtId="3" fontId="3" fillId="5" borderId="0" applyAlignment="1" pivotButton="0" quotePrefix="0" xfId="0">
      <alignment wrapText="1"/>
    </xf>
    <xf numFmtId="166" fontId="3" fillId="5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3" fillId="0" borderId="0" applyAlignment="1" pivotButton="0" quotePrefix="0" xfId="0">
      <alignment wrapText="1"/>
    </xf>
    <xf numFmtId="3" fontId="1" fillId="2" borderId="0" applyAlignment="1" pivotButton="0" quotePrefix="0" xfId="0">
      <alignment horizontal="center" wrapText="1"/>
    </xf>
    <xf numFmtId="3" fontId="3" fillId="4" borderId="0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6" fontId="3" fillId="4" borderId="0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3" fillId="32" borderId="1" applyAlignment="1" pivotButton="0" quotePrefix="0" xfId="0">
      <alignment wrapText="1"/>
    </xf>
    <xf numFmtId="166" fontId="3" fillId="32" borderId="0" applyAlignment="1" pivotButton="0" quotePrefix="0" xfId="0">
      <alignment wrapText="1"/>
    </xf>
    <xf numFmtId="3" fontId="1" fillId="2" borderId="0" applyAlignment="1" pivotButton="0" quotePrefix="0" xfId="0">
      <alignment wrapText="1"/>
    </xf>
    <xf numFmtId="166" fontId="1" fillId="2" borderId="0" applyAlignment="1" pivotButton="0" quotePrefix="0" xfId="0">
      <alignment wrapText="1"/>
    </xf>
    <xf numFmtId="166" fontId="3" fillId="5" borderId="0" applyAlignment="1" pivotButton="0" quotePrefix="0" xfId="0">
      <alignment wrapText="1"/>
    </xf>
    <xf numFmtId="0" fontId="2" fillId="29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30" borderId="1" pivotButton="0" quotePrefix="0" xfId="0"/>
    <xf numFmtId="0" fontId="1" fillId="31" borderId="0" applyAlignment="1" pivotButton="0" quotePrefix="0" xfId="0">
      <alignment horizontal="center" vertical="center"/>
    </xf>
    <xf numFmtId="3" fontId="5" fillId="0" borderId="0" pivotButton="0" quotePrefix="0" xfId="0"/>
    <xf numFmtId="3" fontId="7" fillId="0" borderId="0" pivotButton="0" quotePrefix="0" xfId="0"/>
    <xf numFmtId="167" fontId="7" fillId="34" borderId="0" pivotButton="0" quotePrefix="0" xfId="0"/>
    <xf numFmtId="0" fontId="6" fillId="0" borderId="1" applyAlignment="1" pivotButton="0" quotePrefix="0" xfId="0">
      <alignment vertical="center" wrapText="1"/>
    </xf>
    <xf numFmtId="3" fontId="5" fillId="0" borderId="0" applyAlignment="1" pivotButton="0" quotePrefix="0" xfId="0">
      <alignment wrapText="1"/>
    </xf>
    <xf numFmtId="3" fontId="3" fillId="0" borderId="0" applyAlignment="1" pivotButton="0" quotePrefix="0" xfId="0">
      <alignment wrapText="1"/>
    </xf>
    <xf numFmtId="3" fontId="3" fillId="30" borderId="0" applyAlignment="1" pivotButton="0" quotePrefix="0" xfId="0">
      <alignment wrapText="1"/>
    </xf>
    <xf numFmtId="0" fontId="3" fillId="30" borderId="0" applyAlignment="1" pivotButton="0" quotePrefix="0" xfId="0">
      <alignment wrapText="1"/>
    </xf>
    <xf numFmtId="0" fontId="2" fillId="29" borderId="1" applyAlignment="1" pivotButton="0" quotePrefix="0" xfId="0">
      <alignment horizontal="center" vertical="center"/>
    </xf>
    <xf numFmtId="167" fontId="5" fillId="0" borderId="0" pivotButton="0" quotePrefix="0" xfId="0"/>
    <xf numFmtId="164" fontId="7" fillId="34" borderId="0" pivotButton="0" quotePrefix="0" xfId="0"/>
    <xf numFmtId="3" fontId="7" fillId="34" borderId="0" pivotButton="0" quotePrefix="0" xfId="0"/>
    <xf numFmtId="0" fontId="1" fillId="31" borderId="0" applyAlignment="1" pivotButton="0" quotePrefix="0" xfId="0">
      <alignment horizontal="center" vertical="center" wrapText="1"/>
    </xf>
    <xf numFmtId="3" fontId="3" fillId="0" borderId="0" pivotButton="0" quotePrefix="0" xfId="0"/>
    <xf numFmtId="0" fontId="6" fillId="0" borderId="0" applyAlignment="1" pivotButton="0" quotePrefix="0" xfId="0">
      <alignment vertical="center" wrapText="1"/>
    </xf>
    <xf numFmtId="0" fontId="1" fillId="31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월별 리베티 사업 지출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사업 지출(원)</v>
          </tx>
          <spPr>
            <a:ln>
              <a:prstDash val="solid"/>
            </a:ln>
          </spPr>
          <cat>
            <strRef>
              <f>'일본팀_요약'!$A$9:$A$17</f>
              <strCache>
                <ptCount val="0"/>
              </strCache>
            </strRef>
          </cat>
          <val>
            <numRef>
              <f>'일본팀_요약'!$B$9:$B$17</f>
              <numCache>
                <formatCode>#,##0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omments/comment1.xml><?xml version="1.0" encoding="utf-8"?>
<comments xmlns="http://schemas.openxmlformats.org/spreadsheetml/2006/main">
  <authors>
    <author>Claude</author>
  </authors>
  <commentList>
    <comment ref="D38" authorId="0" shapeId="0">
      <text>
        <t>参考値。実際のレートに書き換えてください（黄色セルが入力欄）。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13" authorId="0" shapeId="0">
      <text>
        <t>S 21,900／M 27,900 の刻み（+6,000円）と、S 100,000／M 150,000ウォンの刻み（+50,000ウォン）から推定した仮の値です。確定価格・確定原価に置き換えてください。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2</row>
      <rowOff>0</rowOff>
    </from>
    <to>
      <col>13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6" customWidth="1" style="45" min="1" max="1"/>
    <col width="34" customWidth="1" style="45" min="2" max="2"/>
    <col width="16" customWidth="1" style="45" min="3" max="3"/>
    <col width="18" customWidth="1" style="45" min="4" max="4"/>
    <col width="18" customWidth="1" style="45" min="5" max="5"/>
    <col width="52" customWidth="1" style="45" min="6" max="6"/>
  </cols>
  <sheetData>
    <row r="1">
      <c r="A1" s="173" t="inlineStr">
        <is>
          <t>LIBETEE KOREA 次回支払い 算出</t>
        </is>
      </c>
      <c r="B1" s="1" t="n"/>
      <c r="C1" s="1" t="n"/>
      <c r="D1" s="1" t="n"/>
      <c r="E1" s="1" t="n"/>
      <c r="F1" s="1" t="n"/>
    </row>
    <row r="2">
      <c r="A2" s="174" t="inlineStr">
        <is>
          <t>算出日: 2026-09-08 ／ 通貨: 韓国ウォン（KRW）／ 700個の大量入荷分は算出対象外</t>
        </is>
      </c>
    </row>
    <row r="4">
      <c r="A4" s="175" t="inlineStr">
        <is>
          <t>① 確定・固定分（金額が確定している支払い）</t>
        </is>
      </c>
      <c r="B4" s="1" t="n"/>
      <c r="C4" s="1" t="n"/>
      <c r="D4" s="1" t="n"/>
      <c r="E4" s="1" t="n"/>
      <c r="F4" s="1" t="n"/>
    </row>
    <row r="5">
      <c r="A5" s="176" t="inlineStr">
        <is>
          <t>区分</t>
        </is>
      </c>
      <c r="B5" s="176" t="inlineStr">
        <is>
          <t>項目</t>
        </is>
      </c>
      <c r="C5" s="176" t="inlineStr">
        <is>
          <t>数量・基準</t>
        </is>
      </c>
      <c r="D5" s="176" t="inlineStr">
        <is>
          <t>金額（ウォン）</t>
        </is>
      </c>
      <c r="E5" s="176" t="inlineStr"/>
      <c r="F5" s="176" t="inlineStr">
        <is>
          <t>根拠・備考</t>
        </is>
      </c>
    </row>
    <row r="6">
      <c r="A6" t="inlineStr">
        <is>
          <t>マーケティング</t>
        </is>
      </c>
      <c r="B6" t="inlineStr">
        <is>
          <t>7/18～8/19 マーケティング費用</t>
        </is>
      </c>
      <c r="C6" t="inlineStr">
        <is>
          <t>1か月</t>
        </is>
      </c>
      <c r="D6" s="177">
        <f>'今後の予想費用'!D4</f>
        <v>3960000</v>
      </c>
      <c r="F6" s="174" t="inlineStr">
        <is>
          <t>付加価値税込み／「今後の予想費用」D4</t>
        </is>
      </c>
    </row>
    <row r="7">
      <c r="A7" t="inlineStr">
        <is>
          <t>輸入・通関</t>
        </is>
      </c>
      <c r="B7" t="inlineStr">
        <is>
          <t>今回入荷スーツケース S</t>
        </is>
      </c>
      <c r="C7" t="inlineStr">
        <is>
          <t>18個 × 100,000</t>
        </is>
      </c>
      <c r="D7" s="177">
        <f>'スーツケース_仕入状況'!D12</f>
        <v>1800000</v>
      </c>
      <c r="F7" s="174" t="inlineStr">
        <is>
          <t>「スーツケース_仕入状況」D12</t>
        </is>
      </c>
    </row>
    <row r="8">
      <c r="A8" t="inlineStr">
        <is>
          <t>輸入・通関</t>
        </is>
      </c>
      <c r="B8" t="inlineStr">
        <is>
          <t>今回入荷スーツケース M</t>
        </is>
      </c>
      <c r="C8" t="inlineStr">
        <is>
          <t>15個 × 150,000</t>
        </is>
      </c>
      <c r="D8" s="177">
        <f>'スーツケース_仕入状況'!D13</f>
        <v>2250000</v>
      </c>
      <c r="F8" s="174" t="inlineStr">
        <is>
          <t>「スーツケース_仕入状況」D13</t>
        </is>
      </c>
    </row>
    <row r="9">
      <c r="A9" t="inlineStr">
        <is>
          <t>人件費</t>
        </is>
      </c>
      <c r="B9" t="inlineStr">
        <is>
          <t>給与</t>
        </is>
      </c>
      <c r="C9" t="inlineStr">
        <is>
          <t>月1回</t>
        </is>
      </c>
      <c r="D9" s="177">
        <f>'今後の予想費用'!E9</f>
        <v>3000000</v>
      </c>
      <c r="F9" s="174" t="inlineStr">
        <is>
          <t>月給300万ウォン基準</t>
        </is>
      </c>
    </row>
    <row r="10">
      <c r="A10" t="inlineStr">
        <is>
          <t>固定費</t>
        </is>
      </c>
      <c r="B10" t="inlineStr">
        <is>
          <t>家賃</t>
        </is>
      </c>
      <c r="C10" t="inlineStr">
        <is>
          <t>月1回</t>
        </is>
      </c>
      <c r="D10" s="177">
        <f>'今後の予想費用'!E7</f>
        <v>550000</v>
      </c>
      <c r="F10" s="174" t="inlineStr">
        <is>
          <t>既存の月間支出基準</t>
        </is>
      </c>
    </row>
    <row r="11">
      <c r="A11" t="inlineStr">
        <is>
          <t>運営費</t>
        </is>
      </c>
      <c r="B11" t="inlineStr">
        <is>
          <t>管理費</t>
        </is>
      </c>
      <c r="C11" t="inlineStr">
        <is>
          <t>月1回</t>
        </is>
      </c>
      <c r="D11" s="177">
        <f>'今後の予想費用'!E10</f>
        <v>165000</v>
      </c>
      <c r="F11" s="174" t="inlineStr">
        <is>
          <t>既存の月間支出基準</t>
        </is>
      </c>
    </row>
    <row r="12">
      <c r="A12" t="inlineStr">
        <is>
          <t>固定費</t>
        </is>
      </c>
      <c r="B12" t="inlineStr">
        <is>
          <t>税理士費用</t>
        </is>
      </c>
      <c r="C12" t="inlineStr">
        <is>
          <t>月1回</t>
        </is>
      </c>
      <c r="D12" s="177">
        <f>'今後の予想費用'!E8</f>
        <v>110000</v>
      </c>
      <c r="F12" s="174" t="inlineStr">
        <is>
          <t>既存の月間支出基準</t>
        </is>
      </c>
    </row>
    <row r="13">
      <c r="A13" s="121" t="inlineStr">
        <is>
          <t>① 確定・固定分 小計</t>
        </is>
      </c>
      <c r="B13" s="120" t="n"/>
      <c r="C13" s="120" t="n"/>
      <c r="D13" s="129">
        <f>SUM(D6:D12)</f>
        <v>11835000</v>
      </c>
      <c r="E13" s="120" t="n"/>
      <c r="F13" s="120" t="n"/>
    </row>
    <row r="15">
      <c r="A15" s="175" t="inlineStr">
        <is>
          <t>② 変動費（過去実績の1回あたり平均から予想）</t>
        </is>
      </c>
      <c r="B15" s="1" t="n"/>
      <c r="C15" s="1" t="n"/>
      <c r="D15" s="1" t="n"/>
      <c r="E15" s="1" t="n"/>
      <c r="F15" s="1" t="n"/>
    </row>
    <row r="16">
      <c r="A16" s="176" t="inlineStr">
        <is>
          <t>区分</t>
        </is>
      </c>
      <c r="B16" s="176" t="inlineStr">
        <is>
          <t>項目</t>
        </is>
      </c>
      <c r="C16" s="176" t="inlineStr">
        <is>
          <t>数量・基準</t>
        </is>
      </c>
      <c r="D16" s="176" t="inlineStr">
        <is>
          <t>金額（ウォン）</t>
        </is>
      </c>
      <c r="E16" s="176" t="inlineStr"/>
      <c r="F16" s="176" t="inlineStr">
        <is>
          <t>根拠・備考</t>
        </is>
      </c>
    </row>
    <row r="17">
      <c r="A17" t="inlineStr">
        <is>
          <t>交通・出張</t>
        </is>
      </c>
      <c r="B17" t="inlineStr">
        <is>
          <t>交通費</t>
        </is>
      </c>
      <c r="C17" t="inlineStr">
        <is>
          <t>実績770,000÷3回</t>
        </is>
      </c>
      <c r="D17" s="178">
        <f>770000/3</f>
        <v>256666.66666666666</v>
      </c>
      <c r="F17" s="174" t="inlineStr">
        <is>
          <t>2026-06/07/08 に発生</t>
        </is>
      </c>
    </row>
    <row r="18">
      <c r="A18" t="inlineStr">
        <is>
          <t>配送・物流</t>
        </is>
      </c>
      <c r="B18" t="inlineStr">
        <is>
          <t>宅配費</t>
        </is>
      </c>
      <c r="C18" t="inlineStr">
        <is>
          <t>実績420,300÷7回</t>
        </is>
      </c>
      <c r="D18" s="178">
        <f>420300/7</f>
        <v>60042.857142857145</v>
      </c>
      <c r="F18" s="174" t="inlineStr">
        <is>
          <t>2026-03～08 に発生</t>
        </is>
      </c>
    </row>
    <row r="19">
      <c r="A19" t="inlineStr">
        <is>
          <t>配送・物流</t>
        </is>
      </c>
      <c r="B19" t="inlineStr">
        <is>
          <t>EMS</t>
        </is>
      </c>
      <c r="C19" t="inlineStr">
        <is>
          <t>実績688,400÷4回</t>
        </is>
      </c>
      <c r="D19" s="178">
        <f>688400/4</f>
        <v>172100</v>
      </c>
      <c r="F19" s="174" t="inlineStr">
        <is>
          <t>2026-01/02/03/05 に発生</t>
        </is>
      </c>
    </row>
    <row r="20">
      <c r="A20" t="inlineStr">
        <is>
          <t>マーケティング</t>
        </is>
      </c>
      <c r="B20" t="inlineStr">
        <is>
          <t>広告費（通常運用分）</t>
        </is>
      </c>
      <c r="C20" t="inlineStr">
        <is>
          <t>実績390,000÷3回</t>
        </is>
      </c>
      <c r="D20" s="178">
        <f>390000/3</f>
        <v>130000</v>
      </c>
      <c r="F20" s="174" t="inlineStr">
        <is>
          <t>2026-03/06/07 に発生。①のマーケ費とは別枠</t>
        </is>
      </c>
    </row>
    <row r="21">
      <c r="A21" t="inlineStr">
        <is>
          <t>ソフトウェア</t>
        </is>
      </c>
      <c r="B21" t="inlineStr">
        <is>
          <t>Canva ほか</t>
        </is>
      </c>
      <c r="C21" t="inlineStr">
        <is>
          <t>実績29,700÷3回</t>
        </is>
      </c>
      <c r="D21" s="178">
        <f>29700/3</f>
        <v>9900</v>
      </c>
      <c r="F21" s="174" t="inlineStr">
        <is>
          <t>2026-06/07/08 に発生</t>
        </is>
      </c>
    </row>
    <row r="22">
      <c r="A22" t="inlineStr">
        <is>
          <t>その他事業費</t>
        </is>
      </c>
      <c r="B22" t="inlineStr">
        <is>
          <t>Instagram・その他</t>
        </is>
      </c>
      <c r="C22" t="inlineStr">
        <is>
          <t>実績108,500÷5回</t>
        </is>
      </c>
      <c r="D22" s="178">
        <f>108500/5</f>
        <v>21700</v>
      </c>
      <c r="F22" s="174" t="inlineStr">
        <is>
          <t>2025-12, 2026-02/06/07/08 に発生</t>
        </is>
      </c>
    </row>
    <row r="23">
      <c r="A23" s="121" t="inlineStr">
        <is>
          <t>② 変動費 小計（予想）</t>
        </is>
      </c>
      <c r="B23" s="120" t="n"/>
      <c r="C23" s="120" t="n"/>
      <c r="D23" s="129">
        <f>SUM(D17:D22)</f>
        <v>650409.5238095238</v>
      </c>
      <c r="E23" s="120" t="n"/>
      <c r="F23" s="120" t="n"/>
    </row>
    <row r="25">
      <c r="A25" s="175" t="inlineStr">
        <is>
          <t>③ 次回支払い 合計</t>
        </is>
      </c>
      <c r="B25" s="1" t="n"/>
      <c r="C25" s="1" t="n"/>
      <c r="D25" s="1" t="n"/>
      <c r="E25" s="1" t="n"/>
      <c r="F25" s="1" t="n"/>
    </row>
    <row r="26">
      <c r="B26" t="inlineStr">
        <is>
          <t>確定・固定分（①）</t>
        </is>
      </c>
      <c r="D26" s="2">
        <f>D13</f>
        <v>11835000</v>
      </c>
      <c r="F26" s="174" t="inlineStr">
        <is>
          <t>金額確定分</t>
        </is>
      </c>
    </row>
    <row r="27">
      <c r="B27" t="inlineStr">
        <is>
          <t>変動費 予想（②）</t>
        </is>
      </c>
      <c r="D27" s="2">
        <f>D23</f>
        <v>650409.5238095238</v>
      </c>
      <c r="F27" s="174" t="inlineStr">
        <is>
          <t>過去実績平均。実績確定後に差し替え</t>
        </is>
      </c>
    </row>
    <row r="28">
      <c r="A28" s="120" t="n"/>
      <c r="B28" s="121" t="inlineStr">
        <is>
          <t>次回支払い 合計見込み</t>
        </is>
      </c>
      <c r="C28" s="120" t="n"/>
      <c r="D28" s="129">
        <f>D26+D27</f>
        <v>12485409.523809524</v>
      </c>
      <c r="E28" s="120" t="n"/>
      <c r="F28" s="174" t="inlineStr">
        <is>
          <t>①＋②</t>
        </is>
      </c>
    </row>
    <row r="30">
      <c r="A30" s="175" t="inlineStr">
        <is>
          <t>④ 支払後の累計（参考）</t>
        </is>
      </c>
      <c r="B30" s="1" t="n"/>
      <c r="C30" s="1" t="n"/>
      <c r="D30" s="1" t="n"/>
      <c r="E30" s="1" t="n"/>
      <c r="F30" s="1" t="n"/>
    </row>
    <row r="31">
      <c r="B31" t="inlineStr">
        <is>
          <t>総支出合計（「支出詳細」計上ベース）</t>
        </is>
      </c>
      <c r="D31" s="2">
        <f>'支出詳細'!C41</f>
        <v>46418850</v>
      </c>
      <c r="F31" s="174" t="inlineStr">
        <is>
          <t>既存事業支出＋追加給与＋スーツケース原価</t>
        </is>
      </c>
    </row>
    <row r="32">
      <c r="B32" t="inlineStr">
        <is>
          <t>うち未払い（今回入荷スーツケース原価）</t>
        </is>
      </c>
      <c r="D32" s="2">
        <f>-'スーツケース_仕入状況'!D14</f>
        <v>-4050000</v>
      </c>
      <c r="F32" s="174" t="inlineStr">
        <is>
          <t>①に含まれるため二重計上を控除</t>
        </is>
      </c>
    </row>
    <row r="33">
      <c r="B33" t="inlineStr">
        <is>
          <t>支払済み累計</t>
        </is>
      </c>
      <c r="D33" s="2">
        <f>D31+D32</f>
        <v>42368850</v>
      </c>
      <c r="F33" s="174" t="inlineStr">
        <is>
          <t>2025.12～2026.08 の支払済み</t>
        </is>
      </c>
    </row>
    <row r="34">
      <c r="B34" t="inlineStr">
        <is>
          <t>次回支払い 合計見込み</t>
        </is>
      </c>
      <c r="D34" s="2">
        <f>D28</f>
        <v>12485409.523809524</v>
      </c>
      <c r="F34" s="174" t="inlineStr">
        <is>
          <t>③より</t>
        </is>
      </c>
    </row>
    <row r="35">
      <c r="A35" s="120" t="n"/>
      <c r="B35" s="121" t="inlineStr">
        <is>
          <t>次回支払い後の累計見込み</t>
        </is>
      </c>
      <c r="C35" s="120" t="n"/>
      <c r="D35" s="129">
        <f>D33+D34</f>
        <v>54854259.52380952</v>
      </c>
      <c r="E35" s="120" t="n"/>
      <c r="F35" s="174" t="inlineStr"/>
    </row>
    <row r="37">
      <c r="A37" s="175" t="inlineStr">
        <is>
          <t>⑤ 円換算（参考・レートは手入力）</t>
        </is>
      </c>
      <c r="B37" s="1" t="n"/>
      <c r="C37" s="1" t="n"/>
      <c r="D37" s="1" t="n"/>
      <c r="E37" s="1" t="n"/>
      <c r="F37" s="1" t="n"/>
    </row>
    <row r="38">
      <c r="B38" t="inlineStr">
        <is>
          <t>為替レート（1ウォン = ○円）</t>
        </is>
      </c>
      <c r="D38" s="179" t="n">
        <v>0.11</v>
      </c>
      <c r="F38" s="174" t="inlineStr">
        <is>
          <t>※ 仮の参考レート。必ず最新レートに更新してください（黄色＝入力セル）</t>
        </is>
      </c>
    </row>
    <row r="39">
      <c r="A39" s="120" t="n"/>
      <c r="B39" s="121" t="inlineStr">
        <is>
          <t>次回支払い 合計見込み（円）</t>
        </is>
      </c>
      <c r="C39" s="120" t="n"/>
      <c r="D39" s="129">
        <f>D28*D38</f>
        <v>1373395.0476190476</v>
      </c>
      <c r="E39" s="120" t="n"/>
      <c r="F39" s="120" t="n"/>
    </row>
    <row r="41">
      <c r="A41" s="175" t="inlineStr">
        <is>
          <t>注記・前提</t>
        </is>
      </c>
      <c r="B41" s="1" t="n"/>
      <c r="C41" s="1" t="n"/>
      <c r="D41" s="1" t="n"/>
      <c r="E41" s="1" t="n"/>
      <c r="F41" s="1" t="n"/>
    </row>
    <row r="42">
      <c r="A42" s="180" t="inlineStr">
        <is>
          <t>1. 700個の大量入荷分は、原案どおり今回の算出から除外しています。</t>
        </is>
      </c>
      <c r="B42" s="1" t="n"/>
      <c r="C42" s="1" t="n"/>
      <c r="D42" s="1" t="n"/>
      <c r="E42" s="1" t="n"/>
      <c r="F42" s="1" t="n"/>
    </row>
    <row r="43">
      <c r="A43" s="180" t="inlineStr">
        <is>
          <t>2. 「今回入荷スーツケース原価 4,050,000ウォン」は「支出詳細」の総支出合計に既に計上されているため、④では二重計上を避けて控除しています。</t>
        </is>
      </c>
      <c r="B43" s="1" t="n"/>
      <c r="C43" s="1" t="n"/>
      <c r="D43" s="1" t="n"/>
      <c r="E43" s="1" t="n"/>
      <c r="F43" s="1" t="n"/>
    </row>
    <row r="44">
      <c r="A44" s="180" t="inlineStr">
        <is>
          <t>3. ②の変動費は過去実績の1回あたり平均による予想値です（青字＝手入力の前提値）。実績が確定したら差し替えてください。</t>
        </is>
      </c>
      <c r="B44" s="1" t="n"/>
      <c r="C44" s="1" t="n"/>
      <c r="D44" s="1" t="n"/>
      <c r="E44" s="1" t="n"/>
      <c r="F44" s="1" t="n"/>
    </row>
    <row r="45">
      <c r="A45" s="180" t="inlineStr">
        <is>
          <t>4. 「リベティ_支出状況」の最終総支出 37,875,450 と「支出詳細」の明細合計 37,768,850 に 106,600ウォンの差異があります（月次合計ベースと明細合計ベースの差）。要確認。</t>
        </is>
      </c>
      <c r="B45" s="1" t="n"/>
      <c r="C45" s="1" t="n"/>
      <c r="D45" s="1" t="n"/>
      <c r="E45" s="1" t="n"/>
      <c r="F45" s="1" t="n"/>
    </row>
    <row r="46">
      <c r="A46" s="180" t="inlineStr">
        <is>
          <t>5. 緑字＝他シート参照、青字＝手入力の前提値、黄色セル＝更新が必要な入力欄。</t>
        </is>
      </c>
      <c r="B46" s="1" t="n"/>
      <c r="C46" s="1" t="n"/>
      <c r="D46" s="1" t="n"/>
      <c r="E46" s="1" t="n"/>
      <c r="F46" s="1" t="n"/>
    </row>
  </sheetData>
  <mergeCells count="12">
    <mergeCell ref="A41:F41"/>
    <mergeCell ref="A42:F42"/>
    <mergeCell ref="A46:F46"/>
    <mergeCell ref="A44:F44"/>
    <mergeCell ref="A1:F1"/>
    <mergeCell ref="A37:F37"/>
    <mergeCell ref="A45:F45"/>
    <mergeCell ref="A4:F4"/>
    <mergeCell ref="A30:F30"/>
    <mergeCell ref="A15:F15"/>
    <mergeCell ref="A25:F25"/>
    <mergeCell ref="A43:F4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0" customWidth="1" style="45" min="1" max="1"/>
    <col width="18" customWidth="1" style="45" min="2" max="2"/>
    <col width="15" customWidth="1" style="45" min="3" max="3"/>
    <col width="14" customWidth="1" style="45" min="4" max="4"/>
    <col width="10" customWidth="1" style="45" min="5" max="5"/>
    <col width="16" customWidth="1" style="45" min="6" max="6"/>
    <col width="14" customWidth="1" style="45" min="7" max="7"/>
    <col width="14" customWidth="1" style="45" min="8" max="8"/>
    <col width="10" customWidth="1" style="45" min="9" max="9"/>
    <col width="46" customWidth="1" style="45" min="10" max="10"/>
  </cols>
  <sheetData>
    <row r="1">
      <c r="A1" s="185" t="inlineStr">
        <is>
          <t>LIBETEE KOREA 販売価格・1個あたり利益計算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74" t="inlineStr">
        <is>
          <t>通貨: 日本円（JPY）／ 原価は韓国ウォン建てを為替レートで換算</t>
        </is>
      </c>
    </row>
    <row r="4">
      <c r="A4" s="175" t="inlineStr">
        <is>
          <t>① 前提条件（黄色セル＝入力欄）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B5" t="inlineStr">
        <is>
          <t>為替レート（1ウォン = ○円）</t>
        </is>
      </c>
      <c r="C5" s="186">
        <f>'次回支払い算出'!D38</f>
        <v>0.11</v>
      </c>
      <c r="J5" s="174" t="inlineStr">
        <is>
          <t>「次回支払い算出」D38と連動。実レートに更新してください</t>
        </is>
      </c>
    </row>
    <row r="6">
      <c r="B6" t="inlineStr">
        <is>
          <t>決済・販売手数料率</t>
        </is>
      </c>
      <c r="C6" s="187" t="n">
        <v>0.04</v>
      </c>
      <c r="J6" s="174" t="inlineStr">
        <is>
          <t>ご指定の4%</t>
        </is>
      </c>
    </row>
    <row r="7">
      <c r="B7" t="inlineStr">
        <is>
          <t>送料（円／個）</t>
        </is>
      </c>
      <c r="C7" s="188" t="n">
        <v>300</v>
      </c>
      <c r="J7" s="174" t="inlineStr">
        <is>
          <t>ご指定の300円</t>
        </is>
      </c>
    </row>
    <row r="9">
      <c r="A9" s="175" t="inlineStr">
        <is>
          <t>② サイズ別 1個あたり利益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89" t="inlineStr">
        <is>
          <t>サイズ</t>
        </is>
      </c>
      <c r="B10" s="189" t="inlineStr">
        <is>
          <t>販売状態</t>
        </is>
      </c>
      <c r="C10" s="189" t="inlineStr">
        <is>
          <t>販売価格(円)</t>
        </is>
      </c>
      <c r="D10" s="189" t="inlineStr">
        <is>
          <t>手数料(4%)</t>
        </is>
      </c>
      <c r="E10" s="189" t="inlineStr">
        <is>
          <t>送料(円)</t>
        </is>
      </c>
      <c r="F10" s="189" t="inlineStr">
        <is>
          <t>原価(ウォン)</t>
        </is>
      </c>
      <c r="G10" s="189" t="inlineStr">
        <is>
          <t>原価(円)</t>
        </is>
      </c>
      <c r="H10" s="189" t="inlineStr">
        <is>
          <t>粗利(円)</t>
        </is>
      </c>
      <c r="I10" s="189" t="inlineStr">
        <is>
          <t>粗利率</t>
        </is>
      </c>
      <c r="J10" s="189" t="inlineStr">
        <is>
          <t>備考</t>
        </is>
      </c>
    </row>
    <row r="11">
      <c r="A11" s="141" t="inlineStr">
        <is>
          <t>S</t>
        </is>
      </c>
      <c r="B11" t="inlineStr">
        <is>
          <t>在庫あり（18個）</t>
        </is>
      </c>
      <c r="C11" s="178" t="n">
        <v>21900</v>
      </c>
      <c r="D11" s="2">
        <f>C11*$C$6</f>
        <v>876</v>
      </c>
      <c r="E11" s="2">
        <f>$C$7</f>
        <v>300</v>
      </c>
      <c r="F11" s="177">
        <f>'スーツケース_仕入状況'!C12</f>
        <v>100000</v>
      </c>
      <c r="G11" s="2">
        <f>F11*$C$5</f>
        <v>11000</v>
      </c>
      <c r="H11" s="190">
        <f>C11-D11-E11-G11</f>
        <v>9724</v>
      </c>
      <c r="I11" s="28">
        <f>IFERROR(H11/C11,0)</f>
        <v>0.44401826484018264</v>
      </c>
      <c r="J11" s="191" t="inlineStr">
        <is>
          <t>ご指定の販売価格。原価は今回入荷分S単価</t>
        </is>
      </c>
    </row>
    <row r="12">
      <c r="A12" s="141" t="inlineStr">
        <is>
          <t>M</t>
        </is>
      </c>
      <c r="B12" t="inlineStr">
        <is>
          <t>在庫あり（15個）</t>
        </is>
      </c>
      <c r="C12" s="178" t="n">
        <v>27900</v>
      </c>
      <c r="D12" s="2">
        <f>C12*$C$6</f>
        <v>1116</v>
      </c>
      <c r="E12" s="2">
        <f>$C$7</f>
        <v>300</v>
      </c>
      <c r="F12" s="177">
        <f>'スーツケース_仕入状況'!C13</f>
        <v>150000</v>
      </c>
      <c r="G12" s="2">
        <f>F12*$C$5</f>
        <v>16500</v>
      </c>
      <c r="H12" s="190">
        <f>C12-D12-E12-G12</f>
        <v>9984</v>
      </c>
      <c r="I12" s="28">
        <f>IFERROR(H12/C12,0)</f>
        <v>0.3578494623655914</v>
      </c>
      <c r="J12" s="191" t="inlineStr">
        <is>
          <t>ご指定の販売価格。原価は今回入荷分M単価</t>
        </is>
      </c>
    </row>
    <row r="13">
      <c r="A13" s="141" t="inlineStr">
        <is>
          <t>L</t>
        </is>
      </c>
      <c r="B13" t="inlineStr">
        <is>
          <t>予約注文（在庫なし・入荷待ち）</t>
        </is>
      </c>
      <c r="C13" s="188" t="n">
        <v>33900</v>
      </c>
      <c r="D13" s="2">
        <f>C13*$C$6</f>
        <v>1356</v>
      </c>
      <c r="E13" s="2">
        <f>$C$7</f>
        <v>300</v>
      </c>
      <c r="F13" s="188" t="n">
        <v>200000</v>
      </c>
      <c r="G13" s="2">
        <f>F13*$C$5</f>
        <v>22000</v>
      </c>
      <c r="H13" s="190">
        <f>C13-D13-E13-G13</f>
        <v>10244</v>
      </c>
      <c r="I13" s="28">
        <f>IFERROR(H13/C13,0)</f>
        <v>0.30218289085545724</v>
      </c>
      <c r="J13" s="191" t="inlineStr">
        <is>
          <t>★ 販売価格・原価とも未指定のため仮置き。要確定</t>
        </is>
      </c>
    </row>
    <row r="15">
      <c r="A15" s="175" t="inlineStr">
        <is>
          <t>③ 今回入荷33個（S18・M15）を完売した場合 ※Lは在庫なしのため除外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92" t="inlineStr">
        <is>
          <t>サイズ</t>
        </is>
      </c>
      <c r="B16" s="192" t="inlineStr">
        <is>
          <t>数量</t>
        </is>
      </c>
      <c r="C16" s="192" t="inlineStr">
        <is>
          <t>1個あたり粗利(円)</t>
        </is>
      </c>
      <c r="D16" s="192" t="inlineStr">
        <is>
          <t>粗利合計(円)</t>
        </is>
      </c>
      <c r="J16" s="192" t="inlineStr">
        <is>
          <t>備考</t>
        </is>
      </c>
    </row>
    <row r="17">
      <c r="A17" t="inlineStr">
        <is>
          <t>S</t>
        </is>
      </c>
      <c r="B17" s="177">
        <f>'スーツケース_仕入状況'!B12</f>
        <v>18</v>
      </c>
      <c r="C17" s="2">
        <f>H11</f>
        <v>9724</v>
      </c>
      <c r="D17" s="2">
        <f>B17*C17</f>
        <v>175032</v>
      </c>
    </row>
    <row r="18">
      <c r="A18" t="inlineStr">
        <is>
          <t>M</t>
        </is>
      </c>
      <c r="B18" s="177">
        <f>'スーツケース_仕入状況'!B13</f>
        <v>15</v>
      </c>
      <c r="C18" s="2">
        <f>H12</f>
        <v>9984</v>
      </c>
      <c r="D18" s="2">
        <f>B18*C18</f>
        <v>149760</v>
      </c>
    </row>
    <row r="19">
      <c r="A19" s="121" t="inlineStr">
        <is>
          <t>合計</t>
        </is>
      </c>
      <c r="B19" s="129">
        <f>SUM(B17:B18)</f>
        <v>33</v>
      </c>
      <c r="C19" s="120" t="n"/>
      <c r="D19" s="129">
        <f>SUM(D17:D18)</f>
        <v>324792</v>
      </c>
      <c r="E19" s="120" t="n"/>
      <c r="F19" s="120" t="n"/>
      <c r="G19" s="120" t="n"/>
      <c r="H19" s="120" t="n"/>
      <c r="I19" s="120" t="n"/>
      <c r="J19" s="120" t="n"/>
    </row>
    <row r="21">
      <c r="A21" s="175" t="inlineStr">
        <is>
          <t>④ 次回支払いとの比較・損益分岐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B22" t="inlineStr">
        <is>
          <t>次回支払い 合計見込み（円）</t>
        </is>
      </c>
      <c r="D22" s="2">
        <f>'次回支払い算出'!D39</f>
        <v>1373395.0476190476</v>
      </c>
      <c r="J22" s="174" t="inlineStr">
        <is>
          <t>「次回支払い算出」③×為替レート</t>
        </is>
      </c>
    </row>
    <row r="23">
      <c r="B23" t="inlineStr">
        <is>
          <t>33個完売時の粗利合計（円）</t>
        </is>
      </c>
      <c r="D23" s="2">
        <f>D19</f>
        <v>324792</v>
      </c>
      <c r="J23" s="174" t="inlineStr">
        <is>
          <t>③より</t>
        </is>
      </c>
    </row>
    <row r="24">
      <c r="B24" s="141" t="inlineStr">
        <is>
          <t>次回支払いのカバー率</t>
        </is>
      </c>
      <c r="D24" s="193">
        <f>IFERROR(D23/D22,0)</f>
        <v>0.23648840190815282</v>
      </c>
      <c r="J24" s="174" t="inlineStr">
        <is>
          <t>33個では次回支払いを賄えません</t>
        </is>
      </c>
    </row>
    <row r="25">
      <c r="B25" t="inlineStr">
        <is>
          <t>不足額（円）</t>
        </is>
      </c>
      <c r="D25" s="2">
        <f>D22-D23</f>
        <v>1048603.0476190476</v>
      </c>
      <c r="J25" s="174" t="inlineStr">
        <is>
          <t>追加販売で埋める必要がある金額</t>
        </is>
      </c>
    </row>
    <row r="26">
      <c r="B26" t="inlineStr">
        <is>
          <t>S:M=18:15 構成の平均粗利（円/個）</t>
        </is>
      </c>
      <c r="D26" s="2">
        <f>IFERROR(D19/B19,0)</f>
        <v>9842.181818181818</v>
      </c>
      <c r="J26" s="174" t="inlineStr">
        <is>
          <t>③の加重平均</t>
        </is>
      </c>
    </row>
    <row r="27">
      <c r="B27" t="inlineStr">
        <is>
          <t>損益分岐 必要販売数（S単独）</t>
        </is>
      </c>
      <c r="D27" s="2">
        <f>ROUNDUP(D22/H11,0)</f>
        <v>142</v>
      </c>
      <c r="J27" s="174" t="inlineStr">
        <is>
          <t>次回支払いを粗利で回収するのに必要な個数</t>
        </is>
      </c>
    </row>
    <row r="28">
      <c r="B28" t="inlineStr">
        <is>
          <t>損益分岐 必要販売数（M単独）</t>
        </is>
      </c>
      <c r="D28" s="2">
        <f>ROUNDUP(D22/H12,0)</f>
        <v>138</v>
      </c>
      <c r="J28" s="174" t="inlineStr"/>
    </row>
    <row r="29">
      <c r="B29" s="141" t="inlineStr">
        <is>
          <t>損益分岐 必要販売数（18:15構成）</t>
        </is>
      </c>
      <c r="D29" s="129">
        <f>ROUNDUP(D22/D26,0)</f>
        <v>140</v>
      </c>
      <c r="J29" s="174" t="inlineStr"/>
    </row>
    <row r="32">
      <c r="A32" s="175" t="inlineStr">
        <is>
          <t>注記・前提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80" t="inlineStr">
        <is>
          <t>1. 販売価格（S 21,900円／M 27,900円）、手数料率4%、送料300円／個はご指定の値です。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80" t="inlineStr">
        <is>
          <t>2. L は在庫がないため「予約注文（入荷待ち）」として計上。販売価格・原価はご指定がないため仮置きです（黄色セル）。確定値に置き換えてください。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80" t="inlineStr">
        <is>
          <t>3. 原価は S 100,000ウォン／M 150,000ウォン（「スーツケース_仕入状況」参照）を為替レートで円換算しています。レートは①のC5セル（「次回支払い算出」D38と連動）。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80" t="inlineStr">
        <is>
          <t>4. 粗利は 販売価格 −手数料 −送料 −原価 のみを引いた商品単位の粗利です。広告費・人件費・家賃などの固定費は含みません（それらは「次回支払い算出」側で計上）。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80" t="inlineStr">
        <is>
          <t>5. 手数料4%は販売価格（税込）に対する率として計算しています。税抜ベースが正の場合はご連絡ください。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80" t="inlineStr">
        <is>
          <t>6. 緑字＝他シート参照、青字＝入力値、黄色セル＝要確定の入力欄。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</sheetData>
  <mergeCells count="12">
    <mergeCell ref="A1:J1"/>
    <mergeCell ref="A37:J37"/>
    <mergeCell ref="A32:J32"/>
    <mergeCell ref="A36:J36"/>
    <mergeCell ref="A9:J9"/>
    <mergeCell ref="A21:J21"/>
    <mergeCell ref="A34:J34"/>
    <mergeCell ref="A15:J15"/>
    <mergeCell ref="A4:J4"/>
    <mergeCell ref="A35:J35"/>
    <mergeCell ref="A38:J38"/>
    <mergeCell ref="A33:J3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52" customWidth="1" style="45" min="2" max="2"/>
    <col width="12" customWidth="1" style="45" min="3" max="3"/>
    <col width="12" customWidth="1" style="45" min="4" max="4"/>
  </cols>
  <sheetData>
    <row r="1" ht="30" customHeight="1" s="45">
      <c r="A1" s="27" t="inlineStr">
        <is>
          <t>LIBETEE KOREA 事業費支出まとめ（2025.12～2026.08）</t>
        </is>
      </c>
      <c r="B1" s="1" t="n"/>
      <c r="C1" s="1" t="n"/>
      <c r="D1" s="1" t="n"/>
    </row>
    <row r="2">
      <c r="A2" s="44" t="n"/>
      <c r="B2" s="44" t="n"/>
      <c r="C2" s="44" t="n"/>
      <c r="D2" s="44" t="n"/>
    </row>
    <row r="3">
      <c r="A3" s="138" t="inlineStr">
        <is>
          <t>主要指標</t>
        </is>
      </c>
      <c r="B3" s="138" t="inlineStr">
        <is>
          <t>金額</t>
        </is>
      </c>
      <c r="C3" s="44" t="n"/>
      <c r="D3" s="44" t="n"/>
    </row>
    <row r="4">
      <c r="A4" s="44" t="inlineStr">
        <is>
          <t>既存事業支出合計</t>
        </is>
      </c>
      <c r="B4" s="159" t="n">
        <v>29875450</v>
      </c>
      <c r="C4" s="44" t="n"/>
      <c r="D4" s="44" t="n"/>
    </row>
    <row r="5">
      <c r="A5" s="44" t="inlineStr">
        <is>
          <t>追加給与</t>
        </is>
      </c>
      <c r="B5" s="159" t="n">
        <v>8000000</v>
      </c>
      <c r="C5" s="44" t="n"/>
      <c r="D5" s="44" t="n"/>
    </row>
    <row r="6">
      <c r="A6" s="44" t="inlineStr">
        <is>
          <t>最終総支出</t>
        </is>
      </c>
      <c r="B6" s="159" t="n">
        <v>37875450</v>
      </c>
      <c r="C6" s="44" t="n"/>
      <c r="D6" s="44" t="n"/>
    </row>
    <row r="7">
      <c r="A7" s="44" t="inlineStr">
        <is>
          <t>集計期間</t>
        </is>
      </c>
      <c r="B7" s="44" t="inlineStr">
        <is>
          <t>2025.12 ~ 2026.08</t>
        </is>
      </c>
      <c r="C7" s="44" t="n"/>
      <c r="D7" s="44" t="n"/>
    </row>
    <row r="8">
      <c r="A8" s="143" t="inlineStr">
        <is>
          <t>月</t>
        </is>
      </c>
      <c r="B8" s="143" t="inlineStr">
        <is>
          <t>事業支出（ウォン）</t>
        </is>
      </c>
      <c r="C8" s="44" t="n"/>
      <c r="D8" s="44" t="n"/>
    </row>
    <row r="9">
      <c r="A9" s="44" t="inlineStr">
        <is>
          <t>2025-12</t>
        </is>
      </c>
      <c r="B9" s="159" t="n">
        <v>2875000</v>
      </c>
      <c r="C9" s="44" t="n"/>
      <c r="D9" s="44" t="n"/>
    </row>
    <row r="10">
      <c r="A10" s="44" t="inlineStr">
        <is>
          <t>2026-01</t>
        </is>
      </c>
      <c r="B10" s="159" t="n">
        <v>2698900</v>
      </c>
      <c r="C10" s="44" t="n"/>
      <c r="D10" s="44" t="n"/>
    </row>
    <row r="11">
      <c r="A11" s="44" t="inlineStr">
        <is>
          <t>2026-02</t>
        </is>
      </c>
      <c r="B11" s="159" t="n">
        <v>4993000</v>
      </c>
      <c r="C11" s="44" t="n"/>
      <c r="D11" s="44" t="n"/>
    </row>
    <row r="12">
      <c r="A12" s="44" t="inlineStr">
        <is>
          <t>2026-03</t>
        </is>
      </c>
      <c r="B12" s="159" t="n">
        <v>3332000</v>
      </c>
      <c r="C12" s="44" t="n"/>
      <c r="D12" s="44" t="n"/>
    </row>
    <row r="13">
      <c r="A13" s="44" t="inlineStr">
        <is>
          <t>2026-04</t>
        </is>
      </c>
      <c r="B13" s="159" t="n">
        <v>1264050</v>
      </c>
      <c r="C13" s="44" t="n"/>
      <c r="D13" s="44" t="n"/>
    </row>
    <row r="14">
      <c r="A14" s="44" t="inlineStr">
        <is>
          <t>2026-05</t>
        </is>
      </c>
      <c r="B14" s="159" t="n">
        <v>2959000</v>
      </c>
      <c r="C14" s="44" t="n"/>
      <c r="D14" s="44" t="n"/>
    </row>
    <row r="15">
      <c r="A15" s="44" t="inlineStr">
        <is>
          <t>2026-06</t>
        </is>
      </c>
      <c r="B15" s="159" t="n">
        <v>4468900</v>
      </c>
      <c r="C15" s="44" t="n"/>
      <c r="D15" s="44" t="n"/>
    </row>
    <row r="16">
      <c r="A16" s="44" t="inlineStr">
        <is>
          <t>2026-07</t>
        </is>
      </c>
      <c r="B16" s="159" t="n">
        <v>3285600</v>
      </c>
      <c r="C16" s="44" t="n"/>
      <c r="D16" s="44" t="n"/>
    </row>
    <row r="17">
      <c r="A17" s="44" t="inlineStr">
        <is>
          <t>2026-08</t>
        </is>
      </c>
      <c r="B17" s="159" t="n">
        <v>3999000</v>
      </c>
      <c r="C17" s="44" t="n"/>
      <c r="D17" s="44" t="n"/>
    </row>
    <row r="18">
      <c r="A18" s="44" t="n"/>
      <c r="B18" s="44" t="n"/>
      <c r="C18" s="44" t="n"/>
      <c r="D18" s="44" t="n"/>
    </row>
    <row r="19">
      <c r="A19" s="160" t="inlineStr">
        <is>
          <t>スーツケース仕入・原価まとめ</t>
        </is>
      </c>
      <c r="B19" s="1" t="n"/>
      <c r="C19" s="1" t="n"/>
      <c r="D19" s="1" t="n"/>
    </row>
    <row r="20">
      <c r="A20" s="44" t="inlineStr">
        <is>
          <t>既存仕入 S</t>
        </is>
      </c>
      <c r="B20" s="44" t="inlineStr">
        <is>
          <t>16個 × 100,000ウォン</t>
        </is>
      </c>
      <c r="C20" s="44" t="n"/>
      <c r="D20" s="44" t="n"/>
    </row>
    <row r="21">
      <c r="A21" s="44" t="inlineStr">
        <is>
          <t>既存仕入 M</t>
        </is>
      </c>
      <c r="B21" s="44" t="inlineStr">
        <is>
          <t>20個 × 150,000ウォン</t>
        </is>
      </c>
      <c r="C21" s="44" t="n"/>
      <c r="D21" s="44" t="n"/>
    </row>
    <row r="22">
      <c r="A22" s="44" t="inlineStr">
        <is>
          <t>既存スーツケース原価 合計</t>
        </is>
      </c>
      <c r="B22" s="181">
        <f>'スーツケース_仕入状況'!D7</f>
        <v>4600000</v>
      </c>
      <c r="C22" s="44" t="n"/>
      <c r="D22" s="44" t="n"/>
    </row>
    <row r="23">
      <c r="A23" s="44" t="inlineStr">
        <is>
          <t>今回入荷予定</t>
        </is>
      </c>
      <c r="B23" s="161" t="inlineStr">
        <is>
          <t>S 18個 + M 15個 = 合計33個</t>
        </is>
      </c>
      <c r="C23" s="44" t="n"/>
      <c r="D23" s="44" t="n"/>
    </row>
    <row r="24">
      <c r="A24" s="44" t="inlineStr">
        <is>
          <t>今回入荷予定分 スーツケース原価</t>
        </is>
      </c>
      <c r="B24" s="181">
        <f>'スーツケース_仕入状況'!D14</f>
        <v>4050000</v>
      </c>
      <c r="C24" s="44" t="n"/>
      <c r="D24" s="44" t="n"/>
    </row>
    <row r="25">
      <c r="A25" s="144" t="inlineStr">
        <is>
          <t>スーツケース原価を含む最終支出合計</t>
        </is>
      </c>
      <c r="B25" s="182">
        <f>B6+B22+B24</f>
        <v>46525450</v>
      </c>
      <c r="C25" s="44" t="n"/>
      <c r="D25" s="44" t="n"/>
    </row>
    <row r="26">
      <c r="A26" s="44" t="inlineStr">
        <is>
          <t>今後700個入荷予定</t>
        </is>
      </c>
      <c r="B26" s="44" t="inlineStr">
        <is>
          <t>今回の計算から除外</t>
        </is>
      </c>
      <c r="C26" s="44" t="n"/>
      <c r="D26" s="44" t="n"/>
    </row>
    <row r="27">
      <c r="A27" s="174" t="inlineStr">
        <is>
          <t>※ 上記は「支出詳細」シートの総支出合計 46,418,850 と 106,600 ウォンの差異あり（月次合計ベースと明細合計ベースの差／要確認）</t>
        </is>
      </c>
    </row>
  </sheetData>
  <mergeCells count="2">
    <mergeCell ref="A1:D1"/>
    <mergeCell ref="A19:D19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8" customWidth="1" style="45" min="1" max="1"/>
    <col width="25" customWidth="1" style="45" min="2" max="2"/>
    <col width="18" customWidth="1" style="45" min="3" max="3"/>
    <col width="12" customWidth="1" style="45" min="4" max="4"/>
    <col width="30" customWidth="1" style="45" min="5" max="5"/>
    <col width="62" customWidth="1" style="45" min="6" max="6"/>
  </cols>
  <sheetData>
    <row r="1" ht="30" customHeight="1" s="45">
      <c r="A1" s="27" t="inlineStr">
        <is>
          <t>LIBETEE KOREA 支出詳細 — 同一支払先合算</t>
        </is>
      </c>
      <c r="B1" s="1" t="n"/>
      <c r="C1" s="1" t="n"/>
      <c r="D1" s="1" t="n"/>
      <c r="E1" s="1" t="n"/>
      <c r="F1" s="1" t="n"/>
    </row>
    <row r="2">
      <c r="A2" s="44" t="n"/>
      <c r="B2" s="44" t="n"/>
      <c r="C2" s="44" t="n"/>
      <c r="D2" s="159" t="n"/>
      <c r="E2" s="44" t="n"/>
      <c r="F2" s="44" t="n"/>
    </row>
    <row r="3">
      <c r="A3" s="10" t="inlineStr">
        <is>
          <t>区分</t>
        </is>
      </c>
      <c r="B3" s="10" t="inlineStr">
        <is>
          <t>支払先／項目</t>
        </is>
      </c>
      <c r="C3" s="10" t="inlineStr">
        <is>
          <t>総支出額（ウォン）</t>
        </is>
      </c>
      <c r="D3" s="163" t="inlineStr">
        <is>
          <t>発生回数</t>
        </is>
      </c>
      <c r="E3" s="10" t="inlineStr">
        <is>
          <t>発生月</t>
        </is>
      </c>
      <c r="F3" s="10" t="n"/>
    </row>
    <row r="4">
      <c r="A4" s="44" t="inlineStr">
        <is>
          <t>人件費</t>
        </is>
      </c>
      <c r="B4" s="44" t="inlineStr">
        <is>
          <t>ソヒョン、ウンソン</t>
        </is>
      </c>
      <c r="C4" s="159" t="n">
        <v>11500000</v>
      </c>
      <c r="D4" s="159" t="n">
        <v>7</v>
      </c>
      <c r="E4" s="44" t="inlineStr">
        <is>
          <t>2026-01, 2026-02, 2026-03, 2026-05, 2026-06, 2026-07, 2026-08</t>
        </is>
      </c>
      <c r="F4" s="44" t="n"/>
    </row>
    <row r="5">
      <c r="A5" s="44" t="inlineStr">
        <is>
          <t>人件費</t>
        </is>
      </c>
      <c r="B5" s="44" t="inlineStr">
        <is>
          <t>ココ</t>
        </is>
      </c>
      <c r="C5" s="159" t="n">
        <v>8000000</v>
      </c>
      <c r="D5" s="159" t="n">
        <v>1</v>
      </c>
      <c r="E5" s="44" t="inlineStr">
        <is>
          <t>追加反映</t>
        </is>
      </c>
      <c r="F5" s="44" t="n"/>
    </row>
    <row r="6">
      <c r="A6" s="44" t="inlineStr">
        <is>
          <t>賃貸・管理</t>
        </is>
      </c>
      <c r="B6" s="44" t="inlineStr">
        <is>
          <t>家賃</t>
        </is>
      </c>
      <c r="C6" s="159" t="n">
        <v>4950000</v>
      </c>
      <c r="D6" s="159" t="n">
        <v>9</v>
      </c>
      <c r="E6" s="44" t="inlineStr">
        <is>
          <t>2025-12, 2026-01, 2026-02, 2026-03, 2026-04, 2026-05, 2026-06, 2026-07, 2026-08</t>
        </is>
      </c>
      <c r="F6" s="44" t="n"/>
    </row>
    <row r="7">
      <c r="A7" s="44" t="inlineStr">
        <is>
          <t>賃貸・管理</t>
        </is>
      </c>
      <c r="B7" s="44" t="inlineStr">
        <is>
          <t>管理費</t>
        </is>
      </c>
      <c r="C7" s="159" t="n">
        <v>1320000</v>
      </c>
      <c r="D7" s="159" t="n">
        <v>8</v>
      </c>
      <c r="E7" s="44" t="inlineStr">
        <is>
          <t>2026-01, 2026-02, 2026-03, 2026-04, 2026-05, 2026-06, 2026-07, 2026-08</t>
        </is>
      </c>
      <c r="F7" s="44" t="n"/>
    </row>
    <row r="8">
      <c r="A8" s="44" t="inlineStr">
        <is>
          <t>設備</t>
        </is>
      </c>
      <c r="B8" s="44" t="inlineStr">
        <is>
          <t>パソコン</t>
        </is>
      </c>
      <c r="C8" s="159" t="n">
        <v>1100000</v>
      </c>
      <c r="D8" s="159" t="n">
        <v>1</v>
      </c>
      <c r="E8" s="44" t="inlineStr">
        <is>
          <t>2025-12</t>
        </is>
      </c>
      <c r="F8" s="44" t="n"/>
    </row>
    <row r="9">
      <c r="A9" s="44" t="inlineStr">
        <is>
          <t>ストア・サイト</t>
        </is>
      </c>
      <c r="B9" s="44" t="inlineStr">
        <is>
          <t>自社ECサイト</t>
        </is>
      </c>
      <c r="C9" s="159" t="n">
        <v>1100000</v>
      </c>
      <c r="D9" s="159" t="n">
        <v>1</v>
      </c>
      <c r="E9" s="44" t="inlineStr">
        <is>
          <t>2026-02</t>
        </is>
      </c>
      <c r="F9" s="44" t="n"/>
    </row>
    <row r="10">
      <c r="A10" s="44" t="inlineStr">
        <is>
          <t>輸入・通関</t>
        </is>
      </c>
      <c r="B10" s="44" t="inlineStr">
        <is>
          <t>輸入費</t>
        </is>
      </c>
      <c r="C10" s="159" t="n">
        <v>1065000</v>
      </c>
      <c r="D10" s="159" t="n">
        <v>1</v>
      </c>
      <c r="E10" s="44" t="inlineStr">
        <is>
          <t>2026-02</t>
        </is>
      </c>
      <c r="F10" s="44" t="n"/>
    </row>
    <row r="11">
      <c r="A11" s="44" t="inlineStr">
        <is>
          <t>交通・出張</t>
        </is>
      </c>
      <c r="B11" s="44" t="inlineStr">
        <is>
          <t>航空券</t>
        </is>
      </c>
      <c r="C11" s="159" t="n">
        <v>980000</v>
      </c>
      <c r="D11" s="159" t="n">
        <v>2</v>
      </c>
      <c r="E11" s="44" t="inlineStr">
        <is>
          <t>2026-06, 2026-08</t>
        </is>
      </c>
      <c r="F11" s="44" t="n"/>
    </row>
    <row r="12">
      <c r="A12" s="44" t="inlineStr">
        <is>
          <t>撮影・コンテンツ</t>
        </is>
      </c>
      <c r="B12" s="44" t="inlineStr">
        <is>
          <t>撮影データ</t>
        </is>
      </c>
      <c r="C12" s="159" t="n">
        <v>935000</v>
      </c>
      <c r="D12" s="159" t="n">
        <v>1</v>
      </c>
      <c r="E12" s="44" t="inlineStr">
        <is>
          <t>2026-03</t>
        </is>
      </c>
      <c r="F12" s="44" t="n"/>
    </row>
    <row r="13">
      <c r="A13" s="44" t="inlineStr">
        <is>
          <t>税務・行政</t>
        </is>
      </c>
      <c r="B13" s="44" t="inlineStr">
        <is>
          <t>税理士</t>
        </is>
      </c>
      <c r="C13" s="159" t="n">
        <v>880000</v>
      </c>
      <c r="D13" s="159" t="n">
        <v>8</v>
      </c>
      <c r="E13" s="44" t="inlineStr">
        <is>
          <t>2026-01, 2026-02, 2026-03, 2026-04, 2026-05, 2026-06, 2026-07, 2026-08</t>
        </is>
      </c>
      <c r="F13" s="44" t="n"/>
    </row>
    <row r="14">
      <c r="A14" s="44" t="inlineStr">
        <is>
          <t>交通・出張</t>
        </is>
      </c>
      <c r="B14" s="44" t="inlineStr">
        <is>
          <t>交通費</t>
        </is>
      </c>
      <c r="C14" s="159" t="n">
        <v>770000</v>
      </c>
      <c r="D14" s="159" t="n">
        <v>3</v>
      </c>
      <c r="E14" s="44" t="inlineStr">
        <is>
          <t>2026-07, 2026-08, 2026-06</t>
        </is>
      </c>
      <c r="F14" s="44" t="n"/>
    </row>
    <row r="15">
      <c r="A15" s="44" t="inlineStr">
        <is>
          <t>配送・物流</t>
        </is>
      </c>
      <c r="B15" s="44" t="inlineStr">
        <is>
          <t>EMS</t>
        </is>
      </c>
      <c r="C15" s="159" t="n">
        <v>688400</v>
      </c>
      <c r="D15" s="159" t="n">
        <v>4</v>
      </c>
      <c r="E15" s="44" t="inlineStr">
        <is>
          <t>2026-01, 2026-02, 2026-03, 2026-05</t>
        </is>
      </c>
      <c r="F15" s="44" t="n"/>
    </row>
    <row r="16">
      <c r="A16" s="44" t="inlineStr">
        <is>
          <t>その他事業費</t>
        </is>
      </c>
      <c r="B16" s="44" t="inlineStr">
        <is>
          <t>リベティ支出</t>
        </is>
      </c>
      <c r="C16" s="159" t="n">
        <v>649000</v>
      </c>
      <c r="D16" s="159" t="n">
        <v>2</v>
      </c>
      <c r="E16" s="44" t="inlineStr">
        <is>
          <t>2026-01, 2026-05</t>
        </is>
      </c>
      <c r="F16" s="44" t="n"/>
    </row>
    <row r="17">
      <c r="A17" s="44" t="inlineStr">
        <is>
          <t>外注・コンテンツ</t>
        </is>
      </c>
      <c r="B17" s="44" t="inlineStr">
        <is>
          <t>LP外注</t>
        </is>
      </c>
      <c r="C17" s="159" t="n">
        <v>550000</v>
      </c>
      <c r="D17" s="159" t="n">
        <v>1</v>
      </c>
      <c r="E17" s="44" t="inlineStr">
        <is>
          <t>2025-12</t>
        </is>
      </c>
      <c r="F17" s="44" t="n"/>
    </row>
    <row r="18">
      <c r="A18" s="44" t="inlineStr">
        <is>
          <t>配送・物流</t>
        </is>
      </c>
      <c r="B18" s="44" t="inlineStr">
        <is>
          <t>宅配費</t>
        </is>
      </c>
      <c r="C18" s="159" t="n">
        <v>420300</v>
      </c>
      <c r="D18" s="159" t="n">
        <v>7</v>
      </c>
      <c r="E18" s="44" t="inlineStr">
        <is>
          <t>2026-03, 2026-03, 2026-04, 2026-05, 2026-06, 2026-07, 2026-08</t>
        </is>
      </c>
      <c r="F18" s="44" t="n"/>
    </row>
    <row r="19">
      <c r="A19" s="44" t="inlineStr">
        <is>
          <t>その他事業費</t>
        </is>
      </c>
      <c r="B19" s="44" t="inlineStr">
        <is>
          <t>不明支出（月額合計から逆算）</t>
        </is>
      </c>
      <c r="C19" s="159" t="n">
        <v>399050</v>
      </c>
      <c r="D19" s="159" t="n">
        <v>1</v>
      </c>
      <c r="E19" s="44" t="inlineStr">
        <is>
          <t>2026-04</t>
        </is>
      </c>
      <c r="F19" s="44" t="n"/>
    </row>
    <row r="20">
      <c r="A20" s="44" t="inlineStr">
        <is>
          <t>印刷・制作</t>
        </is>
      </c>
      <c r="B20" s="44" t="inlineStr">
        <is>
          <t>説明書印刷</t>
        </is>
      </c>
      <c r="C20" s="159" t="n">
        <v>390000</v>
      </c>
      <c r="D20" s="159" t="n">
        <v>1</v>
      </c>
      <c r="E20" s="44" t="inlineStr">
        <is>
          <t>2025-12</t>
        </is>
      </c>
      <c r="F20" s="44" t="n"/>
    </row>
    <row r="21">
      <c r="A21" s="44" t="inlineStr">
        <is>
          <t>マーケティング</t>
        </is>
      </c>
      <c r="B21" s="44" t="inlineStr">
        <is>
          <t>広告費</t>
        </is>
      </c>
      <c r="C21" s="159" t="n">
        <v>390000</v>
      </c>
      <c r="D21" s="159" t="n">
        <v>3</v>
      </c>
      <c r="E21" s="44" t="inlineStr">
        <is>
          <t>2026-03, 2026-06, 2026-07</t>
        </is>
      </c>
      <c r="F21" s="44" t="n"/>
    </row>
    <row r="22">
      <c r="A22" s="44" t="inlineStr">
        <is>
          <t>印刷・制作</t>
        </is>
      </c>
      <c r="B22" s="44" t="inlineStr">
        <is>
          <t>ポイントプリント</t>
        </is>
      </c>
      <c r="C22" s="159" t="n">
        <v>319000</v>
      </c>
      <c r="D22" s="159" t="n">
        <v>1</v>
      </c>
      <c r="E22" s="44" t="inlineStr">
        <is>
          <t>2026-06</t>
        </is>
      </c>
      <c r="F22" s="44" t="n"/>
    </row>
    <row r="23">
      <c r="A23" s="44" t="inlineStr">
        <is>
          <t>決済・PG</t>
        </is>
      </c>
      <c r="B23" s="44" t="inlineStr">
        <is>
          <t>PG決済</t>
        </is>
      </c>
      <c r="C23" s="159" t="n">
        <v>317000</v>
      </c>
      <c r="D23" s="159" t="n">
        <v>1</v>
      </c>
      <c r="E23" s="44" t="inlineStr">
        <is>
          <t>2026-02</t>
        </is>
      </c>
      <c r="F23" s="44" t="n"/>
    </row>
    <row r="24">
      <c r="A24" s="44" t="inlineStr">
        <is>
          <t>外注・コンテンツ</t>
        </is>
      </c>
      <c r="B24" s="44" t="inlineStr">
        <is>
          <t>商品詳細ページ外注</t>
        </is>
      </c>
      <c r="C24" s="159" t="n">
        <v>200000</v>
      </c>
      <c r="D24" s="159" t="n">
        <v>1</v>
      </c>
      <c r="E24" s="44" t="inlineStr">
        <is>
          <t>2026-06</t>
        </is>
      </c>
      <c r="F24" s="44" t="n"/>
    </row>
    <row r="25">
      <c r="A25" s="44" t="inlineStr">
        <is>
          <t>印刷・制作</t>
        </is>
      </c>
      <c r="B25" s="44" t="inlineStr">
        <is>
          <t>説明書制作</t>
        </is>
      </c>
      <c r="C25" s="159" t="n">
        <v>165000</v>
      </c>
      <c r="D25" s="159" t="n">
        <v>1</v>
      </c>
      <c r="E25" s="44" t="inlineStr">
        <is>
          <t>2025-12</t>
        </is>
      </c>
      <c r="F25" s="44" t="n"/>
    </row>
    <row r="26">
      <c r="A26" s="44" t="inlineStr">
        <is>
          <t>交通・出張</t>
        </is>
      </c>
      <c r="B26" s="44" t="inlineStr">
        <is>
          <t>宿泊費</t>
        </is>
      </c>
      <c r="C26" s="159" t="n">
        <v>135500</v>
      </c>
      <c r="D26" s="159" t="n">
        <v>1</v>
      </c>
      <c r="E26" s="44" t="inlineStr">
        <is>
          <t>2026-06</t>
        </is>
      </c>
      <c r="F26" s="44" t="n"/>
    </row>
    <row r="27">
      <c r="A27" s="44" t="inlineStr">
        <is>
          <t>ストア・サイト</t>
        </is>
      </c>
      <c r="B27" s="44" t="inlineStr">
        <is>
          <t>スマートストア設定</t>
        </is>
      </c>
      <c r="C27" s="159" t="n">
        <v>110000</v>
      </c>
      <c r="D27" s="159" t="n">
        <v>1</v>
      </c>
      <c r="E27" s="44" t="inlineStr">
        <is>
          <t>2025-12</t>
        </is>
      </c>
      <c r="F27" s="44" t="n"/>
    </row>
    <row r="28">
      <c r="A28" s="44" t="inlineStr">
        <is>
          <t>マーケティング</t>
        </is>
      </c>
      <c r="B28" s="44" t="inlineStr">
        <is>
          <t>Instagram・フォロワー</t>
        </is>
      </c>
      <c r="C28" s="159" t="n">
        <v>108500</v>
      </c>
      <c r="D28" s="159" t="n">
        <v>5</v>
      </c>
      <c r="E28" s="44" t="inlineStr">
        <is>
          <t>2025-12, 2026-02, 2026-06, 2026-07, 2026-08</t>
        </is>
      </c>
      <c r="F28" s="44" t="n"/>
    </row>
    <row r="29">
      <c r="A29" s="44" t="inlineStr">
        <is>
          <t>その他事業費</t>
        </is>
      </c>
      <c r="B29" s="44" t="inlineStr">
        <is>
          <t>その他</t>
        </is>
      </c>
      <c r="C29" s="159" t="n">
        <v>98000</v>
      </c>
      <c r="D29" s="159" t="n">
        <v>2</v>
      </c>
      <c r="E29" s="44" t="inlineStr">
        <is>
          <t>2026-03, 2026-08</t>
        </is>
      </c>
      <c r="F29" s="44" t="n"/>
    </row>
    <row r="30">
      <c r="A30" s="44" t="inlineStr">
        <is>
          <t>レビュー・プロモーション</t>
        </is>
      </c>
      <c r="B30" s="44" t="inlineStr">
        <is>
          <t>ビズウォレット フォトレビュー</t>
        </is>
      </c>
      <c r="C30" s="159" t="n">
        <v>60000</v>
      </c>
      <c r="D30" s="159" t="n">
        <v>1</v>
      </c>
      <c r="E30" s="44" t="inlineStr">
        <is>
          <t>2026-08</t>
        </is>
      </c>
      <c r="F30" s="44" t="n"/>
    </row>
    <row r="31">
      <c r="A31" s="44" t="inlineStr">
        <is>
          <t>商品原価</t>
        </is>
      </c>
      <c r="B31" s="44" t="inlineStr">
        <is>
          <t>既存仕入スーツケース原価（S 16個 / M 20個）</t>
        </is>
      </c>
      <c r="C31" s="181">
        <f>'スーツケース_仕入状況'!D7</f>
        <v>4600000</v>
      </c>
      <c r="D31" s="159" t="n">
        <v>1</v>
      </c>
      <c r="E31" s="44" t="inlineStr">
        <is>
          <t>現在までの仕入分</t>
        </is>
      </c>
      <c r="F31" s="44" t="inlineStr">
        <is>
          <t>提供分および日本からのEMS発送分を除外</t>
        </is>
      </c>
    </row>
    <row r="32">
      <c r="A32" s="44" t="inlineStr">
        <is>
          <t>商品原価</t>
        </is>
      </c>
      <c r="B32" s="44" t="inlineStr">
        <is>
          <t>今回入荷予定スーツケース原価（S 18個 / M 15個）</t>
        </is>
      </c>
      <c r="C32" s="181">
        <f>'スーツケース_仕入状況'!D14</f>
        <v>4050000</v>
      </c>
      <c r="D32" s="159" t="n">
        <v>1</v>
      </c>
      <c r="E32" s="44" t="inlineStr">
        <is>
          <t>今回入荷予定</t>
        </is>
      </c>
      <c r="F32" s="44" t="inlineStr">
        <is>
          <t>700個の大量入荷分を除外</t>
        </is>
      </c>
    </row>
    <row r="33">
      <c r="A33" s="44" t="inlineStr">
        <is>
          <t>税務・行政</t>
        </is>
      </c>
      <c r="B33" s="44" t="inlineStr">
        <is>
          <t>登録免許税</t>
        </is>
      </c>
      <c r="C33" s="159" t="n">
        <v>40500</v>
      </c>
      <c r="D33" s="159" t="n">
        <v>1</v>
      </c>
      <c r="E33" s="44" t="inlineStr">
        <is>
          <t>2026-01</t>
        </is>
      </c>
      <c r="F33" s="44" t="n"/>
    </row>
    <row r="34">
      <c r="A34" s="44" t="inlineStr">
        <is>
          <t>ストア・サイト</t>
        </is>
      </c>
      <c r="B34" s="44" t="inlineStr">
        <is>
          <t>サイト</t>
        </is>
      </c>
      <c r="C34" s="159" t="n">
        <v>39000</v>
      </c>
      <c r="D34" s="159" t="n">
        <v>1</v>
      </c>
      <c r="E34" s="44" t="inlineStr">
        <is>
          <t>2026-03</t>
        </is>
      </c>
      <c r="F34" s="44" t="n"/>
    </row>
    <row r="35">
      <c r="A35" s="44" t="inlineStr">
        <is>
          <t>撮影・コンテンツ</t>
        </is>
      </c>
      <c r="B35" s="44" t="inlineStr">
        <is>
          <t>スタジオ</t>
        </is>
      </c>
      <c r="C35" s="159" t="n">
        <v>36000</v>
      </c>
      <c r="D35" s="159" t="n">
        <v>1</v>
      </c>
      <c r="E35" s="44" t="inlineStr">
        <is>
          <t>2026-08</t>
        </is>
      </c>
      <c r="F35" s="44" t="n"/>
    </row>
    <row r="36">
      <c r="A36" s="44" t="inlineStr">
        <is>
          <t>ソフトウェア</t>
        </is>
      </c>
      <c r="B36" s="44" t="inlineStr">
        <is>
          <t>Canva</t>
        </is>
      </c>
      <c r="C36" s="159" t="n">
        <v>29700</v>
      </c>
      <c r="D36" s="159" t="n">
        <v>3</v>
      </c>
      <c r="E36" s="44" t="inlineStr">
        <is>
          <t>2026-06, 2026-07, 2026-08</t>
        </is>
      </c>
      <c r="F36" s="44" t="n"/>
    </row>
    <row r="37">
      <c r="A37" s="44" t="inlineStr">
        <is>
          <t>ストア・サイト</t>
        </is>
      </c>
      <c r="B37" s="44" t="inlineStr">
        <is>
          <t>ドメイン</t>
        </is>
      </c>
      <c r="C37" s="159" t="n">
        <v>16000</v>
      </c>
      <c r="D37" s="159" t="n">
        <v>1</v>
      </c>
      <c r="E37" s="44" t="inlineStr">
        <is>
          <t>2026-02</t>
        </is>
      </c>
      <c r="F37" s="44" t="n"/>
    </row>
    <row r="38">
      <c r="A38" s="44" t="inlineStr">
        <is>
          <t>ソフトウェア</t>
        </is>
      </c>
      <c r="B38" s="44" t="inlineStr">
        <is>
          <t>Photoshop</t>
        </is>
      </c>
      <c r="C38" s="159" t="n">
        <v>5000</v>
      </c>
      <c r="D38" s="159" t="n">
        <v>1</v>
      </c>
      <c r="E38" s="44" t="inlineStr">
        <is>
          <t>2026-05</t>
        </is>
      </c>
      <c r="F38" s="44" t="n"/>
    </row>
    <row r="39">
      <c r="A39" s="44" t="inlineStr">
        <is>
          <t>ソフトウェア</t>
        </is>
      </c>
      <c r="B39" s="44" t="inlineStr">
        <is>
          <t>VLO</t>
        </is>
      </c>
      <c r="C39" s="159" t="n">
        <v>2900</v>
      </c>
      <c r="D39" s="159" t="n">
        <v>1</v>
      </c>
      <c r="E39" s="44" t="inlineStr">
        <is>
          <t>2026-07</t>
        </is>
      </c>
      <c r="F39" s="44" t="n"/>
    </row>
    <row r="40">
      <c r="A40" s="44" t="n"/>
      <c r="B40" s="44" t="n"/>
      <c r="C40" s="159" t="n"/>
      <c r="D40" s="159" t="n"/>
      <c r="E40" s="44" t="n"/>
      <c r="F40" s="44" t="n"/>
    </row>
    <row r="41">
      <c r="A41" s="138" t="inlineStr">
        <is>
          <t>総支出合計</t>
        </is>
      </c>
      <c r="B41" s="138" t="n"/>
      <c r="C41" s="183">
        <f>SUM(C4:C39)</f>
        <v>46418850</v>
      </c>
      <c r="D41" s="164" t="n"/>
      <c r="E41" s="138" t="n"/>
      <c r="F41" s="138" t="n"/>
    </row>
    <row r="42">
      <c r="A42" s="138" t="n"/>
      <c r="B42" s="138" t="n"/>
      <c r="C42" s="164" t="n"/>
      <c r="D42" s="164" t="n"/>
      <c r="E42" s="138" t="n"/>
      <c r="F42" s="138" t="n"/>
    </row>
    <row r="43">
      <c r="A43" s="44" t="n"/>
      <c r="B43" s="44" t="n"/>
      <c r="C43" s="44" t="n"/>
      <c r="D43" s="159" t="n"/>
      <c r="E43" s="44" t="n"/>
      <c r="F43" s="44" t="n"/>
    </row>
    <row r="44">
      <c r="A44" s="44" t="n"/>
      <c r="B44" s="44" t="n"/>
      <c r="C44" s="44" t="n"/>
      <c r="D44" s="159" t="n"/>
      <c r="E44" s="44" t="n"/>
      <c r="F44" s="44" t="n"/>
    </row>
    <row r="45">
      <c r="A45" s="44" t="n"/>
      <c r="B45" s="44" t="n"/>
      <c r="C45" s="44" t="n"/>
      <c r="D45" s="159" t="n"/>
      <c r="E45" s="44" t="n"/>
      <c r="F45" s="44" t="n"/>
    </row>
    <row r="46">
      <c r="A46" s="44" t="n"/>
      <c r="B46" s="44" t="n"/>
      <c r="C46" s="44" t="n"/>
      <c r="D46" s="159" t="n"/>
      <c r="E46" s="44" t="n"/>
      <c r="F46" s="44" t="n"/>
    </row>
    <row r="47">
      <c r="A47" s="44" t="n"/>
      <c r="B47" s="44" t="n"/>
      <c r="C47" s="44" t="n"/>
      <c r="D47" s="159" t="n"/>
      <c r="E47" s="44" t="n"/>
      <c r="F47" s="44" t="n"/>
    </row>
    <row r="48">
      <c r="A48" s="44" t="n"/>
      <c r="B48" s="44" t="n"/>
      <c r="C48" s="44" t="n"/>
      <c r="D48" s="159" t="n"/>
      <c r="E48" s="44" t="n"/>
      <c r="F48" s="44" t="n"/>
    </row>
    <row r="49">
      <c r="A49" s="44" t="n"/>
      <c r="B49" s="44" t="n"/>
      <c r="C49" s="44" t="n"/>
      <c r="D49" s="159" t="n"/>
      <c r="E49" s="44" t="n"/>
      <c r="F49" s="44" t="n"/>
    </row>
    <row r="50">
      <c r="A50" s="44" t="n"/>
      <c r="B50" s="44" t="n"/>
      <c r="C50" s="44" t="n"/>
      <c r="D50" s="159" t="n"/>
      <c r="E50" s="44" t="n"/>
      <c r="F50" s="44" t="n"/>
    </row>
    <row r="51">
      <c r="A51" s="44" t="n"/>
      <c r="B51" s="44" t="n"/>
      <c r="C51" s="44" t="n"/>
      <c r="D51" s="159" t="n"/>
      <c r="E51" s="44" t="n"/>
      <c r="F51" s="44" t="n"/>
    </row>
    <row r="52">
      <c r="A52" s="44" t="n"/>
      <c r="B52" s="44" t="n"/>
      <c r="C52" s="44" t="n"/>
      <c r="D52" s="159" t="n"/>
      <c r="E52" s="44" t="n"/>
      <c r="F52" s="44" t="n"/>
    </row>
    <row r="53">
      <c r="A53" s="44" t="n"/>
      <c r="B53" s="44" t="n"/>
      <c r="C53" s="44" t="n"/>
      <c r="D53" s="159" t="n"/>
      <c r="E53" s="44" t="n"/>
      <c r="F53" s="44" t="n"/>
    </row>
    <row r="54">
      <c r="A54" s="44" t="n"/>
      <c r="B54" s="44" t="n"/>
      <c r="C54" s="44" t="n"/>
      <c r="D54" s="159" t="n"/>
      <c r="E54" s="44" t="n"/>
      <c r="F54" s="44" t="n"/>
    </row>
    <row r="55">
      <c r="A55" s="44" t="n"/>
      <c r="B55" s="44" t="n"/>
      <c r="C55" s="44" t="n"/>
      <c r="D55" s="159" t="n"/>
      <c r="E55" s="44" t="n"/>
      <c r="F55" s="44" t="n"/>
    </row>
    <row r="56">
      <c r="A56" s="44" t="n"/>
      <c r="B56" s="44" t="n"/>
      <c r="C56" s="44" t="n"/>
      <c r="D56" s="159" t="n"/>
      <c r="E56" s="44" t="n"/>
      <c r="F56" s="44" t="n"/>
    </row>
    <row r="57">
      <c r="A57" s="44" t="n"/>
      <c r="B57" s="44" t="n"/>
      <c r="C57" s="44" t="n"/>
      <c r="D57" s="159" t="n"/>
      <c r="E57" s="44" t="n"/>
      <c r="F57" s="44" t="n"/>
    </row>
    <row r="58">
      <c r="A58" s="44" t="n"/>
      <c r="B58" s="44" t="n"/>
      <c r="C58" s="44" t="n"/>
      <c r="D58" s="159" t="n"/>
      <c r="E58" s="44" t="n"/>
      <c r="F58" s="44" t="n"/>
    </row>
    <row r="59">
      <c r="A59" s="44" t="n"/>
      <c r="B59" s="44" t="n"/>
      <c r="C59" s="44" t="n"/>
      <c r="D59" s="159" t="n"/>
      <c r="E59" s="44" t="n"/>
      <c r="F59" s="44" t="n"/>
    </row>
    <row r="60">
      <c r="A60" s="44" t="n"/>
      <c r="B60" s="44" t="n"/>
      <c r="C60" s="44" t="n"/>
      <c r="D60" s="159" t="n"/>
      <c r="E60" s="44" t="n"/>
      <c r="F60" s="44" t="n"/>
    </row>
    <row r="61">
      <c r="A61" s="44" t="n"/>
      <c r="B61" s="44" t="n"/>
      <c r="C61" s="44" t="n"/>
      <c r="D61" s="159" t="n"/>
      <c r="E61" s="44" t="n"/>
      <c r="F61" s="44" t="n"/>
    </row>
    <row r="62">
      <c r="A62" s="44" t="n"/>
      <c r="B62" s="44" t="n"/>
      <c r="C62" s="44" t="n"/>
      <c r="D62" s="159" t="n"/>
      <c r="E62" s="44" t="n"/>
      <c r="F62" s="44" t="n"/>
    </row>
    <row r="63">
      <c r="A63" s="44" t="n"/>
      <c r="B63" s="44" t="n"/>
      <c r="C63" s="44" t="n"/>
      <c r="D63" s="159" t="n"/>
      <c r="E63" s="44" t="n"/>
      <c r="F63" s="44" t="n"/>
    </row>
    <row r="64">
      <c r="A64" s="44" t="n"/>
      <c r="B64" s="44" t="n"/>
      <c r="C64" s="44" t="n"/>
      <c r="D64" s="159" t="n"/>
      <c r="E64" s="44" t="n"/>
      <c r="F64" s="44" t="n"/>
    </row>
    <row r="65">
      <c r="A65" s="44" t="n"/>
      <c r="B65" s="44" t="n"/>
      <c r="C65" s="44" t="n"/>
      <c r="D65" s="159" t="n"/>
      <c r="E65" s="44" t="n"/>
      <c r="F65" s="44" t="n"/>
    </row>
    <row r="66">
      <c r="A66" s="44" t="n"/>
      <c r="B66" s="44" t="n"/>
      <c r="C66" s="44" t="n"/>
      <c r="D66" s="159" t="n"/>
      <c r="E66" s="44" t="n"/>
      <c r="F66" s="44" t="n"/>
    </row>
    <row r="67">
      <c r="A67" s="44" t="n"/>
      <c r="B67" s="44" t="n"/>
      <c r="C67" s="44" t="n"/>
      <c r="D67" s="159" t="n"/>
      <c r="E67" s="44" t="n"/>
      <c r="F67" s="44" t="n"/>
    </row>
    <row r="68">
      <c r="A68" s="44" t="n"/>
      <c r="B68" s="44" t="n"/>
      <c r="C68" s="44" t="n"/>
      <c r="D68" s="159" t="n"/>
      <c r="E68" s="44" t="n"/>
      <c r="F68" s="44" t="n"/>
    </row>
    <row r="69">
      <c r="A69" s="44" t="n"/>
      <c r="B69" s="44" t="n"/>
      <c r="C69" s="44" t="n"/>
      <c r="D69" s="159" t="n"/>
      <c r="E69" s="44" t="n"/>
      <c r="F69" s="44" t="n"/>
    </row>
    <row r="70">
      <c r="A70" s="44" t="n"/>
      <c r="B70" s="44" t="n"/>
      <c r="C70" s="44" t="n"/>
      <c r="D70" s="159" t="n"/>
      <c r="E70" s="44" t="n"/>
      <c r="F70" s="44" t="n"/>
    </row>
    <row r="71">
      <c r="A71" s="44" t="n"/>
      <c r="B71" s="44" t="n"/>
      <c r="C71" s="44" t="n"/>
      <c r="D71" s="159" t="n"/>
      <c r="E71" s="44" t="n"/>
      <c r="F71" s="44" t="n"/>
    </row>
    <row r="72">
      <c r="A72" s="44" t="n"/>
      <c r="B72" s="44" t="n"/>
      <c r="C72" s="44" t="n"/>
      <c r="D72" s="159" t="n"/>
      <c r="E72" s="44" t="n"/>
      <c r="F72" s="44" t="n"/>
    </row>
    <row r="73">
      <c r="A73" s="44" t="n"/>
      <c r="B73" s="44" t="n"/>
      <c r="C73" s="44" t="n"/>
      <c r="D73" s="159" t="n"/>
      <c r="E73" s="44" t="n"/>
      <c r="F73" s="44" t="n"/>
    </row>
    <row r="74">
      <c r="A74" s="44" t="n"/>
      <c r="B74" s="44" t="n"/>
      <c r="C74" s="44" t="n"/>
      <c r="D74" s="159" t="n"/>
      <c r="E74" s="44" t="n"/>
      <c r="F74" s="44" t="n"/>
    </row>
    <row r="75">
      <c r="A75" s="44" t="n"/>
      <c r="B75" s="44" t="n"/>
      <c r="C75" s="44" t="n"/>
      <c r="D75" s="159" t="n"/>
      <c r="E75" s="44" t="n"/>
      <c r="F75" s="44" t="n"/>
    </row>
    <row r="76">
      <c r="A76" s="44" t="n"/>
      <c r="B76" s="44" t="n"/>
      <c r="C76" s="44" t="n"/>
      <c r="D76" s="159" t="n"/>
      <c r="E76" s="44" t="n"/>
      <c r="F76" s="44" t="n"/>
    </row>
    <row r="77">
      <c r="A77" s="44" t="n"/>
      <c r="B77" s="44" t="n"/>
      <c r="C77" s="44" t="n"/>
      <c r="D77" s="159" t="n"/>
      <c r="E77" s="44" t="n"/>
      <c r="F77" s="44" t="n"/>
    </row>
    <row r="78">
      <c r="A78" s="44" t="n"/>
      <c r="B78" s="44" t="n"/>
      <c r="C78" s="44" t="n"/>
      <c r="D78" s="159" t="n"/>
      <c r="E78" s="44" t="n"/>
      <c r="F78" s="44" t="n"/>
    </row>
    <row r="79">
      <c r="A79" s="44" t="n"/>
      <c r="B79" s="44" t="n"/>
      <c r="C79" s="44" t="n"/>
      <c r="D79" s="159" t="n"/>
      <c r="E79" s="44" t="n"/>
      <c r="F79" s="44" t="n"/>
    </row>
    <row r="80">
      <c r="A80" s="44" t="n"/>
      <c r="B80" s="44" t="n"/>
      <c r="C80" s="44" t="n"/>
      <c r="D80" s="159" t="n"/>
      <c r="E80" s="44" t="n"/>
      <c r="F80" s="44" t="n"/>
    </row>
    <row r="81">
      <c r="A81" s="44" t="n"/>
      <c r="B81" s="44" t="n"/>
      <c r="C81" s="44" t="n"/>
      <c r="D81" s="159" t="n"/>
      <c r="E81" s="44" t="n"/>
      <c r="F81" s="44" t="n"/>
    </row>
    <row r="82">
      <c r="A82" s="44" t="n"/>
      <c r="B82" s="44" t="n"/>
      <c r="C82" s="44" t="n"/>
      <c r="D82" s="159" t="n"/>
      <c r="E82" s="44" t="n"/>
      <c r="F82" s="44" t="n"/>
    </row>
    <row r="83">
      <c r="A83" s="44" t="n"/>
      <c r="B83" s="44" t="n"/>
      <c r="C83" s="44" t="n"/>
      <c r="D83" s="159" t="n"/>
      <c r="E83" s="44" t="n"/>
      <c r="F83" s="44" t="n"/>
    </row>
    <row r="84">
      <c r="A84" s="44" t="n"/>
      <c r="B84" s="44" t="n"/>
      <c r="C84" s="44" t="n"/>
      <c r="D84" s="159" t="n"/>
      <c r="E84" s="44" t="n"/>
      <c r="F84" s="44" t="n"/>
    </row>
    <row r="85">
      <c r="A85" s="44" t="n"/>
      <c r="B85" s="44" t="n"/>
      <c r="C85" s="44" t="n"/>
      <c r="D85" s="159" t="n"/>
      <c r="E85" s="44" t="n"/>
      <c r="F85" s="44" t="n"/>
    </row>
    <row r="86">
      <c r="A86" s="44" t="n"/>
      <c r="B86" s="44" t="n"/>
      <c r="C86" s="44" t="n"/>
      <c r="D86" s="159" t="n"/>
      <c r="E86" s="44" t="n"/>
      <c r="F86" s="44" t="n"/>
    </row>
    <row r="87">
      <c r="A87" s="44" t="n"/>
      <c r="B87" s="44" t="n"/>
      <c r="C87" s="44" t="n"/>
      <c r="D87" s="159" t="n"/>
      <c r="E87" s="44" t="n"/>
      <c r="F87" s="44" t="n"/>
    </row>
    <row r="88">
      <c r="A88" s="44" t="n"/>
      <c r="B88" s="44" t="n"/>
      <c r="C88" s="44" t="n"/>
      <c r="D88" s="159" t="n"/>
      <c r="E88" s="44" t="n"/>
      <c r="F88" s="44" t="n"/>
    </row>
    <row r="89">
      <c r="A89" s="44" t="n"/>
      <c r="B89" s="44" t="n"/>
      <c r="C89" s="44" t="n"/>
      <c r="D89" s="159" t="n"/>
      <c r="E89" s="44" t="n"/>
      <c r="F89" s="44" t="n"/>
    </row>
    <row r="90">
      <c r="A90" s="44" t="n"/>
      <c r="B90" s="44" t="n"/>
      <c r="C90" s="44" t="n"/>
      <c r="D90" s="159" t="n"/>
      <c r="E90" s="44" t="n"/>
      <c r="F90" s="44" t="n"/>
    </row>
    <row r="91">
      <c r="A91" s="44" t="n"/>
      <c r="B91" s="44" t="n"/>
      <c r="C91" s="44" t="n"/>
      <c r="D91" s="159" t="n"/>
      <c r="E91" s="44" t="n"/>
      <c r="F91" s="44" t="n"/>
    </row>
    <row r="92">
      <c r="A92" s="44" t="n"/>
      <c r="B92" s="44" t="n"/>
      <c r="C92" s="44" t="n"/>
      <c r="D92" s="159" t="n"/>
      <c r="E92" s="44" t="n"/>
      <c r="F92" s="44" t="n"/>
    </row>
    <row r="93">
      <c r="A93" s="44" t="n"/>
      <c r="B93" s="44" t="n"/>
      <c r="C93" s="44" t="n"/>
      <c r="D93" s="159" t="n"/>
      <c r="E93" s="44" t="n"/>
      <c r="F93" s="44" t="n"/>
    </row>
    <row r="94">
      <c r="A94" s="44" t="n"/>
      <c r="B94" s="44" t="n"/>
      <c r="C94" s="44" t="n"/>
      <c r="D94" s="159" t="n"/>
      <c r="E94" s="44" t="n"/>
      <c r="F94" s="44" t="n"/>
    </row>
    <row r="95">
      <c r="A95" s="44" t="n"/>
      <c r="B95" s="44" t="n"/>
      <c r="C95" s="44" t="n"/>
      <c r="D95" s="159" t="n"/>
      <c r="E95" s="44" t="n"/>
      <c r="F95" s="44" t="n"/>
    </row>
    <row r="96">
      <c r="A96" s="44" t="n"/>
      <c r="B96" s="44" t="n"/>
      <c r="C96" s="44" t="n"/>
      <c r="D96" s="159" t="n"/>
      <c r="E96" s="44" t="n"/>
      <c r="F96" s="44" t="n"/>
    </row>
    <row r="97">
      <c r="A97" s="44" t="n"/>
      <c r="B97" s="44" t="n"/>
      <c r="C97" s="44" t="n"/>
      <c r="D97" s="159" t="n"/>
      <c r="E97" s="44" t="n"/>
      <c r="F97" s="44" t="n"/>
    </row>
    <row r="98">
      <c r="A98" s="44" t="n"/>
      <c r="B98" s="44" t="n"/>
      <c r="C98" s="44" t="n"/>
      <c r="D98" s="159" t="n"/>
      <c r="E98" s="44" t="n"/>
      <c r="F98" s="44" t="n"/>
    </row>
    <row r="99">
      <c r="A99" s="44" t="n"/>
      <c r="B99" s="44" t="n"/>
      <c r="C99" s="44" t="n"/>
      <c r="D99" s="159" t="n"/>
      <c r="E99" s="44" t="n"/>
      <c r="F99" s="44" t="n"/>
    </row>
    <row r="100">
      <c r="A100" s="44" t="n"/>
      <c r="B100" s="44" t="n"/>
      <c r="C100" s="44" t="n"/>
      <c r="D100" s="159" t="n"/>
      <c r="E100" s="44" t="n"/>
      <c r="F100" s="44" t="n"/>
    </row>
    <row r="101">
      <c r="A101" s="44" t="n"/>
      <c r="B101" s="44" t="n"/>
      <c r="C101" s="44" t="n"/>
      <c r="D101" s="159" t="n"/>
      <c r="E101" s="44" t="n"/>
      <c r="F101" s="44" t="n"/>
    </row>
    <row r="102">
      <c r="A102" s="44" t="n"/>
      <c r="B102" s="44" t="n"/>
      <c r="C102" s="44" t="n"/>
      <c r="D102" s="159" t="n"/>
      <c r="E102" s="44" t="n"/>
      <c r="F102" s="44" t="n"/>
    </row>
    <row r="103">
      <c r="A103" s="44" t="n"/>
      <c r="B103" s="44" t="n"/>
      <c r="C103" s="44" t="n"/>
      <c r="D103" s="159" t="n"/>
      <c r="E103" s="44" t="n"/>
      <c r="F103" s="44" t="n"/>
    </row>
    <row r="104">
      <c r="A104" s="44" t="n"/>
      <c r="B104" s="44" t="n"/>
      <c r="C104" s="44" t="n"/>
      <c r="D104" s="159" t="n"/>
      <c r="E104" s="44" t="n"/>
      <c r="F104" s="44" t="n"/>
    </row>
    <row r="105">
      <c r="A105" s="44" t="n"/>
      <c r="B105" s="44" t="n"/>
      <c r="C105" s="44" t="n"/>
      <c r="D105" s="159" t="n"/>
      <c r="E105" s="44" t="n"/>
      <c r="F105" s="44" t="n"/>
    </row>
    <row r="106">
      <c r="A106" s="44" t="n"/>
      <c r="B106" s="44" t="n"/>
      <c r="C106" s="44" t="n"/>
      <c r="D106" s="159" t="n"/>
      <c r="E106" s="44" t="n"/>
      <c r="F106" s="44" t="n"/>
    </row>
    <row r="107">
      <c r="A107" s="44" t="n"/>
      <c r="B107" s="44" t="n"/>
      <c r="C107" s="44" t="n"/>
      <c r="D107" s="159" t="n"/>
      <c r="E107" s="44" t="n"/>
      <c r="F107" s="44" t="n"/>
    </row>
    <row r="108">
      <c r="A108" s="44" t="n"/>
      <c r="B108" s="44" t="n"/>
      <c r="C108" s="44" t="n"/>
      <c r="D108" s="159" t="n"/>
      <c r="E108" s="44" t="n"/>
      <c r="F108" s="44" t="n"/>
    </row>
    <row r="109">
      <c r="A109" s="44" t="n"/>
      <c r="B109" s="44" t="n"/>
      <c r="C109" s="44" t="n"/>
      <c r="D109" s="159" t="n"/>
      <c r="E109" s="44" t="n"/>
      <c r="F109" s="44" t="n"/>
    </row>
    <row r="110">
      <c r="A110" s="44" t="n"/>
      <c r="B110" s="44" t="n"/>
      <c r="C110" s="44" t="n"/>
      <c r="D110" s="159" t="n"/>
      <c r="E110" s="44" t="n"/>
      <c r="F110" s="44" t="n"/>
    </row>
    <row r="111">
      <c r="A111" s="44" t="n"/>
      <c r="B111" s="44" t="n"/>
      <c r="C111" s="44" t="n"/>
      <c r="D111" s="159" t="n"/>
      <c r="E111" s="44" t="n"/>
      <c r="F111" s="44" t="n"/>
    </row>
    <row r="112">
      <c r="A112" s="44" t="n"/>
      <c r="B112" s="44" t="n"/>
      <c r="C112" s="44" t="n"/>
      <c r="D112" s="159" t="n"/>
      <c r="E112" s="44" t="n"/>
      <c r="F112" s="44" t="n"/>
    </row>
    <row r="113">
      <c r="A113" s="44" t="n"/>
      <c r="B113" s="44" t="n"/>
      <c r="C113" s="44" t="n"/>
      <c r="D113" s="159" t="n"/>
      <c r="E113" s="44" t="n"/>
      <c r="F113" s="44" t="n"/>
    </row>
    <row r="114">
      <c r="A114" s="44" t="n"/>
      <c r="B114" s="44" t="n"/>
      <c r="C114" s="44" t="n"/>
      <c r="D114" s="159" t="n"/>
      <c r="E114" s="44" t="n"/>
      <c r="F114" s="44" t="n"/>
    </row>
    <row r="115">
      <c r="A115" s="44" t="n"/>
      <c r="B115" s="44" t="n"/>
      <c r="C115" s="44" t="n"/>
      <c r="D115" s="159" t="n"/>
      <c r="E115" s="44" t="n"/>
      <c r="F115" s="44" t="n"/>
    </row>
    <row r="116">
      <c r="A116" s="44" t="n"/>
      <c r="B116" s="44" t="n"/>
      <c r="C116" s="44" t="n"/>
      <c r="D116" s="159" t="n"/>
      <c r="E116" s="44" t="n"/>
      <c r="F116" s="44" t="n"/>
    </row>
    <row r="117">
      <c r="A117" s="44" t="n"/>
      <c r="B117" s="44" t="n"/>
      <c r="C117" s="44" t="n"/>
      <c r="D117" s="159" t="n"/>
      <c r="E117" s="44" t="n"/>
      <c r="F117" s="44" t="n"/>
    </row>
    <row r="118">
      <c r="A118" s="44" t="n"/>
      <c r="B118" s="44" t="n"/>
      <c r="C118" s="44" t="n"/>
      <c r="D118" s="159" t="n"/>
      <c r="E118" s="44" t="n"/>
      <c r="F118" s="44" t="n"/>
    </row>
    <row r="119">
      <c r="A119" s="44" t="n"/>
      <c r="B119" s="44" t="n"/>
      <c r="C119" s="44" t="n"/>
      <c r="D119" s="159" t="n"/>
      <c r="E119" s="44" t="n"/>
      <c r="F119" s="44" t="n"/>
    </row>
    <row r="120">
      <c r="A120" s="44" t="n"/>
      <c r="B120" s="44" t="n"/>
      <c r="C120" s="44" t="n"/>
      <c r="D120" s="159" t="n"/>
      <c r="E120" s="44" t="n"/>
      <c r="F120" s="44" t="n"/>
    </row>
    <row r="121">
      <c r="A121" s="44" t="n"/>
      <c r="B121" s="44" t="n"/>
      <c r="C121" s="44" t="n"/>
      <c r="D121" s="159" t="n"/>
      <c r="E121" s="44" t="n"/>
      <c r="F121" s="44" t="n"/>
    </row>
    <row r="122">
      <c r="A122" s="44" t="n"/>
      <c r="B122" s="44" t="n"/>
      <c r="C122" s="44" t="n"/>
      <c r="D122" s="159" t="n"/>
      <c r="E122" s="44" t="n"/>
      <c r="F122" s="44" t="n"/>
    </row>
    <row r="123">
      <c r="A123" s="44" t="n"/>
      <c r="B123" s="44" t="n"/>
      <c r="C123" s="44" t="n"/>
      <c r="D123" s="159" t="n"/>
      <c r="E123" s="44" t="n"/>
      <c r="F123" s="44" t="n"/>
    </row>
    <row r="124">
      <c r="A124" s="44" t="n"/>
      <c r="B124" s="44" t="n"/>
      <c r="C124" s="44" t="n"/>
      <c r="D124" s="159" t="n"/>
      <c r="E124" s="44" t="n"/>
      <c r="F124" s="44" t="n"/>
    </row>
    <row r="125">
      <c r="A125" s="44" t="n"/>
      <c r="B125" s="44" t="n"/>
      <c r="C125" s="44" t="n"/>
      <c r="D125" s="159" t="n"/>
      <c r="E125" s="44" t="n"/>
      <c r="F125" s="44" t="n"/>
    </row>
    <row r="126">
      <c r="A126" s="44" t="n"/>
      <c r="B126" s="44" t="n"/>
      <c r="C126" s="44" t="n"/>
      <c r="D126" s="159" t="n"/>
      <c r="E126" s="44" t="n"/>
      <c r="F126" s="44" t="n"/>
    </row>
    <row r="127">
      <c r="A127" s="44" t="n"/>
      <c r="B127" s="44" t="n"/>
      <c r="C127" s="44" t="n"/>
      <c r="D127" s="159" t="n"/>
      <c r="E127" s="44" t="n"/>
      <c r="F127" s="44" t="n"/>
    </row>
    <row r="128">
      <c r="A128" s="44" t="n"/>
      <c r="B128" s="44" t="n"/>
      <c r="C128" s="44" t="n"/>
      <c r="D128" s="159" t="n"/>
      <c r="E128" s="44" t="n"/>
      <c r="F128" s="44" t="n"/>
    </row>
    <row r="129">
      <c r="A129" s="44" t="n"/>
      <c r="B129" s="44" t="n"/>
      <c r="C129" s="44" t="n"/>
      <c r="D129" s="159" t="n"/>
      <c r="E129" s="44" t="n"/>
      <c r="F129" s="44" t="n"/>
    </row>
    <row r="130">
      <c r="A130" s="44" t="n"/>
      <c r="B130" s="44" t="n"/>
      <c r="C130" s="44" t="n"/>
      <c r="D130" s="159" t="n"/>
      <c r="E130" s="44" t="n"/>
      <c r="F130" s="44" t="n"/>
    </row>
    <row r="131">
      <c r="A131" s="44" t="n"/>
      <c r="B131" s="44" t="n"/>
      <c r="C131" s="44" t="n"/>
      <c r="D131" s="159" t="n"/>
      <c r="E131" s="44" t="n"/>
      <c r="F131" s="44" t="n"/>
    </row>
    <row r="132">
      <c r="A132" s="44" t="n"/>
      <c r="B132" s="44" t="n"/>
      <c r="C132" s="44" t="n"/>
      <c r="D132" s="159" t="n"/>
      <c r="E132" s="44" t="n"/>
      <c r="F132" s="44" t="n"/>
    </row>
    <row r="133">
      <c r="A133" s="44" t="n"/>
      <c r="B133" s="44" t="n"/>
      <c r="C133" s="44" t="n"/>
      <c r="D133" s="159" t="n"/>
      <c r="E133" s="44" t="n"/>
      <c r="F133" s="44" t="n"/>
    </row>
    <row r="134">
      <c r="A134" s="44" t="n"/>
      <c r="B134" s="44" t="n"/>
      <c r="C134" s="44" t="n"/>
      <c r="D134" s="159" t="n"/>
      <c r="E134" s="44" t="n"/>
      <c r="F134" s="44" t="n"/>
    </row>
    <row r="135">
      <c r="A135" s="44" t="n"/>
      <c r="B135" s="44" t="n"/>
      <c r="C135" s="44" t="n"/>
      <c r="D135" s="159" t="n"/>
      <c r="E135" s="44" t="n"/>
      <c r="F135" s="44" t="n"/>
    </row>
    <row r="136">
      <c r="A136" s="44" t="n"/>
      <c r="B136" s="44" t="n"/>
      <c r="C136" s="44" t="n"/>
      <c r="D136" s="159" t="n"/>
      <c r="E136" s="44" t="n"/>
      <c r="F136" s="44" t="n"/>
    </row>
    <row r="137">
      <c r="A137" s="44" t="n"/>
      <c r="B137" s="44" t="n"/>
      <c r="C137" s="44" t="n"/>
      <c r="D137" s="159" t="n"/>
      <c r="E137" s="44" t="n"/>
      <c r="F137" s="44" t="n"/>
    </row>
    <row r="138">
      <c r="A138" s="44" t="n"/>
      <c r="B138" s="44" t="n"/>
      <c r="C138" s="44" t="n"/>
      <c r="D138" s="159" t="n"/>
      <c r="E138" s="44" t="n"/>
      <c r="F138" s="44" t="n"/>
    </row>
    <row r="139">
      <c r="A139" s="44" t="n"/>
      <c r="B139" s="44" t="n"/>
      <c r="C139" s="44" t="n"/>
      <c r="D139" s="159" t="n"/>
      <c r="E139" s="44" t="n"/>
      <c r="F139" s="44" t="n"/>
    </row>
    <row r="140">
      <c r="A140" s="44" t="n"/>
      <c r="B140" s="44" t="n"/>
      <c r="C140" s="44" t="n"/>
      <c r="D140" s="159" t="n"/>
      <c r="E140" s="44" t="n"/>
      <c r="F140" s="44" t="n"/>
    </row>
    <row r="141">
      <c r="A141" s="44" t="n"/>
      <c r="B141" s="44" t="n"/>
      <c r="C141" s="44" t="n"/>
      <c r="D141" s="159" t="n"/>
      <c r="E141" s="44" t="n"/>
      <c r="F141" s="44" t="n"/>
    </row>
    <row r="142">
      <c r="A142" s="44" t="n"/>
      <c r="B142" s="44" t="n"/>
      <c r="C142" s="44" t="n"/>
      <c r="D142" s="159" t="n"/>
      <c r="E142" s="44" t="n"/>
      <c r="F142" s="44" t="n"/>
    </row>
    <row r="143">
      <c r="A143" s="44" t="n"/>
      <c r="B143" s="44" t="n"/>
      <c r="C143" s="44" t="n"/>
      <c r="D143" s="159" t="n"/>
      <c r="E143" s="44" t="n"/>
      <c r="F143" s="44" t="n"/>
    </row>
    <row r="144">
      <c r="A144" s="44" t="n"/>
      <c r="B144" s="44" t="n"/>
      <c r="C144" s="44" t="n"/>
      <c r="D144" s="159" t="n"/>
      <c r="E144" s="44" t="n"/>
      <c r="F144" s="44" t="n"/>
    </row>
    <row r="145">
      <c r="A145" s="44" t="n"/>
      <c r="B145" s="44" t="n"/>
      <c r="C145" s="44" t="n"/>
      <c r="D145" s="159" t="n"/>
      <c r="E145" s="44" t="n"/>
      <c r="F145" s="44" t="n"/>
    </row>
    <row r="146">
      <c r="A146" s="44" t="n"/>
      <c r="B146" s="44" t="n"/>
      <c r="C146" s="44" t="n"/>
      <c r="D146" s="159" t="n"/>
      <c r="E146" s="44" t="n"/>
      <c r="F146" s="44" t="n"/>
    </row>
    <row r="147">
      <c r="A147" s="44" t="n"/>
      <c r="B147" s="44" t="n"/>
      <c r="C147" s="44" t="n"/>
      <c r="D147" s="159" t="n"/>
      <c r="E147" s="44" t="n"/>
      <c r="F147" s="44" t="n"/>
    </row>
    <row r="148">
      <c r="A148" s="44" t="n"/>
      <c r="B148" s="44" t="n"/>
      <c r="C148" s="44" t="n"/>
      <c r="D148" s="159" t="n"/>
      <c r="E148" s="44" t="n"/>
      <c r="F148" s="44" t="n"/>
    </row>
    <row r="149">
      <c r="A149" s="44" t="n"/>
      <c r="B149" s="44" t="n"/>
      <c r="C149" s="44" t="n"/>
      <c r="D149" s="159" t="n"/>
      <c r="E149" s="44" t="n"/>
      <c r="F149" s="44" t="n"/>
    </row>
    <row r="150">
      <c r="A150" s="44" t="n"/>
      <c r="B150" s="44" t="n"/>
      <c r="C150" s="44" t="n"/>
      <c r="D150" s="159" t="n"/>
      <c r="E150" s="44" t="n"/>
      <c r="F150" s="44" t="n"/>
    </row>
    <row r="151">
      <c r="A151" s="44" t="n"/>
      <c r="B151" s="44" t="n"/>
      <c r="C151" s="44" t="n"/>
      <c r="D151" s="159" t="n"/>
      <c r="E151" s="44" t="n"/>
      <c r="F151" s="44" t="n"/>
    </row>
    <row r="152">
      <c r="A152" s="44" t="n"/>
      <c r="B152" s="44" t="n"/>
      <c r="C152" s="44" t="n"/>
      <c r="D152" s="159" t="n"/>
      <c r="E152" s="44" t="n"/>
      <c r="F152" s="44" t="n"/>
    </row>
    <row r="153">
      <c r="A153" s="44" t="n"/>
      <c r="B153" s="44" t="n"/>
      <c r="C153" s="44" t="n"/>
      <c r="D153" s="159" t="n"/>
      <c r="E153" s="44" t="n"/>
      <c r="F153" s="44" t="n"/>
    </row>
    <row r="154">
      <c r="A154" s="44" t="n"/>
      <c r="B154" s="44" t="n"/>
      <c r="C154" s="44" t="n"/>
      <c r="D154" s="159" t="n"/>
      <c r="E154" s="44" t="n"/>
      <c r="F154" s="44" t="n"/>
    </row>
    <row r="155">
      <c r="A155" s="44" t="n"/>
      <c r="B155" s="44" t="n"/>
      <c r="C155" s="44" t="n"/>
      <c r="D155" s="159" t="n"/>
      <c r="E155" s="44" t="n"/>
      <c r="F155" s="44" t="n"/>
    </row>
    <row r="156">
      <c r="A156" s="44" t="n"/>
      <c r="B156" s="44" t="n"/>
      <c r="C156" s="44" t="n"/>
      <c r="D156" s="159" t="n"/>
      <c r="E156" s="44" t="n"/>
      <c r="F156" s="44" t="n"/>
    </row>
    <row r="157">
      <c r="A157" s="44" t="n"/>
      <c r="B157" s="44" t="n"/>
      <c r="C157" s="44" t="n"/>
      <c r="D157" s="159" t="n"/>
      <c r="E157" s="44" t="n"/>
      <c r="F157" s="44" t="n"/>
    </row>
    <row r="158">
      <c r="A158" s="44" t="n"/>
      <c r="B158" s="44" t="n"/>
      <c r="C158" s="44" t="n"/>
      <c r="D158" s="159" t="n"/>
      <c r="E158" s="44" t="n"/>
      <c r="F158" s="44" t="n"/>
    </row>
    <row r="159">
      <c r="A159" s="44" t="n"/>
      <c r="B159" s="44" t="n"/>
      <c r="C159" s="44" t="n"/>
      <c r="D159" s="159" t="n"/>
      <c r="E159" s="44" t="n"/>
      <c r="F159" s="44" t="n"/>
    </row>
    <row r="160">
      <c r="A160" s="44" t="n"/>
      <c r="B160" s="44" t="n"/>
      <c r="C160" s="44" t="n"/>
      <c r="D160" s="159" t="n"/>
      <c r="E160" s="44" t="n"/>
      <c r="F160" s="44" t="n"/>
    </row>
    <row r="161">
      <c r="A161" s="44" t="n"/>
      <c r="B161" s="44" t="n"/>
      <c r="C161" s="44" t="n"/>
      <c r="D161" s="159" t="n"/>
      <c r="E161" s="44" t="n"/>
      <c r="F161" s="44" t="n"/>
    </row>
    <row r="162">
      <c r="A162" s="44" t="n"/>
      <c r="B162" s="44" t="n"/>
      <c r="C162" s="44" t="n"/>
      <c r="D162" s="159" t="n"/>
      <c r="E162" s="44" t="n"/>
      <c r="F162" s="44" t="n"/>
    </row>
    <row r="163">
      <c r="A163" s="44" t="n"/>
      <c r="B163" s="44" t="n"/>
      <c r="C163" s="44" t="n"/>
      <c r="D163" s="159" t="n"/>
      <c r="E163" s="44" t="n"/>
      <c r="F163" s="44" t="n"/>
    </row>
    <row r="164">
      <c r="A164" s="44" t="n"/>
      <c r="B164" s="44" t="n"/>
      <c r="C164" s="44" t="n"/>
      <c r="D164" s="159" t="n"/>
      <c r="E164" s="44" t="n"/>
      <c r="F164" s="44" t="n"/>
    </row>
    <row r="165">
      <c r="A165" s="44" t="n"/>
      <c r="B165" s="44" t="n"/>
      <c r="C165" s="44" t="n"/>
      <c r="D165" s="159" t="n"/>
      <c r="E165" s="44" t="n"/>
      <c r="F165" s="44" t="n"/>
    </row>
    <row r="166">
      <c r="A166" s="44" t="n"/>
      <c r="B166" s="44" t="n"/>
      <c r="C166" s="44" t="n"/>
      <c r="D166" s="159" t="n"/>
      <c r="E166" s="44" t="n"/>
      <c r="F166" s="44" t="n"/>
    </row>
    <row r="167">
      <c r="A167" s="44" t="n"/>
      <c r="B167" s="44" t="n"/>
      <c r="C167" s="44" t="n"/>
      <c r="D167" s="159" t="n"/>
      <c r="E167" s="44" t="n"/>
      <c r="F167" s="44" t="n"/>
    </row>
    <row r="168">
      <c r="A168" s="44" t="n"/>
      <c r="B168" s="44" t="n"/>
      <c r="C168" s="44" t="n"/>
      <c r="D168" s="159" t="n"/>
      <c r="E168" s="44" t="n"/>
      <c r="F168" s="44" t="n"/>
    </row>
    <row r="169">
      <c r="A169" s="44" t="n"/>
      <c r="B169" s="44" t="n"/>
      <c r="C169" s="44" t="n"/>
      <c r="D169" s="159" t="n"/>
      <c r="E169" s="44" t="n"/>
      <c r="F169" s="44" t="n"/>
    </row>
    <row r="170">
      <c r="A170" s="44" t="n"/>
      <c r="B170" s="44" t="n"/>
      <c r="C170" s="44" t="n"/>
      <c r="D170" s="159" t="n"/>
      <c r="E170" s="44" t="n"/>
      <c r="F170" s="44" t="n"/>
    </row>
    <row r="171">
      <c r="A171" s="44" t="n"/>
      <c r="B171" s="44" t="n"/>
      <c r="C171" s="44" t="n"/>
      <c r="D171" s="159" t="n"/>
      <c r="E171" s="44" t="n"/>
      <c r="F171" s="44" t="n"/>
    </row>
    <row r="172">
      <c r="A172" s="44" t="n"/>
      <c r="B172" s="44" t="n"/>
      <c r="C172" s="44" t="n"/>
      <c r="D172" s="159" t="n"/>
      <c r="E172" s="44" t="n"/>
      <c r="F172" s="44" t="n"/>
    </row>
    <row r="173">
      <c r="A173" s="44" t="n"/>
      <c r="B173" s="44" t="n"/>
      <c r="C173" s="44" t="n"/>
      <c r="D173" s="159" t="n"/>
      <c r="E173" s="44" t="n"/>
      <c r="F173" s="44" t="n"/>
    </row>
    <row r="174">
      <c r="A174" s="44" t="n"/>
      <c r="B174" s="44" t="n"/>
      <c r="C174" s="44" t="n"/>
      <c r="D174" s="159" t="n"/>
      <c r="E174" s="44" t="n"/>
      <c r="F174" s="44" t="n"/>
    </row>
    <row r="175">
      <c r="A175" s="44" t="n"/>
      <c r="B175" s="44" t="n"/>
      <c r="C175" s="44" t="n"/>
      <c r="D175" s="159" t="n"/>
      <c r="E175" s="44" t="n"/>
      <c r="F175" s="44" t="n"/>
    </row>
    <row r="176">
      <c r="A176" s="44" t="n"/>
      <c r="B176" s="44" t="n"/>
      <c r="C176" s="44" t="n"/>
      <c r="D176" s="159" t="n"/>
      <c r="E176" s="44" t="n"/>
      <c r="F176" s="44" t="n"/>
    </row>
    <row r="177">
      <c r="A177" s="44" t="n"/>
      <c r="B177" s="44" t="n"/>
      <c r="C177" s="44" t="n"/>
      <c r="D177" s="159" t="n"/>
      <c r="E177" s="44" t="n"/>
      <c r="F177" s="44" t="n"/>
    </row>
    <row r="178">
      <c r="A178" s="44" t="n"/>
      <c r="B178" s="44" t="n"/>
      <c r="C178" s="44" t="n"/>
      <c r="D178" s="159" t="n"/>
      <c r="E178" s="44" t="n"/>
      <c r="F178" s="44" t="n"/>
    </row>
    <row r="179">
      <c r="A179" s="44" t="n"/>
      <c r="B179" s="44" t="n"/>
      <c r="C179" s="44" t="n"/>
      <c r="D179" s="159" t="n"/>
      <c r="E179" s="44" t="n"/>
      <c r="F179" s="44" t="n"/>
    </row>
    <row r="180">
      <c r="A180" s="44" t="n"/>
      <c r="B180" s="44" t="n"/>
      <c r="C180" s="44" t="n"/>
      <c r="D180" s="159" t="n"/>
      <c r="E180" s="44" t="n"/>
      <c r="F180" s="44" t="n"/>
    </row>
    <row r="181">
      <c r="A181" s="44" t="n"/>
      <c r="B181" s="44" t="n"/>
      <c r="C181" s="44" t="n"/>
      <c r="D181" s="159" t="n"/>
      <c r="E181" s="44" t="n"/>
      <c r="F181" s="44" t="n"/>
    </row>
    <row r="182">
      <c r="A182" s="44" t="n"/>
      <c r="B182" s="44" t="n"/>
      <c r="C182" s="44" t="n"/>
      <c r="D182" s="159" t="n"/>
      <c r="E182" s="44" t="n"/>
      <c r="F182" s="44" t="n"/>
    </row>
    <row r="183">
      <c r="A183" s="44" t="n"/>
      <c r="B183" s="44" t="n"/>
      <c r="C183" s="44" t="n"/>
      <c r="D183" s="159" t="n"/>
      <c r="E183" s="44" t="n"/>
      <c r="F183" s="44" t="n"/>
    </row>
    <row r="184">
      <c r="A184" s="44" t="n"/>
      <c r="B184" s="44" t="n"/>
      <c r="C184" s="44" t="n"/>
      <c r="D184" s="159" t="n"/>
      <c r="E184" s="44" t="n"/>
      <c r="F184" s="44" t="n"/>
    </row>
    <row r="185">
      <c r="A185" s="44" t="n"/>
      <c r="B185" s="44" t="n"/>
      <c r="C185" s="44" t="n"/>
      <c r="D185" s="159" t="n"/>
      <c r="E185" s="44" t="n"/>
      <c r="F185" s="44" t="n"/>
    </row>
    <row r="186">
      <c r="A186" s="44" t="n"/>
      <c r="B186" s="44" t="n"/>
      <c r="C186" s="44" t="n"/>
      <c r="D186" s="159" t="n"/>
      <c r="E186" s="44" t="n"/>
      <c r="F186" s="44" t="n"/>
    </row>
    <row r="187">
      <c r="A187" s="44" t="n"/>
      <c r="B187" s="44" t="n"/>
      <c r="C187" s="44" t="n"/>
      <c r="D187" s="159" t="n"/>
      <c r="E187" s="44" t="n"/>
      <c r="F187" s="44" t="n"/>
    </row>
    <row r="188">
      <c r="A188" s="44" t="n"/>
      <c r="B188" s="44" t="n"/>
      <c r="C188" s="44" t="n"/>
      <c r="D188" s="159" t="n"/>
      <c r="E188" s="44" t="n"/>
      <c r="F188" s="44" t="n"/>
    </row>
    <row r="189">
      <c r="A189" s="44" t="n"/>
      <c r="B189" s="44" t="n"/>
      <c r="C189" s="44" t="n"/>
      <c r="D189" s="159" t="n"/>
      <c r="E189" s="44" t="n"/>
      <c r="F189" s="44" t="n"/>
    </row>
    <row r="190">
      <c r="A190" s="44" t="n"/>
      <c r="B190" s="44" t="n"/>
      <c r="C190" s="44" t="n"/>
      <c r="D190" s="159" t="n"/>
      <c r="E190" s="44" t="n"/>
      <c r="F190" s="44" t="n"/>
    </row>
    <row r="191">
      <c r="A191" s="44" t="n"/>
      <c r="B191" s="44" t="n"/>
      <c r="C191" s="44" t="n"/>
      <c r="D191" s="159" t="n"/>
      <c r="E191" s="44" t="n"/>
      <c r="F191" s="44" t="n"/>
    </row>
    <row r="192">
      <c r="A192" s="44" t="n"/>
      <c r="B192" s="44" t="n"/>
      <c r="C192" s="44" t="n"/>
      <c r="D192" s="159" t="n"/>
      <c r="E192" s="44" t="n"/>
      <c r="F192" s="44" t="n"/>
    </row>
    <row r="193">
      <c r="A193" s="44" t="n"/>
      <c r="B193" s="44" t="n"/>
      <c r="C193" s="44" t="n"/>
      <c r="D193" s="159" t="n"/>
      <c r="E193" s="44" t="n"/>
      <c r="F193" s="44" t="n"/>
    </row>
    <row r="194">
      <c r="A194" s="44" t="n"/>
      <c r="B194" s="44" t="n"/>
      <c r="C194" s="44" t="n"/>
      <c r="D194" s="159" t="n"/>
      <c r="E194" s="44" t="n"/>
      <c r="F194" s="44" t="n"/>
    </row>
    <row r="195">
      <c r="A195" s="44" t="n"/>
      <c r="B195" s="44" t="n"/>
      <c r="C195" s="44" t="n"/>
      <c r="D195" s="159" t="n"/>
      <c r="E195" s="44" t="n"/>
      <c r="F195" s="44" t="n"/>
    </row>
    <row r="196">
      <c r="A196" s="44" t="n"/>
      <c r="B196" s="44" t="n"/>
      <c r="C196" s="44" t="n"/>
      <c r="D196" s="159" t="n"/>
      <c r="E196" s="44" t="n"/>
      <c r="F196" s="44" t="n"/>
    </row>
    <row r="197">
      <c r="A197" s="44" t="n"/>
      <c r="B197" s="44" t="n"/>
      <c r="C197" s="44" t="n"/>
      <c r="D197" s="159" t="n"/>
      <c r="E197" s="44" t="n"/>
      <c r="F197" s="44" t="n"/>
    </row>
    <row r="198">
      <c r="A198" s="44" t="n"/>
      <c r="B198" s="44" t="n"/>
      <c r="C198" s="44" t="n"/>
      <c r="D198" s="159" t="n"/>
      <c r="E198" s="44" t="n"/>
      <c r="F198" s="44" t="n"/>
    </row>
    <row r="199">
      <c r="A199" s="44" t="n"/>
      <c r="B199" s="44" t="n"/>
      <c r="C199" s="44" t="n"/>
      <c r="D199" s="159" t="n"/>
      <c r="E199" s="44" t="n"/>
      <c r="F199" s="44" t="n"/>
    </row>
    <row r="200">
      <c r="A200" s="44" t="n"/>
      <c r="B200" s="44" t="n"/>
      <c r="C200" s="44" t="n"/>
      <c r="D200" s="159" t="n"/>
      <c r="E200" s="44" t="n"/>
      <c r="F200" s="44" t="n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style="45" min="1" max="1"/>
    <col width="30" customWidth="1" style="45" min="2" max="2"/>
    <col width="16" customWidth="1" style="45" min="3" max="3"/>
    <col width="20" customWidth="1" style="45" min="4" max="4"/>
    <col width="20" customWidth="1" style="45" min="5" max="5"/>
    <col width="58" customWidth="1" style="45" min="6" max="6"/>
  </cols>
  <sheetData>
    <row r="1" ht="30" customHeight="1" s="45">
      <c r="A1" s="27" t="inlineStr">
        <is>
          <t>LIBETEE KOREA 今後必要となる費用予想</t>
        </is>
      </c>
      <c r="B1" s="1" t="n"/>
      <c r="C1" s="1" t="n"/>
      <c r="D1" s="1" t="n"/>
      <c r="E1" s="1" t="n"/>
      <c r="F1" s="1" t="n"/>
    </row>
    <row r="2">
      <c r="A2" s="44" t="n"/>
      <c r="B2" s="44" t="n"/>
      <c r="C2" s="44" t="n"/>
      <c r="D2" s="44" t="n"/>
      <c r="E2" s="44" t="n"/>
      <c r="F2" s="44" t="n"/>
    </row>
    <row r="3">
      <c r="A3" s="143" t="inlineStr">
        <is>
          <t>区分</t>
        </is>
      </c>
      <c r="B3" s="143" t="inlineStr">
        <is>
          <t>内容</t>
        </is>
      </c>
      <c r="C3" s="143" t="inlineStr">
        <is>
          <t>数量／期間</t>
        </is>
      </c>
      <c r="D3" s="143" t="inlineStr">
        <is>
          <t>確定金額（ウォン）</t>
        </is>
      </c>
      <c r="E3" s="143" t="inlineStr">
        <is>
          <t>予想金額（ウォン）</t>
        </is>
      </c>
      <c r="F3" s="143" t="inlineStr">
        <is>
          <t>備考</t>
        </is>
      </c>
    </row>
    <row r="4">
      <c r="A4" s="44" t="inlineStr">
        <is>
          <t>マーケティング</t>
        </is>
      </c>
      <c r="B4" s="44" t="inlineStr">
        <is>
          <t>7/18～8/19 マーケティング費用</t>
        </is>
      </c>
      <c r="C4" s="44" t="inlineStr">
        <is>
          <t>1か月</t>
        </is>
      </c>
      <c r="D4" s="161" t="n">
        <v>3960000</v>
      </c>
      <c r="E4" s="161" t="n"/>
      <c r="F4" s="44" t="inlineStr">
        <is>
          <t>付加価値税込み</t>
        </is>
      </c>
    </row>
    <row r="5">
      <c r="A5" s="44" t="inlineStr">
        <is>
          <t>輸入・通関</t>
        </is>
      </c>
      <c r="B5" s="44" t="inlineStr">
        <is>
          <t>今回入荷予定スーツケース（S 18個 / M 15個）</t>
        </is>
      </c>
      <c r="C5" s="44" t="inlineStr">
        <is>
          <t>合計33個</t>
        </is>
      </c>
      <c r="D5" s="181">
        <f>'スーツケース_仕入状況'!D14</f>
        <v>4050000</v>
      </c>
      <c r="E5" s="161" t="n"/>
      <c r="F5" s="44" t="inlineStr">
        <is>
          <t>今回入荷予定33個のスーツケース原価（S 18個 / M 15個）</t>
        </is>
      </c>
    </row>
    <row r="6">
      <c r="A6" s="44" t="inlineStr">
        <is>
          <t>輸入・通関</t>
        </is>
      </c>
      <c r="B6" s="44" t="inlineStr">
        <is>
          <t>今後入荷予定スーツケース</t>
        </is>
      </c>
      <c r="C6" s="44" t="inlineStr">
        <is>
          <t>700個</t>
        </is>
      </c>
      <c r="D6" s="161" t="n"/>
      <c r="E6" s="161" t="n"/>
      <c r="F6" s="44" t="inlineStr">
        <is>
          <t>今回の予想費用計算から除外</t>
        </is>
      </c>
    </row>
    <row r="7">
      <c r="A7" s="44" t="inlineStr">
        <is>
          <t>固定費</t>
        </is>
      </c>
      <c r="B7" s="44" t="inlineStr">
        <is>
          <t>家賃</t>
        </is>
      </c>
      <c r="C7" s="44" t="inlineStr">
        <is>
          <t>月1回</t>
        </is>
      </c>
      <c r="D7" s="161" t="n"/>
      <c r="E7" s="161" t="n">
        <v>550000</v>
      </c>
      <c r="F7" s="44" t="inlineStr">
        <is>
          <t>既存の月間支出基準</t>
        </is>
      </c>
    </row>
    <row r="8">
      <c r="A8" s="44" t="inlineStr">
        <is>
          <t>固定費</t>
        </is>
      </c>
      <c r="B8" s="44" t="inlineStr">
        <is>
          <t>税理士費用</t>
        </is>
      </c>
      <c r="C8" s="44" t="inlineStr">
        <is>
          <t>月1回</t>
        </is>
      </c>
      <c r="D8" s="161" t="n"/>
      <c r="E8" s="161" t="n">
        <v>110000</v>
      </c>
      <c r="F8" s="44" t="inlineStr">
        <is>
          <t>既存の月間支出基準</t>
        </is>
      </c>
    </row>
    <row r="9">
      <c r="A9" s="44" t="inlineStr">
        <is>
          <t>人件費</t>
        </is>
      </c>
      <c r="B9" s="44" t="inlineStr">
        <is>
          <t>給与</t>
        </is>
      </c>
      <c r="C9" s="44" t="inlineStr">
        <is>
          <t>月1回</t>
        </is>
      </c>
      <c r="D9" s="161" t="n"/>
      <c r="E9" s="161" t="n">
        <v>3000000</v>
      </c>
      <c r="F9" s="44" t="inlineStr">
        <is>
          <t>月給300万ウォン基準</t>
        </is>
      </c>
    </row>
    <row r="10">
      <c r="A10" s="44" t="inlineStr">
        <is>
          <t>運営費</t>
        </is>
      </c>
      <c r="B10" s="44" t="inlineStr">
        <is>
          <t>管理費</t>
        </is>
      </c>
      <c r="C10" s="44" t="inlineStr">
        <is>
          <t>月1回</t>
        </is>
      </c>
      <c r="D10" s="161" t="n"/>
      <c r="E10" s="161" t="n">
        <v>165000</v>
      </c>
      <c r="F10" s="44" t="inlineStr">
        <is>
          <t>既存の月間支出基準</t>
        </is>
      </c>
    </row>
    <row r="11">
      <c r="A11" s="44" t="inlineStr">
        <is>
          <t>運営費</t>
        </is>
      </c>
      <c r="B11" s="44" t="inlineStr">
        <is>
          <t>交通費</t>
        </is>
      </c>
      <c r="C11" s="44" t="inlineStr">
        <is>
          <t>月間予想</t>
        </is>
      </c>
      <c r="D11" s="161" t="n"/>
      <c r="E11" s="161" t="n"/>
      <c r="F11" s="44" t="inlineStr">
        <is>
          <t>変動費</t>
        </is>
      </c>
    </row>
    <row r="12">
      <c r="A12" s="44" t="inlineStr">
        <is>
          <t>配送・物流</t>
        </is>
      </c>
      <c r="B12" s="44" t="inlineStr">
        <is>
          <t>宅配・EMS費用</t>
        </is>
      </c>
      <c r="C12" s="44" t="inlineStr">
        <is>
          <t>月間予想</t>
        </is>
      </c>
      <c r="D12" s="161" t="n"/>
      <c r="E12" s="161" t="n"/>
      <c r="F12" s="44" t="inlineStr">
        <is>
          <t>販売量により変動</t>
        </is>
      </c>
    </row>
    <row r="13">
      <c r="A13" s="44" t="inlineStr">
        <is>
          <t>広告・マーケティング</t>
        </is>
      </c>
      <c r="B13" s="44" t="inlineStr">
        <is>
          <t>今後の広告費</t>
        </is>
      </c>
      <c r="C13" s="44" t="inlineStr">
        <is>
          <t>月間予想</t>
        </is>
      </c>
      <c r="D13" s="161" t="n"/>
      <c r="E13" s="161" t="n"/>
      <c r="F13" s="44" t="inlineStr">
        <is>
          <t>追加実施時に入力</t>
        </is>
      </c>
    </row>
    <row r="14">
      <c r="A14" s="44" t="inlineStr">
        <is>
          <t>その他</t>
        </is>
      </c>
      <c r="B14" s="44" t="inlineStr">
        <is>
          <t>その他運営費</t>
        </is>
      </c>
      <c r="C14" s="44" t="inlineStr">
        <is>
          <t>月間予想</t>
        </is>
      </c>
      <c r="D14" s="161" t="n"/>
      <c r="E14" s="161" t="n"/>
      <c r="F14" s="44" t="inlineStr">
        <is>
          <t>ソフトウェア・撮影・印刷など</t>
        </is>
      </c>
    </row>
    <row r="15">
      <c r="A15" s="44" t="n"/>
      <c r="B15" s="44" t="n"/>
      <c r="C15" s="44" t="n"/>
      <c r="D15" s="161" t="n"/>
      <c r="E15" s="161" t="n"/>
      <c r="F15" s="44" t="n"/>
    </row>
    <row r="16">
      <c r="A16" s="165" t="inlineStr">
        <is>
          <t>仮配送・レビュー</t>
        </is>
      </c>
      <c r="B16" s="1" t="n"/>
      <c r="C16" s="1" t="n"/>
      <c r="D16" s="166" t="n"/>
      <c r="E16" s="166" t="n"/>
      <c r="F16" s="138" t="inlineStr">
        <is>
          <t>1個あたりのスーツケース原価：S 100,000ウォン / M 150,000ウォン</t>
        </is>
      </c>
    </row>
    <row r="17">
      <c r="A17" s="184" t="inlineStr">
        <is>
          <t>現時点で確認可能な今後の費用合計</t>
        </is>
      </c>
      <c r="B17" s="44" t="n"/>
      <c r="C17" s="44" t="n"/>
      <c r="D17" s="183">
        <f>D4+D5+E7+E8+E9+E10</f>
        <v>11835000</v>
      </c>
      <c r="E17" s="161" t="n"/>
      <c r="F17" s="44" t="n"/>
    </row>
    <row r="18">
      <c r="A18" s="167" t="n"/>
      <c r="B18" s="1" t="n"/>
      <c r="C18" s="1" t="n"/>
      <c r="D18" s="1" t="n"/>
      <c r="E18" s="1" t="n"/>
      <c r="F18" s="1" t="n"/>
    </row>
  </sheetData>
  <mergeCells count="3">
    <mergeCell ref="A1:F1"/>
    <mergeCell ref="A16:C16"/>
    <mergeCell ref="A18:F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12" customWidth="1" style="45" min="2" max="2"/>
    <col width="18" customWidth="1" style="45" min="3" max="3"/>
    <col width="22" customWidth="1" style="45" min="4" max="4"/>
    <col width="18" customWidth="1" style="45" min="5" max="5"/>
    <col width="42" customWidth="1" style="45" min="6" max="6"/>
  </cols>
  <sheetData>
    <row r="1" ht="30" customHeight="1" s="45">
      <c r="A1" s="27" t="inlineStr">
        <is>
          <t>LIBETEE KOREA スーツケース輸入・原価状況</t>
        </is>
      </c>
      <c r="B1" s="1" t="n"/>
      <c r="C1" s="1" t="n"/>
      <c r="D1" s="1" t="n"/>
      <c r="E1" s="1" t="n"/>
      <c r="F1" s="1" t="n"/>
    </row>
    <row r="2">
      <c r="A2" s="44" t="n"/>
      <c r="B2" s="44" t="n"/>
      <c r="C2" s="44" t="n"/>
      <c r="D2" s="44" t="n"/>
      <c r="E2" s="44" t="n"/>
      <c r="F2" s="44" t="n"/>
    </row>
    <row r="3">
      <c r="A3" s="165" t="inlineStr">
        <is>
          <t>現在までに輸入したスーツケース — 提供分および日本からのEMS発送分を除外</t>
        </is>
      </c>
      <c r="B3" s="1" t="n"/>
      <c r="C3" s="1" t="n"/>
      <c r="D3" s="1" t="n"/>
      <c r="E3" s="1" t="n"/>
      <c r="F3" s="1" t="n"/>
    </row>
    <row r="4">
      <c r="A4" s="143" t="inlineStr">
        <is>
          <t>サイズ</t>
        </is>
      </c>
      <c r="B4" s="143" t="inlineStr">
        <is>
          <t>数量</t>
        </is>
      </c>
      <c r="C4" s="143" t="inlineStr">
        <is>
          <t>1個あたり原価（ウォン）</t>
        </is>
      </c>
      <c r="D4" s="143" t="inlineStr">
        <is>
          <t>スーツケース原価合計（ウォン）</t>
        </is>
      </c>
      <c r="E4" s="143" t="inlineStr">
        <is>
          <t>算入基準</t>
        </is>
      </c>
      <c r="F4" s="143" t="inlineStr">
        <is>
          <t>備考</t>
        </is>
      </c>
    </row>
    <row r="5">
      <c r="A5" s="44" t="inlineStr">
        <is>
          <t>S</t>
        </is>
      </c>
      <c r="B5" s="44" t="n">
        <v>16</v>
      </c>
      <c r="C5" s="159" t="n">
        <v>100000</v>
      </c>
      <c r="D5" s="161" t="n">
        <v>1600000</v>
      </c>
      <c r="E5" s="44" t="inlineStr">
        <is>
          <t>実際の輸入分</t>
        </is>
      </c>
      <c r="F5" s="44" t="inlineStr">
        <is>
          <t>提供分および日本EMS発送分を除外</t>
        </is>
      </c>
    </row>
    <row r="6">
      <c r="A6" s="44" t="inlineStr">
        <is>
          <t>M</t>
        </is>
      </c>
      <c r="B6" s="44" t="n">
        <v>20</v>
      </c>
      <c r="C6" s="159" t="n">
        <v>150000</v>
      </c>
      <c r="D6" s="161" t="n">
        <v>3000000</v>
      </c>
      <c r="E6" s="44" t="inlineStr">
        <is>
          <t>実際の輸入分</t>
        </is>
      </c>
      <c r="F6" s="44" t="inlineStr">
        <is>
          <t>提供分および日本EMS発送分を除外</t>
        </is>
      </c>
    </row>
    <row r="7">
      <c r="A7" s="168" t="inlineStr">
        <is>
          <t>現在までのスーツケース原価合計</t>
        </is>
      </c>
      <c r="B7" s="1" t="n"/>
      <c r="C7" s="1" t="n"/>
      <c r="D7" s="169" t="n">
        <v>4600000</v>
      </c>
      <c r="E7" s="152" t="n"/>
      <c r="F7" s="152" t="n"/>
    </row>
    <row r="8">
      <c r="A8" s="44" t="n"/>
      <c r="B8" s="44" t="n"/>
      <c r="C8" s="159" t="n"/>
      <c r="D8" s="161" t="n"/>
      <c r="E8" s="44" t="n"/>
      <c r="F8" s="44" t="n"/>
    </row>
    <row r="9">
      <c r="A9" s="44" t="n"/>
      <c r="B9" s="44" t="n"/>
      <c r="C9" s="159" t="n"/>
      <c r="D9" s="161" t="n"/>
      <c r="E9" s="44" t="n"/>
      <c r="F9" s="44" t="n"/>
    </row>
    <row r="10">
      <c r="A10" s="165" t="inlineStr">
        <is>
          <t>今回入荷予定 — 合計33個</t>
        </is>
      </c>
      <c r="B10" s="1" t="n"/>
      <c r="C10" s="1" t="n"/>
      <c r="D10" s="1" t="n"/>
      <c r="E10" s="1" t="n"/>
      <c r="F10" s="1" t="n"/>
    </row>
    <row r="11">
      <c r="A11" s="143" t="inlineStr">
        <is>
          <t>サイズ</t>
        </is>
      </c>
      <c r="B11" s="143" t="inlineStr">
        <is>
          <t>数量</t>
        </is>
      </c>
      <c r="C11" s="170" t="inlineStr">
        <is>
          <t>参考原価（ウォン）</t>
        </is>
      </c>
      <c r="D11" s="171" t="inlineStr">
        <is>
          <t>参考スーツケース原価（ウォン）</t>
        </is>
      </c>
      <c r="E11" s="143" t="inlineStr">
        <is>
          <t>入荷状況</t>
        </is>
      </c>
      <c r="F11" s="143" t="inlineStr">
        <is>
          <t>備考</t>
        </is>
      </c>
    </row>
    <row r="12">
      <c r="A12" s="44" t="inlineStr">
        <is>
          <t>S</t>
        </is>
      </c>
      <c r="B12" s="44" t="n">
        <v>18</v>
      </c>
      <c r="C12" s="159" t="n">
        <v>100000</v>
      </c>
      <c r="D12" s="161" t="n">
        <v>1800000</v>
      </c>
      <c r="E12" s="44" t="inlineStr">
        <is>
          <t>入荷予定</t>
        </is>
      </c>
      <c r="F12" s="44" t="inlineStr">
        <is>
          <t>33個のうちS 18個</t>
        </is>
      </c>
    </row>
    <row r="13">
      <c r="A13" s="44" t="inlineStr">
        <is>
          <t>M</t>
        </is>
      </c>
      <c r="B13" s="44" t="n">
        <v>15</v>
      </c>
      <c r="C13" s="159" t="n">
        <v>150000</v>
      </c>
      <c r="D13" s="161" t="n">
        <v>2250000</v>
      </c>
      <c r="E13" s="44" t="inlineStr">
        <is>
          <t>入荷予定</t>
        </is>
      </c>
      <c r="F13" s="44" t="inlineStr">
        <is>
          <t>33個のうちM 15個</t>
        </is>
      </c>
    </row>
    <row r="14">
      <c r="A14" s="167" t="inlineStr">
        <is>
          <t>33個分 参考スーツケース原価 合計</t>
        </is>
      </c>
      <c r="B14" s="1" t="n"/>
      <c r="C14" s="1" t="n"/>
      <c r="D14" s="172" t="n">
        <v>4050000</v>
      </c>
      <c r="E14" s="87" t="n"/>
      <c r="F14" s="87" t="n"/>
    </row>
    <row r="15">
      <c r="A15" s="144" t="inlineStr">
        <is>
          <t>700個入荷前までのスーツケース原価 合計</t>
        </is>
      </c>
      <c r="B15" s="144" t="n"/>
      <c r="C15" s="144" t="n"/>
      <c r="D15" s="162" t="n">
        <v>8650000</v>
      </c>
      <c r="E15" s="44" t="n"/>
      <c r="F15" s="44" t="n"/>
    </row>
    <row r="16">
      <c r="A16" s="44" t="n"/>
      <c r="B16" s="44" t="n"/>
      <c r="C16" s="44" t="n"/>
      <c r="D16" s="44" t="n"/>
      <c r="E16" s="44" t="n"/>
      <c r="F16" s="44" t="n"/>
    </row>
    <row r="17">
      <c r="A17" s="165" t="inlineStr">
        <is>
          <t>今後の入荷計画</t>
        </is>
      </c>
      <c r="B17" s="1" t="n"/>
      <c r="C17" s="1" t="n"/>
      <c r="D17" s="1" t="n"/>
      <c r="E17" s="1" t="n"/>
      <c r="F17" s="1" t="n"/>
    </row>
    <row r="18">
      <c r="A18" s="143" t="inlineStr">
        <is>
          <t>区分</t>
        </is>
      </c>
      <c r="B18" s="143" t="inlineStr">
        <is>
          <t>数量</t>
        </is>
      </c>
      <c r="C18" s="143" t="inlineStr">
        <is>
          <t>原価</t>
        </is>
      </c>
      <c r="D18" s="143" t="inlineStr">
        <is>
          <t>スーツケース原価</t>
        </is>
      </c>
      <c r="E18" s="143" t="inlineStr">
        <is>
          <t>状況</t>
        </is>
      </c>
      <c r="F18" s="143" t="inlineStr">
        <is>
          <t>備考</t>
        </is>
      </c>
    </row>
    <row r="19">
      <c r="A19" s="44" t="inlineStr">
        <is>
          <t>今後の大量入荷</t>
        </is>
      </c>
      <c r="B19" s="44" t="n">
        <v>700</v>
      </c>
      <c r="C19" s="44" t="n"/>
      <c r="D19" s="44" t="n"/>
      <c r="E19" s="44" t="inlineStr">
        <is>
          <t>予定</t>
        </is>
      </c>
      <c r="F19" s="44" t="inlineStr">
        <is>
          <t>今回の原価・予想費用の計算から除外</t>
        </is>
      </c>
    </row>
  </sheetData>
  <mergeCells count="6">
    <mergeCell ref="A10:F10"/>
    <mergeCell ref="A1:F1"/>
    <mergeCell ref="A14:C14"/>
    <mergeCell ref="A17:F17"/>
    <mergeCell ref="A3:F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2026-09-07T05:51:43Z</dcterms:created>
  <dcterms:modified xsi:type="dcterms:W3CDTF">2026-09-08T05:56:38Z</dcterms:modified>
</cp:coreProperties>
</file>