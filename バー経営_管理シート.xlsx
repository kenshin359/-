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② 今週やることチェック" sheetId="2" state="visible" r:id="rId2"/>
    <sheet name="③ 客層・コンセプト設計" sheetId="3" state="visible" r:id="rId3"/>
    <sheet name="④ リピーター対策" sheetId="4" state="visible" r:id="rId4"/>
    <sheet name="⑤ 公式LINE活用" sheetId="5" state="visible" r:id="rId5"/>
    <sheet name="⑥ バイト運営の仕組み" sheetId="6" state="visible" r:id="rId6"/>
    <sheet name="⑦ 在庫管理表" sheetId="7" state="visible" r:id="rId7"/>
    <sheet name="⑧ 損益・FLコスト計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Noto Sans CJK JP"/>
      <b val="1"/>
      <color rgb="00FFFFFF"/>
      <sz val="16"/>
    </font>
    <font>
      <name val="Noto Sans CJK JP"/>
      <color rgb="00595959"/>
      <sz val="11"/>
    </font>
    <font>
      <name val="Noto Sans CJK JP"/>
      <b val="1"/>
      <color rgb="001F3864"/>
      <sz val="13"/>
    </font>
    <font>
      <name val="Noto Sans CJK JP"/>
      <b val="1"/>
      <color rgb="00FFFFFF"/>
      <sz val="11"/>
    </font>
    <font>
      <name val="Noto Sans CJK JP"/>
      <b val="1"/>
      <color rgb="00000000"/>
      <sz val="11"/>
    </font>
    <font>
      <name val="Noto Sans CJK JP"/>
      <color rgb="00000000"/>
      <sz val="11"/>
    </font>
    <font>
      <name val="Noto Sans CJK JP"/>
      <color rgb="00000000"/>
      <sz val="14"/>
    </font>
    <font>
      <name val="Noto Sans CJK JP"/>
      <color rgb="00595959"/>
      <sz val="10"/>
    </font>
    <font>
      <name val="Noto Sans CJK JP"/>
      <b val="1"/>
      <color rgb="001F3864"/>
      <sz val="12"/>
    </font>
    <font>
      <name val="Noto Sans CJK JP"/>
      <b val="1"/>
      <color rgb="00C00000"/>
      <sz val="11"/>
    </font>
    <font>
      <name val="Noto Sans CJK JP"/>
      <b val="1"/>
      <color rgb="00C00000"/>
      <sz val="10"/>
    </font>
    <font>
      <name val="Noto Sans CJK JP"/>
      <color rgb="000000FF"/>
    </font>
    <font>
      <name val="Noto Sans CJK JP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3" fontId="12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🍸 大阪ミナミ バー経営 まるわかりシート</t>
        </is>
      </c>
    </row>
    <row r="2" ht="20" customHeight="1">
      <c r="A2" s="2" t="inlineStr">
        <is>
          <t>店長不在・バイトだけで回す店のための、素人でもわかる管理ブック</t>
        </is>
      </c>
    </row>
    <row r="3" ht="20" customHeight="1"/>
    <row r="4" ht="20" customHeight="1">
      <c r="A4" s="3" t="inlineStr">
        <is>
          <t>■ このブックの使い方</t>
        </is>
      </c>
    </row>
    <row r="5" ht="20" customHeight="1">
      <c r="A5" s="4" t="inlineStr">
        <is>
          <t>シート名</t>
        </is>
      </c>
      <c r="B5" s="4" t="inlineStr">
        <is>
          <t>何をするシート？</t>
        </is>
      </c>
    </row>
    <row r="6" ht="20" customHeight="1">
      <c r="A6" s="5" t="inlineStr">
        <is>
          <t>① はじめに</t>
        </is>
      </c>
      <c r="B6" s="6" t="inlineStr">
        <is>
          <t>全体の説明（このページ）</t>
        </is>
      </c>
    </row>
    <row r="7" ht="20" customHeight="1">
      <c r="A7" s="5" t="inlineStr">
        <is>
          <t>② 今週やることチェック</t>
        </is>
      </c>
      <c r="B7" s="6" t="inlineStr">
        <is>
          <t>まず最初にやる5つ。□に✓を入れていく</t>
        </is>
      </c>
    </row>
    <row r="8" ht="20" customHeight="1">
      <c r="A8" s="5" t="inlineStr">
        <is>
          <t>③ 客層・コンセプト設計</t>
        </is>
      </c>
      <c r="B8" s="6" t="inlineStr">
        <is>
          <t>「誰に・何屋か」を決める</t>
        </is>
      </c>
    </row>
    <row r="9" ht="20" customHeight="1">
      <c r="A9" s="5" t="inlineStr">
        <is>
          <t>④ リピーター対策</t>
        </is>
      </c>
      <c r="B9" s="6" t="inlineStr">
        <is>
          <t>2回目に来てもらう工夫を管理</t>
        </is>
      </c>
    </row>
    <row r="10" ht="20" customHeight="1">
      <c r="A10" s="5" t="inlineStr">
        <is>
          <t>⑤ 公式LINE活用</t>
        </is>
      </c>
      <c r="B10" s="6" t="inlineStr">
        <is>
          <t>空席確認・集客の仕組みづくり</t>
        </is>
      </c>
    </row>
    <row r="11" ht="20" customHeight="1">
      <c r="A11" s="5" t="inlineStr">
        <is>
          <t>⑥ バイト運営の仕組み</t>
        </is>
      </c>
      <c r="B11" s="6" t="inlineStr">
        <is>
          <t>店長がいなくても回す3つの仕組み</t>
        </is>
      </c>
    </row>
    <row r="12" ht="20" customHeight="1">
      <c r="A12" s="5" t="inlineStr">
        <is>
          <t>⑦ 在庫管理表</t>
        </is>
      </c>
      <c r="B12" s="6" t="inlineStr">
        <is>
          <t>お酒の在庫・死に筋を自動でチェック（数字を入れるだけ）</t>
        </is>
      </c>
    </row>
    <row r="13" ht="20" customHeight="1">
      <c r="A13" s="5" t="inlineStr">
        <is>
          <t>⑧ 損益・FLコスト計算</t>
        </is>
      </c>
      <c r="B13" s="6" t="inlineStr">
        <is>
          <t>儲かっているか自動計算（黄色いセルに入力）</t>
        </is>
      </c>
    </row>
    <row r="14" ht="20" customHeight="1"/>
    <row r="15" ht="20" customHeight="1">
      <c r="A15" s="3" t="inlineStr">
        <is>
          <t>■ 色のルール</t>
        </is>
      </c>
    </row>
    <row r="16" ht="20" customHeight="1">
      <c r="A16" s="7" t="inlineStr">
        <is>
          <t>黄色のセル</t>
        </is>
      </c>
      <c r="B16" s="8" t="inlineStr">
        <is>
          <t>← あなた（またはバイト）が入力する場所</t>
        </is>
      </c>
    </row>
    <row r="17" ht="20" customHeight="1">
      <c r="A17" s="9" t="inlineStr">
        <is>
          <t>白のセル</t>
        </is>
      </c>
      <c r="B17" s="8" t="inlineStr">
        <is>
          <t>← 自動で計算される・説明の場所（さわらなくてOK）</t>
        </is>
      </c>
    </row>
    <row r="18" ht="20" customHeight="1"/>
    <row r="19" ht="20" customHeight="1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12" customWidth="1" min="4" max="4"/>
    <col width="14" customWidth="1" min="5" max="5"/>
  </cols>
  <sheetData>
    <row r="1" ht="28" customHeight="1">
      <c r="A1" s="1" t="inlineStr">
        <is>
          <t>✅ まず今週やること（これだけ！）</t>
        </is>
      </c>
    </row>
    <row r="3">
      <c r="A3" s="4" t="inlineStr">
        <is>
          <t>✓</t>
        </is>
      </c>
      <c r="B3" s="4" t="inlineStr">
        <is>
          <t>やること</t>
        </is>
      </c>
      <c r="C3" s="4" t="inlineStr">
        <is>
          <t>なぜ？</t>
        </is>
      </c>
      <c r="D3" s="4" t="inlineStr">
        <is>
          <t>目安の時間</t>
        </is>
      </c>
      <c r="E3" s="4" t="inlineStr">
        <is>
          <t>完了日</t>
        </is>
      </c>
    </row>
    <row r="4" ht="30" customHeight="1">
      <c r="A4" s="10" t="inlineStr">
        <is>
          <t>☐</t>
        </is>
      </c>
      <c r="B4" s="6" t="inlineStr">
        <is>
          <t>客層を1つに絞る</t>
        </is>
      </c>
      <c r="C4" s="11" t="inlineStr">
        <is>
          <t>「みんな向け」は誰にも刺さらないから</t>
        </is>
      </c>
      <c r="D4" s="12" t="inlineStr">
        <is>
          <t>30分</t>
        </is>
      </c>
      <c r="E4" s="13" t="inlineStr"/>
    </row>
    <row r="5" ht="30" customHeight="1">
      <c r="A5" s="10" t="inlineStr">
        <is>
          <t>☐</t>
        </is>
      </c>
      <c r="B5" s="6" t="inlineStr">
        <is>
          <t>コンセプトを一言で決める</t>
        </is>
      </c>
      <c r="C5" s="11" t="inlineStr">
        <is>
          <t>「何屋か」が伝わると選ばれる</t>
        </is>
      </c>
      <c r="D5" s="12" t="inlineStr">
        <is>
          <t>30分</t>
        </is>
      </c>
      <c r="E5" s="13" t="inlineStr"/>
    </row>
    <row r="6" ht="30" customHeight="1">
      <c r="A6" s="10" t="inlineStr">
        <is>
          <t>☐</t>
        </is>
      </c>
      <c r="B6" s="6" t="inlineStr">
        <is>
          <t>公式LINEを作る（無料）</t>
        </is>
      </c>
      <c r="C6" s="11" t="inlineStr">
        <is>
          <t>店長の代わりに集客・予約をしてくれる</t>
        </is>
      </c>
      <c r="D6" s="12" t="inlineStr">
        <is>
          <t>15分</t>
        </is>
      </c>
      <c r="E6" s="13" t="inlineStr"/>
    </row>
    <row r="7" ht="30" customHeight="1">
      <c r="A7" s="10" t="inlineStr">
        <is>
          <t>☐</t>
        </is>
      </c>
      <c r="B7" s="6" t="inlineStr">
        <is>
          <t>リピート術5つをバイトに共有</t>
        </is>
      </c>
      <c r="C7" s="11" t="inlineStr">
        <is>
          <t>新規より常連の方が10倍ラク</t>
        </is>
      </c>
      <c r="D7" s="12" t="inlineStr">
        <is>
          <t>20分</t>
        </is>
      </c>
      <c r="E7" s="13" t="inlineStr"/>
    </row>
    <row r="8" ht="30" customHeight="1">
      <c r="A8" s="10" t="inlineStr">
        <is>
          <t>☐</t>
        </is>
      </c>
      <c r="B8" s="6" t="inlineStr">
        <is>
          <t>バイト用マニュアルを1枚作る</t>
        </is>
      </c>
      <c r="C8" s="11" t="inlineStr">
        <is>
          <t>店長がいなくても店が回る</t>
        </is>
      </c>
      <c r="D8" s="12" t="inlineStr">
        <is>
          <t>60分</t>
        </is>
      </c>
      <c r="E8" s="13" t="inlineStr"/>
    </row>
    <row r="10">
      <c r="A10" s="14" t="inlineStr">
        <is>
          <t>☑ の入れ方：A列のセルに「✓」と入力するだけ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2" customWidth="1" min="4" max="4"/>
  </cols>
  <sheetData>
    <row r="1" ht="28" customHeight="1">
      <c r="A1" s="1" t="inlineStr">
        <is>
          <t>🎯 客層・コンセプトを決める</t>
        </is>
      </c>
    </row>
    <row r="3">
      <c r="A3" s="15" t="inlineStr">
        <is>
          <t>STEP1  マーケティングの3つの質問（黄色に書き込む）</t>
        </is>
      </c>
    </row>
    <row r="4">
      <c r="A4" s="4" t="inlineStr">
        <is>
          <t>質問</t>
        </is>
      </c>
      <c r="B4" s="4" t="inlineStr">
        <is>
          <t>あなたの答え（記入）</t>
        </is>
      </c>
      <c r="C4" s="4" t="inlineStr">
        <is>
          <t>記入例</t>
        </is>
      </c>
      <c r="D4" s="4" t="inlineStr"/>
    </row>
    <row r="5" ht="26" customHeight="1">
      <c r="A5" s="5" t="inlineStr">
        <is>
          <t>誰に来てほしい？</t>
        </is>
      </c>
      <c r="B5" s="16" t="inlineStr"/>
      <c r="C5" s="11" t="inlineStr">
        <is>
          <t>例）仕事帰りの20〜30代女性</t>
        </is>
      </c>
    </row>
    <row r="6" ht="26" customHeight="1">
      <c r="A6" s="5" t="inlineStr">
        <is>
          <t>その人に何をあげる？</t>
        </is>
      </c>
      <c r="B6" s="16" t="inlineStr"/>
      <c r="C6" s="11" t="inlineStr">
        <is>
          <t>例）一人でも入りやすい安心できる空間</t>
        </is>
      </c>
    </row>
    <row r="7" ht="26" customHeight="1">
      <c r="A7" s="5" t="inlineStr">
        <is>
          <t>どう知ってもらう？</t>
        </is>
      </c>
      <c r="B7" s="16" t="inlineStr"/>
      <c r="C7" s="11" t="inlineStr">
        <is>
          <t>例）Instagram・LINE・Googleマップ</t>
        </is>
      </c>
    </row>
    <row r="9">
      <c r="A9" s="15" t="inlineStr">
        <is>
          <t>STEP2  客層の絞り方（どれか1つ選ぶ）</t>
        </is>
      </c>
    </row>
    <row r="10">
      <c r="A10" s="4" t="inlineStr">
        <is>
          <t>絞り方</t>
        </is>
      </c>
      <c r="B10" s="4" t="inlineStr">
        <is>
          <t>内容</t>
        </is>
      </c>
      <c r="C10" s="4" t="inlineStr">
        <is>
          <t>選ぶ（○）</t>
        </is>
      </c>
      <c r="D10" s="4" t="inlineStr"/>
    </row>
    <row r="11" ht="24" customHeight="1">
      <c r="A11" s="5" t="inlineStr">
        <is>
          <t>時間で絞る</t>
        </is>
      </c>
      <c r="B11" s="6" t="inlineStr">
        <is>
          <t>仕事帰りのサク飲み層（19〜22時が勝負）</t>
        </is>
      </c>
      <c r="C11" s="13" t="inlineStr"/>
    </row>
    <row r="12" ht="24" customHeight="1">
      <c r="A12" s="5" t="inlineStr">
        <is>
          <t>性別・年齢で絞る</t>
        </is>
      </c>
      <c r="B12" s="6" t="inlineStr">
        <is>
          <t>一人でも入れる、女性が安心な店</t>
        </is>
      </c>
      <c r="C12" s="13" t="inlineStr"/>
    </row>
    <row r="13" ht="24" customHeight="1">
      <c r="A13" s="5" t="inlineStr">
        <is>
          <t>予算で絞る</t>
        </is>
      </c>
      <c r="B13" s="6" t="inlineStr">
        <is>
          <t>3,000円でしっかり楽しめる店</t>
        </is>
      </c>
      <c r="C13" s="13" t="inlineStr"/>
    </row>
    <row r="14" ht="24" customHeight="1">
      <c r="A14" s="5" t="inlineStr">
        <is>
          <t>インバウンドで絞る</t>
        </is>
      </c>
      <c r="B14" s="6" t="inlineStr">
        <is>
          <t>外国人観光客歓迎（ミナミは特に強い）</t>
        </is>
      </c>
      <c r="C14" s="13" t="inlineStr"/>
    </row>
    <row r="16">
      <c r="A16" s="15" t="inlineStr">
        <is>
          <t>STEP3  コンセプトの型（店長不在なら“人に頼らない型”を選ぶ）</t>
        </is>
      </c>
    </row>
    <row r="17">
      <c r="A17" s="4" t="inlineStr">
        <is>
          <t>型</t>
        </is>
      </c>
      <c r="B17" s="4" t="inlineStr">
        <is>
          <t>例</t>
        </is>
      </c>
      <c r="C17" s="4" t="inlineStr">
        <is>
          <t>バイトで回せる？</t>
        </is>
      </c>
      <c r="D17" s="4" t="inlineStr">
        <is>
          <t>選ぶ（○）</t>
        </is>
      </c>
    </row>
    <row r="18" ht="24" customHeight="1">
      <c r="A18" s="5" t="inlineStr">
        <is>
          <t>お酒特化型</t>
        </is>
      </c>
      <c r="B18" s="6" t="inlineStr">
        <is>
          <t>ハイボール専門／ウイスキーが安い店</t>
        </is>
      </c>
      <c r="C18" s="17" t="inlineStr">
        <is>
          <t>◎ 向いてる</t>
        </is>
      </c>
      <c r="D18" s="13" t="inlineStr"/>
    </row>
    <row r="19" ht="24" customHeight="1">
      <c r="A19" s="5" t="inlineStr">
        <is>
          <t>雰囲気型</t>
        </is>
      </c>
      <c r="B19" s="6" t="inlineStr">
        <is>
          <t>隠れ家／レコードが流れる大人の店</t>
        </is>
      </c>
      <c r="C19" s="17" t="inlineStr">
        <is>
          <t>◎ 向いてる</t>
        </is>
      </c>
      <c r="D19" s="13" t="inlineStr"/>
    </row>
    <row r="20" ht="24" customHeight="1">
      <c r="A20" s="5" t="inlineStr">
        <is>
          <t>体験型</t>
        </is>
      </c>
      <c r="B20" s="6" t="inlineStr">
        <is>
          <t>一人でも楽しい／観光客と交流できる</t>
        </is>
      </c>
      <c r="C20" s="17" t="inlineStr">
        <is>
          <t>◎ 向いてる</t>
        </is>
      </c>
      <c r="D20" s="13" t="inlineStr"/>
    </row>
    <row r="21" ht="24" customHeight="1">
      <c r="A21" s="5" t="inlineStr">
        <is>
          <t>人型（ママ・マスター）</t>
        </is>
      </c>
      <c r="B21" s="6" t="inlineStr">
        <is>
          <t>人柄で通う店</t>
        </is>
      </c>
      <c r="C21" s="18" t="inlineStr">
        <is>
          <t>⚠ 不向き（要注意）</t>
        </is>
      </c>
      <c r="D21" s="13" t="inlineStr"/>
    </row>
    <row r="23">
      <c r="A23" s="15" t="inlineStr">
        <is>
          <t>▼ 決定！ うちのコンセプトは一言で言うと…</t>
        </is>
      </c>
    </row>
    <row r="24" ht="34" customHeight="1">
      <c r="A24" s="16" t="inlineStr"/>
    </row>
  </sheetData>
  <mergeCells count="2">
    <mergeCell ref="A1:D1"/>
    <mergeCell ref="A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16" customWidth="1" min="4" max="4"/>
    <col width="12" customWidth="1" min="5" max="5"/>
  </cols>
  <sheetData>
    <row r="1" ht="28" customHeight="1">
      <c r="A1" s="1" t="inlineStr">
        <is>
          <t>🔁 リピーター対策（2回目に来てもらう）</t>
        </is>
      </c>
    </row>
    <row r="3">
      <c r="A3" s="19" t="inlineStr">
        <is>
          <t>新規100人集めるより、10人にリピートしてもらう方が10倍ラク！</t>
        </is>
      </c>
    </row>
    <row r="4">
      <c r="A4" s="4" t="inlineStr">
        <is>
          <t>#</t>
        </is>
      </c>
      <c r="B4" s="4" t="inlineStr">
        <is>
          <t>やること</t>
        </is>
      </c>
      <c r="C4" s="4" t="inlineStr">
        <is>
          <t>ひとこと</t>
        </is>
      </c>
      <c r="D4" s="4" t="inlineStr">
        <is>
          <t>うちで実施する？</t>
        </is>
      </c>
      <c r="E4" s="4" t="inlineStr">
        <is>
          <t>担当</t>
        </is>
      </c>
    </row>
    <row r="5" ht="28" customHeight="1">
      <c r="A5" s="20" t="n">
        <v>1</v>
      </c>
      <c r="B5" s="6" t="inlineStr">
        <is>
          <t>次回サービス券を渡す</t>
        </is>
      </c>
      <c r="C5" s="11" t="inlineStr">
        <is>
          <t>「次回ドリンク1杯無料」など</t>
        </is>
      </c>
      <c r="D5" s="13" t="inlineStr"/>
      <c r="E5" s="13" t="inlineStr"/>
    </row>
    <row r="6" ht="28" customHeight="1">
      <c r="A6" s="20" t="n">
        <v>2</v>
      </c>
      <c r="B6" s="6" t="inlineStr">
        <is>
          <t>公式LINEに登録してもらう</t>
        </is>
      </c>
      <c r="C6" s="11" t="inlineStr">
        <is>
          <t>リピートの最強ツール（⑤参照）</t>
        </is>
      </c>
      <c r="D6" s="13" t="inlineStr"/>
      <c r="E6" s="13" t="inlineStr"/>
    </row>
    <row r="7" ht="28" customHeight="1">
      <c r="A7" s="20" t="n">
        <v>3</v>
      </c>
      <c r="B7" s="6" t="inlineStr">
        <is>
          <t>ボトルキープをすすめる</t>
        </is>
      </c>
      <c r="C7" s="11" t="inlineStr">
        <is>
          <t>キープ＝また来る理由になる</t>
        </is>
      </c>
      <c r="D7" s="13" t="inlineStr"/>
      <c r="E7" s="13" t="inlineStr"/>
    </row>
    <row r="8" ht="28" customHeight="1">
      <c r="A8" s="20" t="n">
        <v>4</v>
      </c>
      <c r="B8" s="6" t="inlineStr">
        <is>
          <t>お客さんの名前を覚える</t>
        </is>
      </c>
      <c r="C8" s="11" t="inlineStr">
        <is>
          <t>「〇〇さん、いらっしゃい」が効く</t>
        </is>
      </c>
      <c r="D8" s="13" t="inlineStr"/>
      <c r="E8" s="13" t="inlineStr"/>
    </row>
    <row r="9" ht="28" customHeight="1">
      <c r="A9" s="20" t="n">
        <v>5</v>
      </c>
      <c r="B9" s="6" t="inlineStr">
        <is>
          <t>写真を撮りたくなる名物を作る</t>
        </is>
      </c>
      <c r="C9" s="11" t="inlineStr">
        <is>
          <t>名物カクテルなど1つでOK</t>
        </is>
      </c>
      <c r="D9" s="13" t="inlineStr"/>
      <c r="E9" s="13" t="inlineStr"/>
    </row>
    <row r="11">
      <c r="A11" s="14" t="inlineStr">
        <is>
          <t>★ バイト全員に「この5つだけやって」と決めれば、店長がいなくても回ります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10" customWidth="1" min="3" max="3"/>
    <col width="4" customWidth="1" min="4" max="4"/>
  </cols>
  <sheetData>
    <row r="1" ht="28" customHeight="1">
      <c r="A1" s="1" t="inlineStr">
        <is>
          <t>📱 公式LINE活用（店長の代わり）</t>
        </is>
      </c>
    </row>
    <row r="3">
      <c r="A3" s="15" t="inlineStr">
        <is>
          <t>■ 公式LINEでできること</t>
        </is>
      </c>
    </row>
    <row r="4">
      <c r="A4" s="4" t="inlineStr">
        <is>
          <t>やりたいこと</t>
        </is>
      </c>
      <c r="B4" s="4" t="inlineStr">
        <is>
          <t>LINEでこうする</t>
        </is>
      </c>
      <c r="C4" s="4" t="inlineStr">
        <is>
          <t>できた？</t>
        </is>
      </c>
      <c r="D4" s="4" t="inlineStr"/>
    </row>
    <row r="5" ht="26" customHeight="1">
      <c r="A5" s="5" t="inlineStr">
        <is>
          <t>空席の確認</t>
        </is>
      </c>
      <c r="B5" s="6" t="inlineStr">
        <is>
          <t>「本日〇席空いてます！」を配信／お客さんが確認</t>
        </is>
      </c>
      <c r="C5" s="13" t="inlineStr"/>
    </row>
    <row r="6" ht="26" customHeight="1">
      <c r="A6" s="5" t="inlineStr">
        <is>
          <t>集客</t>
        </is>
      </c>
      <c r="B6" s="6" t="inlineStr">
        <is>
          <t>暇な日に「今夜1杯サービス」を一斉配信</t>
        </is>
      </c>
      <c r="C6" s="13" t="inlineStr"/>
    </row>
    <row r="7" ht="26" customHeight="1">
      <c r="A7" s="5" t="inlineStr">
        <is>
          <t>リピート</t>
        </is>
      </c>
      <c r="B7" s="6" t="inlineStr">
        <is>
          <t>登録者に定期的にお知らせ→思い出してもらう</t>
        </is>
      </c>
      <c r="C7" s="13" t="inlineStr"/>
    </row>
    <row r="8" ht="26" customHeight="1">
      <c r="A8" s="5" t="inlineStr">
        <is>
          <t>クーポン</t>
        </is>
      </c>
      <c r="B8" s="6" t="inlineStr">
        <is>
          <t>登録特典で「初回1杯無料」→登録が増える</t>
        </is>
      </c>
      <c r="C8" s="13" t="inlineStr"/>
    </row>
    <row r="10">
      <c r="A10" s="15" t="inlineStr">
        <is>
          <t>■ 空席確認メニューの作り方（初心者向け・上から順に）</t>
        </is>
      </c>
    </row>
    <row r="11">
      <c r="A11" s="4" t="inlineStr">
        <is>
          <t>手順</t>
        </is>
      </c>
      <c r="B11" s="4" t="inlineStr">
        <is>
          <t>やること</t>
        </is>
      </c>
      <c r="C11" s="4" t="inlineStr">
        <is>
          <t>完了</t>
        </is>
      </c>
      <c r="D11" s="4" t="inlineStr"/>
    </row>
    <row r="12" ht="28" customHeight="1">
      <c r="A12" s="20" t="inlineStr">
        <is>
          <t>STEP1</t>
        </is>
      </c>
      <c r="B12" s="6" t="inlineStr">
        <is>
          <t>LINE公式アカウントを無料で作る（スマホでOK）</t>
        </is>
      </c>
      <c r="C12" s="13" t="inlineStr"/>
    </row>
    <row r="13" ht="28" customHeight="1">
      <c r="A13" s="20" t="inlineStr">
        <is>
          <t>STEP2</t>
        </is>
      </c>
      <c r="B13" s="6" t="inlineStr">
        <is>
          <t>「予約・空席確認はこちら」のメニューボタンを設置</t>
        </is>
      </c>
      <c r="C13" s="13" t="inlineStr"/>
    </row>
    <row r="14" ht="28" customHeight="1">
      <c r="A14" s="20" t="inlineStr">
        <is>
          <t>STEP3</t>
        </is>
      </c>
      <c r="B14" s="6" t="inlineStr">
        <is>
          <t>お客さんが押したら、バイトが「〇席空いてます」と手動返信（最初はこれで十分）</t>
        </is>
      </c>
      <c r="C14" s="13" t="inlineStr"/>
    </row>
    <row r="15" ht="28" customHeight="1">
      <c r="A15" s="20" t="inlineStr">
        <is>
          <t>STEP4</t>
        </is>
      </c>
      <c r="B15" s="6" t="inlineStr">
        <is>
          <t>慣れたら予約システム（トレタ・ebica等）と連携</t>
        </is>
      </c>
      <c r="C15" s="13" t="inlineStr"/>
    </row>
    <row r="17">
      <c r="A17" s="21" t="inlineStr">
        <is>
          <t>💡 最初は手動返信でOK。完璧を目指さず、まず作ることが大事！</t>
        </is>
      </c>
    </row>
    <row r="18">
      <c r="A18" s="15" t="inlineStr">
        <is>
          <t>■ 空席お知らせ 配信の文例（コピペして使う）</t>
        </is>
      </c>
    </row>
    <row r="19" ht="80" customHeight="1">
      <c r="A19" s="22" t="inlineStr">
        <is>
          <t>【本日の空席】
今夜は現在〇席空いています🍸
お仕事帰りにぜひ！ ご来店お待ちしています。
（ご予約はこのままメッセージでどうぞ）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4" customWidth="1" min="3" max="3"/>
    <col width="4" customWidth="1" min="4" max="4"/>
  </cols>
  <sheetData>
    <row r="1" ht="28" customHeight="1">
      <c r="A1" s="1" t="inlineStr">
        <is>
          <t>🚨 店長不在でも回す 3つの仕組み</t>
        </is>
      </c>
    </row>
    <row r="3">
      <c r="A3" s="19" t="inlineStr">
        <is>
          <t>「人（店長）に頼る店」→「仕組みで回る店」へ</t>
        </is>
      </c>
    </row>
    <row r="4">
      <c r="A4" s="4" t="inlineStr">
        <is>
          <t>仕組み</t>
        </is>
      </c>
      <c r="B4" s="4" t="inlineStr">
        <is>
          <t>内容</t>
        </is>
      </c>
      <c r="C4" s="4" t="inlineStr">
        <is>
          <t>整備できた？</t>
        </is>
      </c>
      <c r="D4" s="4" t="inlineStr"/>
    </row>
    <row r="5" ht="34" customHeight="1">
      <c r="A5" s="23" t="inlineStr">
        <is>
          <t>① マニュアル1枚</t>
        </is>
      </c>
      <c r="B5" s="6" t="inlineStr">
        <is>
          <t>開店準備／閉店作業／お会計を紙1枚に。「迷ったらこれ」</t>
        </is>
      </c>
      <c r="C5" s="13" t="inlineStr"/>
    </row>
    <row r="6" ht="34" customHeight="1">
      <c r="A6" s="23" t="inlineStr">
        <is>
          <t>② お金のルール</t>
        </is>
      </c>
      <c r="B6" s="6" t="inlineStr">
        <is>
          <t>レジ金の数え方・売上記録・鍵の管理をルール化（最重要）</t>
        </is>
      </c>
      <c r="C6" s="13" t="inlineStr"/>
    </row>
    <row r="7" ht="34" customHeight="1">
      <c r="A7" s="23" t="inlineStr">
        <is>
          <t>③ 困った時の連絡先</t>
        </is>
      </c>
      <c r="B7" s="6" t="inlineStr">
        <is>
          <t>トラブル時に誰へ電話するかを明確に＋毎日1行の報告LINE</t>
        </is>
      </c>
      <c r="C7" s="13" t="inlineStr"/>
    </row>
    <row r="9">
      <c r="A9" s="15" t="inlineStr">
        <is>
          <t>■ バイト用マニュアル（記入して印刷）</t>
        </is>
      </c>
    </row>
    <row r="10">
      <c r="A10" s="4" t="inlineStr">
        <is>
          <t>場面</t>
        </is>
      </c>
      <c r="B10" s="4" t="inlineStr">
        <is>
          <t>やること（記入）</t>
        </is>
      </c>
      <c r="C10" s="4" t="inlineStr"/>
      <c r="D10" s="4" t="inlineStr"/>
    </row>
    <row r="11" ht="30" customHeight="1">
      <c r="A11" s="23" t="inlineStr">
        <is>
          <t>開店準備（何を・どの順で）</t>
        </is>
      </c>
      <c r="B11" s="16" t="inlineStr"/>
    </row>
    <row r="12" ht="30" customHeight="1">
      <c r="A12" s="23" t="inlineStr">
        <is>
          <t>閉店作業（レジ締め・戸締り）</t>
        </is>
      </c>
      <c r="B12" s="16" t="inlineStr"/>
    </row>
    <row r="13" ht="30" customHeight="1">
      <c r="A13" s="23" t="inlineStr">
        <is>
          <t>お会計のやり方</t>
        </is>
      </c>
      <c r="B13" s="16" t="inlineStr"/>
    </row>
    <row r="14" ht="30" customHeight="1">
      <c r="A14" s="23" t="inlineStr">
        <is>
          <t>予約・LINEの返信ルール</t>
        </is>
      </c>
      <c r="B14" s="16" t="inlineStr"/>
    </row>
    <row r="15" ht="30" customHeight="1">
      <c r="A15" s="23" t="inlineStr">
        <is>
          <t>トラブル時の連絡先（名前・電話）</t>
        </is>
      </c>
      <c r="B15" s="16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4" customWidth="1" min="4" max="4"/>
    <col width="12" customWidth="1" min="5" max="5"/>
    <col width="15" customWidth="1" min="6" max="6"/>
    <col width="12" customWidth="1" min="7" max="7"/>
    <col width="16" customWidth="1" min="8" max="8"/>
  </cols>
  <sheetData>
    <row r="1" ht="28" customHeight="1">
      <c r="A1" s="1" t="inlineStr">
        <is>
          <t>📦 在庫管理表（黄色を入力するだけ）</t>
        </is>
      </c>
    </row>
    <row r="2">
      <c r="A2" s="14" t="inlineStr">
        <is>
          <t>毎月末に「今の在庫数」を入れると、金額と“死に筋（動かないお酒）”が自動でわかります</t>
        </is>
      </c>
    </row>
    <row r="4" ht="34" customHeight="1">
      <c r="A4" s="4" t="inlineStr">
        <is>
          <t>商品名</t>
        </is>
      </c>
      <c r="B4" s="4" t="inlineStr">
        <is>
          <t>仕入価格(円)</t>
        </is>
      </c>
      <c r="C4" s="4" t="inlineStr">
        <is>
          <t>今の在庫数</t>
        </is>
      </c>
      <c r="D4" s="4" t="inlineStr">
        <is>
          <t>先月末の在庫数</t>
        </is>
      </c>
      <c r="E4" s="4" t="inlineStr">
        <is>
          <t>今月の出数
(自動)</t>
        </is>
      </c>
      <c r="F4" s="4" t="inlineStr">
        <is>
          <t>在庫金額(円)
(自動)</t>
        </is>
      </c>
      <c r="G4" s="4" t="inlineStr">
        <is>
          <t>回転
判定(自動)</t>
        </is>
      </c>
      <c r="H4" s="4" t="inlineStr">
        <is>
          <t>開栓日メモ</t>
        </is>
      </c>
    </row>
    <row r="5">
      <c r="A5" s="16" t="inlineStr">
        <is>
          <t>〔例〕山崎12年</t>
        </is>
      </c>
      <c r="B5" s="24" t="n">
        <v>8000</v>
      </c>
      <c r="C5" s="13" t="n">
        <v>2</v>
      </c>
      <c r="D5" s="13" t="n">
        <v>5</v>
      </c>
      <c r="E5" s="12">
        <f>IF(AND(D5&lt;&gt;"",C5&lt;&gt;""),D5-C5,"")</f>
        <v/>
      </c>
      <c r="F5" s="25">
        <f>IF(AND(B5&lt;&gt;"",C5&lt;&gt;""),B5*C5,"")</f>
        <v/>
      </c>
      <c r="G5" s="12">
        <f>IF(E5="","",IF(E5&lt;=0,"死に筋",IF(E5&lt;=1,"やや停滞","OK")))</f>
        <v/>
      </c>
      <c r="H5" s="16" t="inlineStr">
        <is>
          <t>6/1開栓</t>
        </is>
      </c>
    </row>
    <row r="6">
      <c r="A6" s="16" t="inlineStr"/>
      <c r="B6" s="24" t="inlineStr"/>
      <c r="C6" s="13" t="inlineStr"/>
      <c r="D6" s="13" t="inlineStr"/>
      <c r="E6" s="12">
        <f>IF(AND(D6&lt;&gt;"",C6&lt;&gt;""),D6-C6,"")</f>
        <v/>
      </c>
      <c r="F6" s="25">
        <f>IF(AND(B6&lt;&gt;"",C6&lt;&gt;""),B6*C6,"")</f>
        <v/>
      </c>
      <c r="G6" s="12">
        <f>IF(E6="","",IF(E6&lt;=0,"死に筋",IF(E6&lt;=1,"やや停滞","OK")))</f>
        <v/>
      </c>
      <c r="H6" s="16" t="inlineStr"/>
    </row>
    <row r="7">
      <c r="A7" s="16" t="inlineStr"/>
      <c r="B7" s="24" t="inlineStr"/>
      <c r="C7" s="13" t="inlineStr"/>
      <c r="D7" s="13" t="inlineStr"/>
      <c r="E7" s="12">
        <f>IF(AND(D7&lt;&gt;"",C7&lt;&gt;""),D7-C7,"")</f>
        <v/>
      </c>
      <c r="F7" s="25">
        <f>IF(AND(B7&lt;&gt;"",C7&lt;&gt;""),B7*C7,"")</f>
        <v/>
      </c>
      <c r="G7" s="12">
        <f>IF(E7="","",IF(E7&lt;=0,"死に筋",IF(E7&lt;=1,"やや停滞","OK")))</f>
        <v/>
      </c>
      <c r="H7" s="16" t="inlineStr"/>
    </row>
    <row r="8">
      <c r="A8" s="16" t="inlineStr"/>
      <c r="B8" s="24" t="inlineStr"/>
      <c r="C8" s="13" t="inlineStr"/>
      <c r="D8" s="13" t="inlineStr"/>
      <c r="E8" s="12">
        <f>IF(AND(D8&lt;&gt;"",C8&lt;&gt;""),D8-C8,"")</f>
        <v/>
      </c>
      <c r="F8" s="25">
        <f>IF(AND(B8&lt;&gt;"",C8&lt;&gt;""),B8*C8,"")</f>
        <v/>
      </c>
      <c r="G8" s="12">
        <f>IF(E8="","",IF(E8&lt;=0,"死に筋",IF(E8&lt;=1,"やや停滞","OK")))</f>
        <v/>
      </c>
      <c r="H8" s="16" t="inlineStr"/>
    </row>
    <row r="9">
      <c r="A9" s="16" t="inlineStr"/>
      <c r="B9" s="24" t="inlineStr"/>
      <c r="C9" s="13" t="inlineStr"/>
      <c r="D9" s="13" t="inlineStr"/>
      <c r="E9" s="12">
        <f>IF(AND(D9&lt;&gt;"",C9&lt;&gt;""),D9-C9,"")</f>
        <v/>
      </c>
      <c r="F9" s="25">
        <f>IF(AND(B9&lt;&gt;"",C9&lt;&gt;""),B9*C9,"")</f>
        <v/>
      </c>
      <c r="G9" s="12">
        <f>IF(E9="","",IF(E9&lt;=0,"死に筋",IF(E9&lt;=1,"やや停滞","OK")))</f>
        <v/>
      </c>
      <c r="H9" s="16" t="inlineStr"/>
    </row>
    <row r="10">
      <c r="A10" s="16" t="inlineStr"/>
      <c r="B10" s="24" t="inlineStr"/>
      <c r="C10" s="13" t="inlineStr"/>
      <c r="D10" s="13" t="inlineStr"/>
      <c r="E10" s="12">
        <f>IF(AND(D10&lt;&gt;"",C10&lt;&gt;""),D10-C10,"")</f>
        <v/>
      </c>
      <c r="F10" s="25">
        <f>IF(AND(B10&lt;&gt;"",C10&lt;&gt;""),B10*C10,"")</f>
        <v/>
      </c>
      <c r="G10" s="12">
        <f>IF(E10="","",IF(E10&lt;=0,"死に筋",IF(E10&lt;=1,"やや停滞","OK")))</f>
        <v/>
      </c>
      <c r="H10" s="16" t="inlineStr"/>
    </row>
    <row r="11">
      <c r="A11" s="16" t="inlineStr"/>
      <c r="B11" s="24" t="inlineStr"/>
      <c r="C11" s="13" t="inlineStr"/>
      <c r="D11" s="13" t="inlineStr"/>
      <c r="E11" s="12">
        <f>IF(AND(D11&lt;&gt;"",C11&lt;&gt;""),D11-C11,"")</f>
        <v/>
      </c>
      <c r="F11" s="25">
        <f>IF(AND(B11&lt;&gt;"",C11&lt;&gt;""),B11*C11,"")</f>
        <v/>
      </c>
      <c r="G11" s="12">
        <f>IF(E11="","",IF(E11&lt;=0,"死に筋",IF(E11&lt;=1,"やや停滞","OK")))</f>
        <v/>
      </c>
      <c r="H11" s="16" t="inlineStr"/>
    </row>
    <row r="12">
      <c r="A12" s="16" t="inlineStr"/>
      <c r="B12" s="24" t="inlineStr"/>
      <c r="C12" s="13" t="inlineStr"/>
      <c r="D12" s="13" t="inlineStr"/>
      <c r="E12" s="12">
        <f>IF(AND(D12&lt;&gt;"",C12&lt;&gt;""),D12-C12,"")</f>
        <v/>
      </c>
      <c r="F12" s="25">
        <f>IF(AND(B12&lt;&gt;"",C12&lt;&gt;""),B12*C12,"")</f>
        <v/>
      </c>
      <c r="G12" s="12">
        <f>IF(E12="","",IF(E12&lt;=0,"死に筋",IF(E12&lt;=1,"やや停滞","OK")))</f>
        <v/>
      </c>
      <c r="H12" s="16" t="inlineStr"/>
    </row>
    <row r="13">
      <c r="A13" s="16" t="inlineStr"/>
      <c r="B13" s="24" t="inlineStr"/>
      <c r="C13" s="13" t="inlineStr"/>
      <c r="D13" s="13" t="inlineStr"/>
      <c r="E13" s="12">
        <f>IF(AND(D13&lt;&gt;"",C13&lt;&gt;""),D13-C13,"")</f>
        <v/>
      </c>
      <c r="F13" s="25">
        <f>IF(AND(B13&lt;&gt;"",C13&lt;&gt;""),B13*C13,"")</f>
        <v/>
      </c>
      <c r="G13" s="12">
        <f>IF(E13="","",IF(E13&lt;=0,"死に筋",IF(E13&lt;=1,"やや停滞","OK")))</f>
        <v/>
      </c>
      <c r="H13" s="16" t="inlineStr"/>
    </row>
    <row r="14">
      <c r="A14" s="16" t="inlineStr"/>
      <c r="B14" s="24" t="inlineStr"/>
      <c r="C14" s="13" t="inlineStr"/>
      <c r="D14" s="13" t="inlineStr"/>
      <c r="E14" s="12">
        <f>IF(AND(D14&lt;&gt;"",C14&lt;&gt;""),D14-C14,"")</f>
        <v/>
      </c>
      <c r="F14" s="25">
        <f>IF(AND(B14&lt;&gt;"",C14&lt;&gt;""),B14*C14,"")</f>
        <v/>
      </c>
      <c r="G14" s="12">
        <f>IF(E14="","",IF(E14&lt;=0,"死に筋",IF(E14&lt;=1,"やや停滞","OK")))</f>
        <v/>
      </c>
      <c r="H14" s="16" t="inlineStr"/>
    </row>
    <row r="15">
      <c r="A15" s="16" t="inlineStr"/>
      <c r="B15" s="24" t="inlineStr"/>
      <c r="C15" s="13" t="inlineStr"/>
      <c r="D15" s="13" t="inlineStr"/>
      <c r="E15" s="12">
        <f>IF(AND(D15&lt;&gt;"",C15&lt;&gt;""),D15-C15,"")</f>
        <v/>
      </c>
      <c r="F15" s="25">
        <f>IF(AND(B15&lt;&gt;"",C15&lt;&gt;""),B15*C15,"")</f>
        <v/>
      </c>
      <c r="G15" s="12">
        <f>IF(E15="","",IF(E15&lt;=0,"死に筋",IF(E15&lt;=1,"やや停滞","OK")))</f>
        <v/>
      </c>
      <c r="H15" s="16" t="inlineStr"/>
    </row>
    <row r="16">
      <c r="A16" s="16" t="inlineStr"/>
      <c r="B16" s="24" t="inlineStr"/>
      <c r="C16" s="13" t="inlineStr"/>
      <c r="D16" s="13" t="inlineStr"/>
      <c r="E16" s="12">
        <f>IF(AND(D16&lt;&gt;"",C16&lt;&gt;""),D16-C16,"")</f>
        <v/>
      </c>
      <c r="F16" s="25">
        <f>IF(AND(B16&lt;&gt;"",C16&lt;&gt;""),B16*C16,"")</f>
        <v/>
      </c>
      <c r="G16" s="12">
        <f>IF(E16="","",IF(E16&lt;=0,"死に筋",IF(E16&lt;=1,"やや停滞","OK")))</f>
        <v/>
      </c>
      <c r="H16" s="16" t="inlineStr"/>
    </row>
    <row r="17">
      <c r="A17" s="16" t="inlineStr"/>
      <c r="B17" s="24" t="inlineStr"/>
      <c r="C17" s="13" t="inlineStr"/>
      <c r="D17" s="13" t="inlineStr"/>
      <c r="E17" s="12">
        <f>IF(AND(D17&lt;&gt;"",C17&lt;&gt;""),D17-C17,"")</f>
        <v/>
      </c>
      <c r="F17" s="25">
        <f>IF(AND(B17&lt;&gt;"",C17&lt;&gt;""),B17*C17,"")</f>
        <v/>
      </c>
      <c r="G17" s="12">
        <f>IF(E17="","",IF(E17&lt;=0,"死に筋",IF(E17&lt;=1,"やや停滞","OK")))</f>
        <v/>
      </c>
      <c r="H17" s="16" t="inlineStr"/>
    </row>
    <row r="18">
      <c r="A18" s="16" t="inlineStr"/>
      <c r="B18" s="24" t="inlineStr"/>
      <c r="C18" s="13" t="inlineStr"/>
      <c r="D18" s="13" t="inlineStr"/>
      <c r="E18" s="12">
        <f>IF(AND(D18&lt;&gt;"",C18&lt;&gt;""),D18-C18,"")</f>
        <v/>
      </c>
      <c r="F18" s="25">
        <f>IF(AND(B18&lt;&gt;"",C18&lt;&gt;""),B18*C18,"")</f>
        <v/>
      </c>
      <c r="G18" s="12">
        <f>IF(E18="","",IF(E18&lt;=0,"死に筋",IF(E18&lt;=1,"やや停滞","OK")))</f>
        <v/>
      </c>
      <c r="H18" s="16" t="inlineStr"/>
    </row>
    <row r="19">
      <c r="A19" s="16" t="inlineStr"/>
      <c r="B19" s="24" t="inlineStr"/>
      <c r="C19" s="13" t="inlineStr"/>
      <c r="D19" s="13" t="inlineStr"/>
      <c r="E19" s="12">
        <f>IF(AND(D19&lt;&gt;"",C19&lt;&gt;""),D19-C19,"")</f>
        <v/>
      </c>
      <c r="F19" s="25">
        <f>IF(AND(B19&lt;&gt;"",C19&lt;&gt;""),B19*C19,"")</f>
        <v/>
      </c>
      <c r="G19" s="12">
        <f>IF(E19="","",IF(E19&lt;=0,"死に筋",IF(E19&lt;=1,"やや停滞","OK")))</f>
        <v/>
      </c>
      <c r="H19" s="16" t="inlineStr"/>
    </row>
    <row r="20">
      <c r="A20" s="16" t="inlineStr"/>
      <c r="B20" s="24" t="inlineStr"/>
      <c r="C20" s="13" t="inlineStr"/>
      <c r="D20" s="13" t="inlineStr"/>
      <c r="E20" s="12">
        <f>IF(AND(D20&lt;&gt;"",C20&lt;&gt;""),D20-C20,"")</f>
        <v/>
      </c>
      <c r="F20" s="25">
        <f>IF(AND(B20&lt;&gt;"",C20&lt;&gt;""),B20*C20,"")</f>
        <v/>
      </c>
      <c r="G20" s="12">
        <f>IF(E20="","",IF(E20&lt;=0,"死に筋",IF(E20&lt;=1,"やや停滞","OK")))</f>
        <v/>
      </c>
      <c r="H20" s="16" t="inlineStr"/>
    </row>
    <row r="21">
      <c r="A21" s="16" t="inlineStr"/>
      <c r="B21" s="24" t="inlineStr"/>
      <c r="C21" s="13" t="inlineStr"/>
      <c r="D21" s="13" t="inlineStr"/>
      <c r="E21" s="12">
        <f>IF(AND(D21&lt;&gt;"",C21&lt;&gt;""),D21-C21,"")</f>
        <v/>
      </c>
      <c r="F21" s="25">
        <f>IF(AND(B21&lt;&gt;"",C21&lt;&gt;""),B21*C21,"")</f>
        <v/>
      </c>
      <c r="G21" s="12">
        <f>IF(E21="","",IF(E21&lt;=0,"死に筋",IF(E21&lt;=1,"やや停滞","OK")))</f>
        <v/>
      </c>
      <c r="H21" s="16" t="inlineStr"/>
    </row>
    <row r="22">
      <c r="A22" s="16" t="inlineStr"/>
      <c r="B22" s="24" t="inlineStr"/>
      <c r="C22" s="13" t="inlineStr"/>
      <c r="D22" s="13" t="inlineStr"/>
      <c r="E22" s="12">
        <f>IF(AND(D22&lt;&gt;"",C22&lt;&gt;""),D22-C22,"")</f>
        <v/>
      </c>
      <c r="F22" s="25">
        <f>IF(AND(B22&lt;&gt;"",C22&lt;&gt;""),B22*C22,"")</f>
        <v/>
      </c>
      <c r="G22" s="12">
        <f>IF(E22="","",IF(E22&lt;=0,"死に筋",IF(E22&lt;=1,"やや停滞","OK")))</f>
        <v/>
      </c>
      <c r="H22" s="16" t="inlineStr"/>
    </row>
    <row r="23">
      <c r="A23" s="16" t="inlineStr"/>
      <c r="B23" s="24" t="inlineStr"/>
      <c r="C23" s="13" t="inlineStr"/>
      <c r="D23" s="13" t="inlineStr"/>
      <c r="E23" s="12">
        <f>IF(AND(D23&lt;&gt;"",C23&lt;&gt;""),D23-C23,"")</f>
        <v/>
      </c>
      <c r="F23" s="25">
        <f>IF(AND(B23&lt;&gt;"",C23&lt;&gt;""),B23*C23,"")</f>
        <v/>
      </c>
      <c r="G23" s="12">
        <f>IF(E23="","",IF(E23&lt;=0,"死に筋",IF(E23&lt;=1,"やや停滞","OK")))</f>
        <v/>
      </c>
      <c r="H23" s="16" t="inlineStr"/>
    </row>
    <row r="24">
      <c r="A24" s="16" t="inlineStr"/>
      <c r="B24" s="24" t="inlineStr"/>
      <c r="C24" s="13" t="inlineStr"/>
      <c r="D24" s="13" t="inlineStr"/>
      <c r="E24" s="12">
        <f>IF(AND(D24&lt;&gt;"",C24&lt;&gt;""),D24-C24,"")</f>
        <v/>
      </c>
      <c r="F24" s="25">
        <f>IF(AND(B24&lt;&gt;"",C24&lt;&gt;""),B24*C24,"")</f>
        <v/>
      </c>
      <c r="G24" s="12">
        <f>IF(E24="","",IF(E24&lt;=0,"死に筋",IF(E24&lt;=1,"やや停滞","OK")))</f>
        <v/>
      </c>
      <c r="H24" s="16" t="inlineStr"/>
    </row>
    <row r="25">
      <c r="A25" s="26" t="inlineStr">
        <is>
          <t>合計 在庫金額</t>
        </is>
      </c>
      <c r="B25" s="27" t="inlineStr"/>
      <c r="C25" s="27" t="inlineStr"/>
      <c r="D25" s="27" t="inlineStr"/>
      <c r="E25" s="27" t="inlineStr"/>
      <c r="F25" s="28">
        <f>SUM(F5:F24)</f>
        <v/>
      </c>
      <c r="G25" s="27" t="inlineStr"/>
      <c r="H25" s="27" t="inlineStr"/>
    </row>
    <row r="27">
      <c r="A27" s="21" t="inlineStr">
        <is>
          <t>★ 「死に筋」= 3か月動かないお酒。フェアで売り切って、二度と仕入れないのがコツ</t>
        </is>
      </c>
    </row>
  </sheetData>
  <mergeCells count="1">
    <mergeCell ref="A1:H1"/>
  </mergeCells>
  <conditionalFormatting sqref="G5:G24">
    <cfRule type="cellIs" priority="1" operator="equal" dxfId="0">
      <formula>"死に筋"</formula>
    </cfRule>
    <cfRule type="cellIs" priority="2" operator="equal" dxfId="1">
      <formula>"OK"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4" customWidth="1" min="4" max="4"/>
  </cols>
  <sheetData>
    <row r="1" ht="28" customHeight="1">
      <c r="A1" s="1" t="inlineStr">
        <is>
          <t>💰 損益・FLコスト計算（黄色に入力）</t>
        </is>
      </c>
    </row>
    <row r="2">
      <c r="A2" s="14" t="inlineStr">
        <is>
          <t>1か月の数字を入れると、儲かっているか・危険水準かを自動判定します</t>
        </is>
      </c>
    </row>
    <row r="4">
      <c r="A4" s="4" t="inlineStr">
        <is>
          <t>項目</t>
        </is>
      </c>
      <c r="B4" s="4" t="inlineStr">
        <is>
          <t>金額(円)</t>
        </is>
      </c>
      <c r="C4" s="4" t="inlineStr">
        <is>
          <t>説明</t>
        </is>
      </c>
      <c r="D4" s="4" t="inlineStr"/>
    </row>
    <row r="5" ht="24" customHeight="1">
      <c r="A5" s="23" t="inlineStr">
        <is>
          <t>① 月の売上</t>
        </is>
      </c>
      <c r="B5" s="29" t="n">
        <v>1500000</v>
      </c>
      <c r="C5" s="11" t="inlineStr">
        <is>
          <t>入力：1か月の総売上</t>
        </is>
      </c>
    </row>
    <row r="6" ht="24" customHeight="1">
      <c r="A6" s="23" t="inlineStr">
        <is>
          <t>② 原価（お酒・食材）(F)</t>
        </is>
      </c>
      <c r="B6" s="29" t="n">
        <v>400000</v>
      </c>
      <c r="C6" s="11" t="inlineStr">
        <is>
          <t>入力：仕入にかかったお金</t>
        </is>
      </c>
    </row>
    <row r="7" ht="24" customHeight="1">
      <c r="A7" s="23" t="inlineStr">
        <is>
          <t>③ 人件費（バイト給与）(L)</t>
        </is>
      </c>
      <c r="B7" s="29" t="n">
        <v>500000</v>
      </c>
      <c r="C7" s="11" t="inlineStr">
        <is>
          <t>入力：スタッフの給料合計</t>
        </is>
      </c>
    </row>
    <row r="8" ht="24" customHeight="1">
      <c r="A8" s="23" t="inlineStr">
        <is>
          <t>④ 家賃</t>
        </is>
      </c>
      <c r="B8" s="29" t="n">
        <v>250000</v>
      </c>
      <c r="C8" s="11" t="inlineStr">
        <is>
          <t>入力：月の家賃</t>
        </is>
      </c>
    </row>
    <row r="9" ht="24" customHeight="1">
      <c r="A9" s="23" t="inlineStr">
        <is>
          <t>⑤ その他経費</t>
        </is>
      </c>
      <c r="B9" s="29" t="n">
        <v>150000</v>
      </c>
      <c r="C9" s="11" t="inlineStr">
        <is>
          <t>入力：光熱費・雑費など</t>
        </is>
      </c>
    </row>
    <row r="10">
      <c r="A10" s="26" t="inlineStr">
        <is>
          <t>── 自動計算 ──</t>
        </is>
      </c>
      <c r="B10" s="27" t="inlineStr"/>
      <c r="C10" s="27" t="inlineStr"/>
    </row>
    <row r="11" ht="24" customHeight="1">
      <c r="A11" s="30" t="inlineStr">
        <is>
          <t>FLコスト（原価＋人件費）</t>
        </is>
      </c>
      <c r="B11" s="31">
        <f>B6+B7</f>
        <v/>
      </c>
      <c r="C11" s="11" t="inlineStr">
        <is>
          <t>お酒代＋人件費の合計</t>
        </is>
      </c>
    </row>
    <row r="12" ht="24" customHeight="1">
      <c r="A12" s="30" t="inlineStr">
        <is>
          <t>FL比率（売上に対する％）</t>
        </is>
      </c>
      <c r="B12" s="32">
        <f>IF(B5=0,0,(B6+B7)/B5)</f>
        <v/>
      </c>
      <c r="C12" s="11" t="inlineStr">
        <is>
          <t>★60〜65%が適正。70%超は危険！</t>
        </is>
      </c>
    </row>
    <row r="13" ht="24" customHeight="1">
      <c r="A13" s="30" t="inlineStr">
        <is>
          <t>家賃比率（売上に対する％）</t>
        </is>
      </c>
      <c r="B13" s="32">
        <f>IF(B5=0,0,B8/B5)</f>
        <v/>
      </c>
      <c r="C13" s="11" t="inlineStr">
        <is>
          <t>★15%以内が目安</t>
        </is>
      </c>
    </row>
    <row r="14" ht="24" customHeight="1">
      <c r="A14" s="30" t="inlineStr">
        <is>
          <t>総経費</t>
        </is>
      </c>
      <c r="B14" s="31">
        <f>B6+B7+B8+B9</f>
        <v/>
      </c>
      <c r="C14" s="11" t="inlineStr">
        <is>
          <t>すべての経費の合計</t>
        </is>
      </c>
    </row>
    <row r="15" ht="24" customHeight="1">
      <c r="A15" s="30" t="inlineStr">
        <is>
          <t>利益（売上−総経費）</t>
        </is>
      </c>
      <c r="B15" s="31">
        <f>B5-(B6+B7+B8+B9)</f>
        <v/>
      </c>
      <c r="C15" s="11" t="inlineStr">
        <is>
          <t>手元に残るお金</t>
        </is>
      </c>
    </row>
    <row r="16" ht="24" customHeight="1">
      <c r="A16" s="30" t="inlineStr">
        <is>
          <t>利益率</t>
        </is>
      </c>
      <c r="B16" s="32">
        <f>IF(B5=0,0,(B5-(B6+B7+B8+B9))/B5)</f>
        <v/>
      </c>
      <c r="C16" s="11" t="inlineStr">
        <is>
          <t>10%以上あると安心</t>
        </is>
      </c>
    </row>
    <row r="17">
      <c r="A17" s="33" t="inlineStr">
        <is>
          <t>🚦 健康診断</t>
        </is>
      </c>
      <c r="B17" s="34" t="inlineStr"/>
      <c r="C17" s="34" t="inlineStr"/>
    </row>
    <row r="18">
      <c r="A18" s="5" t="inlineStr">
        <is>
          <t>FL比率の判定</t>
        </is>
      </c>
      <c r="B18" s="9">
        <f>IF(B12=0,"データ待ち",IF(B12&gt;0.7,"危険!要改善",IF(B12&gt;0.65,"やや高い","健全")))</f>
        <v/>
      </c>
      <c r="C18" s="11" t="inlineStr">
        <is>
          <t>70%超=危険 / 66〜70%=やや高い / 65%以下=健全</t>
        </is>
      </c>
    </row>
    <row r="19">
      <c r="A19" s="5" t="inlineStr">
        <is>
          <t>利益の判定</t>
        </is>
      </c>
      <c r="B19" s="9">
        <f>IF(B15&gt;0,"黒字 ◎","赤字 ×")</f>
        <v/>
      </c>
      <c r="C19" s="11" t="inlineStr">
        <is>
          <t>プラスなら黒字、マイナスなら赤字</t>
        </is>
      </c>
    </row>
    <row r="21">
      <c r="A21" s="14" t="inlineStr">
        <is>
          <t>※ 数字は例です。黄色いセルをあなたのお店の数字に書き換えてください（青字＝入力欄）</t>
        </is>
      </c>
    </row>
  </sheetData>
  <mergeCells count="1">
    <mergeCell ref="A1:D1"/>
  </mergeCells>
  <conditionalFormatting sqref="B18">
    <cfRule type="cellIs" priority="1" operator="containsText" dxfId="0">
      <formula>"危険"</formula>
    </cfRule>
    <cfRule type="cellIs" priority="2" operator="containsText" dxfId="1">
      <formula>"健全"</formula>
    </cfRule>
  </conditionalFormatting>
  <conditionalFormatting sqref="B19">
    <cfRule type="cellIs" priority="3" operator="containsText" dxfId="1">
      <formula>"黒字"</formula>
    </cfRule>
    <cfRule type="cellIs" priority="4" operator="containsText" dxfId="0">
      <formula>"赤字"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2026-08-09T17:59:58Z</dcterms:created>
  <dcterms:modified xsi:type="dcterms:W3CDTF">2026-08-09T17:59:58Z</dcterms:modified>
</cp:coreProperties>
</file>