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 Summary" sheetId="1" state="visible" r:id="rId1"/>
    <sheet name="02_Assumptions" sheetId="2" state="visible" r:id="rId2"/>
    <sheet name="24_仮置き一覧" sheetId="3" state="visible" r:id="rId3"/>
    <sheet name="19_通関費用実績" sheetId="4" state="visible" r:id="rId4"/>
    <sheet name="23_800個通関費試算" sheetId="5" state="visible" r:id="rId5"/>
    <sheet name="25_チャネル別手数料" sheetId="6" state="visible" r:id="rId6"/>
    <sheet name="20_販売実績・CVR" sheetId="7" state="visible" r:id="rId7"/>
    <sheet name="21_補填判断" sheetId="8" state="visible" r:id="rId8"/>
    <sheet name="22_必要経費3ヶ月" sheetId="9" state="visible" r:id="rId9"/>
    <sheet name="03_Market" sheetId="10" state="visible" r:id="rId10"/>
    <sheet name="04_Competitor" sheetId="11" state="visible" r:id="rId11"/>
    <sheet name="05_Pricing" sheetId="12" state="visible" r:id="rId12"/>
    <sheet name="06_Unit Economics" sheetId="13" state="visible" r:id="rId13"/>
    <sheet name="07_Sales Forecast" sheetId="14" state="visible" r:id="rId14"/>
    <sheet name="08_Advertising" sheetId="15" state="visible" r:id="rId15"/>
    <sheet name="09_Funnel" sheetId="16" state="visible" r:id="rId16"/>
    <sheet name="10_P&amp;L" sheetId="17" state="visible" r:id="rId17"/>
    <sheet name="11_Cash Flow" sheetId="18" state="visible" r:id="rId18"/>
    <sheet name="12_Inventory" sheetId="19" state="visible" r:id="rId19"/>
    <sheet name="13_Scenario" sheetId="20" state="visible" r:id="rId20"/>
    <sheet name="14_Risk" sheetId="21" state="visible" r:id="rId21"/>
    <sheet name="15_MVP" sheetId="22" state="visible" r:id="rId22"/>
    <sheet name="16_KPI Dashboard" sheetId="23" state="visible" r:id="rId23"/>
    <sheet name="17_Action Plan" sheetId="24" state="visible" r:id="rId24"/>
    <sheet name="18_Premortem &amp; Sco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¥#,##0"/>
    <numFmt numFmtId="167" formatCode="0.0000"/>
    <numFmt numFmtId="168" formatCode="#,##0.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9"/>
    </font>
    <font>
      <name val="Arial"/>
      <b val="1"/>
      <color rgb="FFFFFFFF"/>
      <sz val="9"/>
    </font>
    <font>
      <name val="Arial"/>
      <sz val="10"/>
    </font>
    <font>
      <name val="Arial"/>
      <color rgb="FF0000FF"/>
      <sz val="10"/>
    </font>
    <font>
      <name val="Arial"/>
      <b val="1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4" borderId="1" pivotButton="0" quotePrefix="0" xfId="0"/>
    <xf numFmtId="0" fontId="4" fillId="5" borderId="1" pivotButton="0" quotePrefix="0" xfId="0"/>
    <xf numFmtId="0" fontId="2" fillId="0" borderId="1" applyAlignment="1" pivotButton="0" quotePrefix="0" xfId="0">
      <alignment vertical="center" wrapText="1"/>
    </xf>
    <xf numFmtId="3" fontId="5" fillId="0" borderId="1" pivotButton="0" quotePrefix="0" xfId="0"/>
    <xf numFmtId="3" fontId="5" fillId="4" borderId="1" pivotButton="0" quotePrefix="0" xfId="0"/>
    <xf numFmtId="0" fontId="4" fillId="6" borderId="1" pivotButton="0" quotePrefix="0" xfId="0"/>
    <xf numFmtId="165" fontId="5" fillId="0" borderId="1" pivotButton="0" quotePrefix="0" xfId="0"/>
    <xf numFmtId="165" fontId="5" fillId="4" borderId="1" pivotButton="0" quotePrefix="0" xfId="0"/>
    <xf numFmtId="0" fontId="2" fillId="7" borderId="1" applyAlignment="1" pivotButton="0" quotePrefix="0" xfId="0">
      <alignment vertical="center" wrapText="1"/>
    </xf>
    <xf numFmtId="0" fontId="6" fillId="8" borderId="0" pivotButton="0" quotePrefix="0" xfId="0"/>
    <xf numFmtId="0" fontId="7" fillId="0" borderId="1" pivotButton="0" quotePrefix="0" xfId="0"/>
    <xf numFmtId="166" fontId="7" fillId="8" borderId="1" pivotButton="0" quotePrefix="0" xfId="0"/>
    <xf numFmtId="165" fontId="7" fillId="8" borderId="1" pivotButton="0" quotePrefix="0" xfId="0"/>
    <xf numFmtId="3" fontId="7" fillId="8" borderId="1" pivotButton="0" quotePrefix="0" xfId="0"/>
    <xf numFmtId="167" fontId="7" fillId="8" borderId="1" pivotButton="0" quotePrefix="0" xfId="0"/>
    <xf numFmtId="168" fontId="7" fillId="8" borderId="1" pivotButton="0" quotePrefix="0" xfId="0"/>
    <xf numFmtId="0" fontId="1" fillId="2" borderId="0" applyAlignment="1" pivotButton="0" quotePrefix="0" xfId="0">
      <alignment horizontal="center" vertical="center"/>
    </xf>
    <xf numFmtId="166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6" borderId="1" pivotButton="0" quotePrefix="0" xfId="0"/>
    <xf numFmtId="166" fontId="4" fillId="5" borderId="1" pivotButton="0" quotePrefix="0" xfId="0"/>
    <xf numFmtId="0" fontId="4" fillId="7" borderId="1" pivotButton="0" quotePrefix="0" xfId="0"/>
    <xf numFmtId="166" fontId="4" fillId="7" borderId="1" pivotButton="0" quotePrefix="0" xfId="0"/>
    <xf numFmtId="166" fontId="4" fillId="4" borderId="1" pivotButton="0" quotePrefix="0" xfId="0"/>
    <xf numFmtId="0" fontId="7" fillId="8" borderId="1" pivotButton="0" quotePrefix="0" xfId="0"/>
    <xf numFmtId="3" fontId="4" fillId="7" borderId="1" pivotButton="0" quotePrefix="0" xfId="0"/>
    <xf numFmtId="165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7" fillId="7" borderId="1" pivotButton="0" quotePrefix="0" xfId="0"/>
    <xf numFmtId="166" fontId="7" fillId="0" borderId="1" pivotButton="0" quotePrefix="0" xfId="0"/>
    <xf numFmtId="166" fontId="7" fillId="7" borderId="1" pivotButton="0" quotePrefix="0" xfId="0"/>
    <xf numFmtId="165" fontId="7" fillId="7" borderId="1" pivotButton="0" quotePrefix="0" xfId="0"/>
    <xf numFmtId="0" fontId="1" fillId="2" borderId="0" applyAlignment="1" pivotButton="0" quotePrefix="0" xfId="0">
      <alignment horizontal="center" vertical="center"/>
    </xf>
    <xf numFmtId="168" fontId="7" fillId="7" borderId="1" pivotButton="0" quotePrefix="0" xfId="0"/>
    <xf numFmtId="168" fontId="4" fillId="7" borderId="1" pivotButton="0" quotePrefix="0" xfId="0"/>
    <xf numFmtId="168" fontId="4" fillId="5" borderId="1" pivotButton="0" quotePrefix="0" xfId="0"/>
    <xf numFmtId="168" fontId="4" fillId="0" borderId="1" pivotButton="0" quotePrefix="0" xfId="0"/>
    <xf numFmtId="3" fontId="4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5" borderId="1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3" fontId="4" fillId="4" borderId="1" pivotButton="0" quotePrefix="0" xfId="0"/>
    <xf numFmtId="168" fontId="4" fillId="4" borderId="1" pivotButton="0" quotePrefix="0" xfId="0"/>
    <xf numFmtId="168" fontId="4" fillId="6" borderId="1" pivotButton="0" quotePrefix="0" xfId="0"/>
    <xf numFmtId="0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3" fontId="7" fillId="0" borderId="1" pivotButton="0" quotePrefix="0" xfId="0"/>
    <xf numFmtId="3" fontId="7" fillId="7" borderId="1" pivotButton="0" quotePrefix="0" xfId="0"/>
    <xf numFmtId="0" fontId="1" fillId="2" borderId="0" applyAlignment="1" pivotButton="0" quotePrefix="0" xfId="0">
      <alignment horizontal="center" vertical="center"/>
    </xf>
    <xf numFmtId="3" fontId="7" fillId="6" borderId="1" pivotButton="0" quotePrefix="0" xfId="0"/>
    <xf numFmtId="0" fontId="7" fillId="0" borderId="0" applyAlignment="1" pivotButton="0" quotePrefix="0" xfId="0">
      <alignment vertical="center" wrapText="1"/>
    </xf>
    <xf numFmtId="169" fontId="7" fillId="7" borderId="1" pivotButton="0" quotePrefix="0" xfId="0"/>
    <xf numFmtId="0" fontId="7" fillId="8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165" fontId="4" fillId="7" borderId="1" pivotButton="0" quotePrefix="0" xfId="0"/>
    <xf numFmtId="0" fontId="6" fillId="7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164" fontId="4" fillId="4" borderId="1" pivotButton="0" quotePrefix="0" xfId="0"/>
    <xf numFmtId="167" fontId="4" fillId="0" borderId="1" pivotButton="0" quotePrefix="0" xfId="0"/>
    <xf numFmtId="166" fontId="7" fillId="6" borderId="1" pivotButton="0" quotePrefix="0" xfId="0"/>
    <xf numFmtId="0" fontId="7" fillId="4" borderId="1" pivotButton="0" quotePrefix="0" xfId="0"/>
    <xf numFmtId="165" fontId="4" fillId="6" borderId="1" pivotButton="0" quotePrefix="0" xfId="0"/>
    <xf numFmtId="0" fontId="1" fillId="2" borderId="0" applyAlignment="1" pivotButton="0" quotePrefix="0" xfId="0">
      <alignment horizontal="center" vertical="center"/>
    </xf>
    <xf numFmtId="3" fontId="4" fillId="8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6" customWidth="1" min="4" max="4"/>
    <col width="62" customWidth="1" min="5" max="5"/>
  </cols>
  <sheetData>
    <row r="1">
      <c r="A1" s="83" t="inlineStr">
        <is>
          <t>LIBETEE KOREA ｜ スーツケース800個 大量入荷 投資審査</t>
        </is>
      </c>
    </row>
    <row r="2">
      <c r="A2" s="2" t="inlineStr">
        <is>
          <t>対象: 今後入荷予定800個への投資判断 ／ 審査日 2026-09-16 ／ A=投資委員会・B=経営者モード ／ 数値は 02_Assumptions と連動</t>
        </is>
      </c>
    </row>
    <row r="4">
      <c r="A4" s="14" t="inlineStr">
        <is>
          <t>【結論】</t>
        </is>
      </c>
    </row>
    <row r="5">
      <c r="A5" s="45" t="inlineStr">
        <is>
          <t>1. ★これは不足データを仮値で埋めた「叩き」です。仮置きした28項目は 24_仮置き一覧 にまとめてあります。影響度Aの5項目を実数に差し替えると結論が変わりえます。</t>
        </is>
      </c>
    </row>
    <row r="6">
      <c r="A6" s="45" t="inlineStr">
        <is>
          <t>2. 仮値ベースでも、悲観 −5,154,410円／標準 −2,450,472円／楽観 −90,600円と、3シナリオすべてが年間赤字。楽観（月100個・CPA3,600円）でようやく損益トントンです。</t>
        </is>
      </c>
    </row>
    <row r="7">
      <c r="A7" s="45" t="inlineStr">
        <is>
          <t>3. 損益分岐は月131個＝年1,572個。800個／年では数量が約半分しかありません。反転条件は「CVRを1%に上げる」か「通関費・仕入単価をさらに下げる」の2つです。</t>
        </is>
      </c>
    </row>
    <row r="9">
      <c r="A9" s="14" t="inlineStr">
        <is>
          <t>【投資判断】</t>
        </is>
      </c>
    </row>
    <row r="10">
      <c r="A10" s="3" t="inlineStr">
        <is>
          <t>項目</t>
        </is>
      </c>
      <c r="B10" s="3" t="inlineStr">
        <is>
          <t>判定・数値</t>
        </is>
      </c>
      <c r="C10" s="3" t="inlineStr"/>
      <c r="D10" s="3" t="inlineStr"/>
      <c r="E10" s="3" t="inlineStr">
        <is>
          <t>根拠</t>
        </is>
      </c>
    </row>
    <row r="11">
      <c r="A11" s="15" t="inlineStr">
        <is>
          <t>投資判断（800個一括）</t>
        </is>
      </c>
      <c r="B11" s="46" t="inlineStr">
        <is>
          <t>条件付きHOLD</t>
        </is>
      </c>
      <c r="C11" s="15" t="inlineStr"/>
      <c r="D11" s="15" t="inlineStr"/>
      <c r="E11" s="47" t="inlineStr">
        <is>
          <t>仮値ベースで楽観ケースがほぼトントン。24_仮置き一覧の影響度A5件を確定させてから再審査</t>
        </is>
      </c>
    </row>
    <row r="12">
      <c r="A12" s="4" t="inlineStr">
        <is>
          <t>総合スコア</t>
        </is>
      </c>
      <c r="B12" s="27" t="inlineStr">
        <is>
          <t>33.8 / 100</t>
        </is>
      </c>
      <c r="C12" s="4" t="inlineStr"/>
      <c r="D12" s="4" t="inlineStr"/>
      <c r="E12" s="48" t="inlineStr">
        <is>
          <t>18_Premortem &amp; Score の12項目評価（仮値ベース）</t>
        </is>
      </c>
    </row>
    <row r="13">
      <c r="A13" s="4" t="inlineStr">
        <is>
          <t>損益分岐売上（月）</t>
        </is>
      </c>
      <c r="B13" s="22">
        <f>'02_Assumptions'!$B$69</f>
        <v>3497700</v>
      </c>
      <c r="C13" s="4" t="inlineStr"/>
      <c r="D13" s="4" t="inlineStr"/>
      <c r="E13" s="4" t="inlineStr">
        <is>
          <t>損益分岐数量×平均単価</t>
        </is>
      </c>
    </row>
    <row r="14">
      <c r="A14" s="4" t="inlineStr">
        <is>
          <t>損益分岐販売数（月）</t>
        </is>
      </c>
      <c r="B14" s="23">
        <f>'02_Assumptions'!$B$67</f>
        <v>131</v>
      </c>
      <c r="C14" s="4" t="inlineStr"/>
      <c r="D14" s="4" t="inlineStr"/>
      <c r="E14" s="4" t="inlineStr">
        <is>
          <t>固定費 ÷ 平均限界利益</t>
        </is>
      </c>
    </row>
    <row r="15">
      <c r="A15" s="4" t="inlineStr">
        <is>
          <t>損益分岐販売数（年）</t>
        </is>
      </c>
      <c r="B15" s="23">
        <f>'02_Assumptions'!$B$68</f>
        <v>1572</v>
      </c>
      <c r="C15" s="4" t="inlineStr"/>
      <c r="D15" s="4" t="inlineStr"/>
      <c r="E15" s="4" t="inlineStr">
        <is>
          <t>800個／年では約半分</t>
        </is>
      </c>
    </row>
    <row r="16">
      <c r="A16" s="4" t="inlineStr">
        <is>
          <t>MIX 粗利/個</t>
        </is>
      </c>
      <c r="B16" s="26">
        <f>'02_Assumptions'!$B$61</f>
        <v>7732</v>
      </c>
      <c r="C16" s="4" t="inlineStr"/>
      <c r="D16" s="4" t="inlineStr"/>
      <c r="E16" s="4" t="inlineStr">
        <is>
          <t>通関費1,000円・返品400円・ポイント800円を算入後</t>
        </is>
      </c>
    </row>
    <row r="17">
      <c r="A17" s="4" t="inlineStr">
        <is>
          <t>MIX 限界利益/個</t>
        </is>
      </c>
      <c r="B17" s="26">
        <f>'02_Assumptions'!$B$63</f>
        <v>3232</v>
      </c>
      <c r="C17" s="4" t="inlineStr"/>
      <c r="D17" s="4" t="inlineStr"/>
      <c r="E17" s="4" t="inlineStr">
        <is>
          <t>@目標CPA4,500円</t>
        </is>
      </c>
    </row>
    <row r="18">
      <c r="A18" s="4" t="inlineStr">
        <is>
          <t>限界利益ベース LTV/CAC</t>
        </is>
      </c>
      <c r="B18" s="27" t="inlineStr">
        <is>
          <t>0.72 倍</t>
        </is>
      </c>
      <c r="C18" s="4" t="inlineStr"/>
      <c r="D18" s="4" t="inlineStr"/>
      <c r="E18" s="48" t="inlineStr">
        <is>
          <t>3,232円 ÷ CPA4,500円。1を下回る＝広告費を回収できていない</t>
        </is>
      </c>
    </row>
    <row r="19">
      <c r="A19" s="4" t="inlineStr">
        <is>
          <t>実績CVR（9/8-9/10）</t>
        </is>
      </c>
      <c r="B19" s="27" t="inlineStr">
        <is>
          <t>0.0%</t>
        </is>
      </c>
      <c r="C19" s="4" t="inlineStr"/>
      <c r="D19" s="4" t="inlineStr"/>
      <c r="E19" s="4" t="inlineStr">
        <is>
          <t>ネイバー訪問1,207件・新規購入0件</t>
        </is>
      </c>
    </row>
    <row r="20">
      <c r="A20" s="4" t="inlineStr">
        <is>
          <t>800個 仕入原価</t>
        </is>
      </c>
      <c r="B20" s="22">
        <f>'02_Assumptions'!$B$71</f>
        <v>12320000</v>
      </c>
      <c r="C20" s="4" t="inlineStr"/>
      <c r="D20" s="4" t="inlineStr"/>
      <c r="E20" s="4" t="inlineStr">
        <is>
          <t>仮ミックス S40:M40:L20</t>
        </is>
      </c>
    </row>
    <row r="21">
      <c r="A21" s="4" t="inlineStr">
        <is>
          <t>最大運転資金</t>
        </is>
      </c>
      <c r="B21" s="27" t="inlineStr">
        <is>
          <t>¥16,660,145</t>
        </is>
      </c>
      <c r="C21" s="4" t="inlineStr"/>
      <c r="D21" s="4" t="inlineStr"/>
      <c r="E21" s="4" t="inlineStr">
        <is>
          <t>仕入＋固定費3ヶ月＋広告3ヶ月＋次回支払い＋通関</t>
        </is>
      </c>
    </row>
    <row r="22">
      <c r="A22" s="4" t="inlineStr">
        <is>
          <t>手元キャッシュ（仮）</t>
        </is>
      </c>
      <c r="B22" s="27" t="inlineStr">
        <is>
          <t>¥5,000,000</t>
        </is>
      </c>
      <c r="C22" s="4" t="inlineStr"/>
      <c r="D22" s="4" t="inlineStr"/>
      <c r="E22" s="4" t="inlineStr">
        <is>
          <t>★完全な仮値。実額との差が発注可否を決める</t>
        </is>
      </c>
    </row>
    <row r="24">
      <c r="A24" s="14" t="inlineStr">
        <is>
          <t>【最大の勝ち筋】</t>
        </is>
      </c>
    </row>
    <row r="25">
      <c r="A25" s="49" t="inlineStr">
        <is>
          <t>1. CVRの改善。訪問1,207件・購入0件を1.0%にできれば、同じ広告費で月12個売れる。在庫を1個も増やさずに売上が立つ、最も費用対効果の高い打ち手。</t>
        </is>
      </c>
    </row>
    <row r="26">
      <c r="A26" s="49" t="inlineStr">
        <is>
          <t>2. 通関費のさらなる低減。800個で1,000円/個（仮）まで下がる想定だが、通関士見積で500円まで下がれば限界利益は3,232→3,732円、損益分岐は131→113個/月。</t>
        </is>
      </c>
    </row>
    <row r="27">
      <c r="A27" s="49" t="inlineStr">
        <is>
          <t>3. 仕入単価の数量割引。▲20%取れれば限界利益は3,232→6,312円、損益分岐は131→67個/月まで改善し、800個で損益分岐に到達する。</t>
        </is>
      </c>
    </row>
    <row r="29">
      <c r="A29" s="14" t="inlineStr">
        <is>
          <t>【最大のリスク】</t>
        </is>
      </c>
    </row>
    <row r="30">
      <c r="A30" s="49" t="inlineStr">
        <is>
          <t>1. 売れない在庫の積み増し。CVR 0.0%の状態で800個を入れると、滞留在庫の評価額は最大1,232万円。</t>
        </is>
      </c>
    </row>
    <row r="31">
      <c r="A31" s="49" t="inlineStr">
        <is>
          <t>2. キャッシュ枯渇。最大運転資金1,666万円に対し、手元キャッシュ（仮500万円）が大幅に不足。実額の確認が最優先。</t>
        </is>
      </c>
    </row>
    <row r="32">
      <c r="A32" s="49" t="inlineStr">
        <is>
          <t>3. 手数料前提の崩壊。ご指定の4%に対し、チャネル加重平均の推定は11.4%（25_チャネル別手数料）。実態がそちらなら限界利益は3,232→1,257円。</t>
        </is>
      </c>
    </row>
    <row r="34">
      <c r="A34" s="14" t="inlineStr">
        <is>
          <t>この資料の性質</t>
        </is>
      </c>
    </row>
    <row r="35">
      <c r="A35" s="2" t="inlineStr">
        <is>
          <t>★このシートは「仮値で埋めた叩き」です。24_仮置き一覧 に仮置き28項目と差し替え先をまとめています。</t>
        </is>
      </c>
    </row>
    <row r="36">
      <c r="A36" s="2" t="inlineStr">
        <is>
          <t>実績データ：支出実績2025.12-2026.08／原価S10万W・M15万W／売価S21,900・M27,900円／9/10通関実費1,045,911W／9/8-9/10販売実績。</t>
        </is>
      </c>
    </row>
    <row r="37">
      <c r="A37" s="2" t="inlineStr">
        <is>
          <t>02_Assumptions の黄色セルを実数に書き換えると、全25シートが自動で再計算されます。</t>
        </is>
      </c>
    </row>
  </sheetData>
  <mergeCells count="19">
    <mergeCell ref="A30:E30"/>
    <mergeCell ref="A34:E34"/>
    <mergeCell ref="A24:E24"/>
    <mergeCell ref="A1:E1"/>
    <mergeCell ref="A36:E36"/>
    <mergeCell ref="A6:E6"/>
    <mergeCell ref="A7:E7"/>
    <mergeCell ref="A25:E25"/>
    <mergeCell ref="A37:E37"/>
    <mergeCell ref="A27:E27"/>
    <mergeCell ref="A26:E26"/>
    <mergeCell ref="A2:E2"/>
    <mergeCell ref="A5:E5"/>
    <mergeCell ref="A32:E32"/>
    <mergeCell ref="A29:E29"/>
    <mergeCell ref="A4:E4"/>
    <mergeCell ref="A35:E35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60" customWidth="1" min="5" max="5"/>
  </cols>
  <sheetData>
    <row r="1">
      <c r="A1" s="83" t="inlineStr">
        <is>
          <t>前提条件（Assumptions）— 全シートはここを参照</t>
        </is>
      </c>
    </row>
    <row r="2">
      <c r="A2" s="2" t="inlineStr">
        <is>
          <t>確度: 実績=提出済みの実データ ／ 仮=叩き用に置いた値（24_仮置き一覧に全件リスト）／ 指定=ご指定値。黄色セル＝差し替え対象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確度</t>
        </is>
      </c>
      <c r="E4" s="3" t="inlineStr">
        <is>
          <t>根拠・置き方／差し替え先</t>
        </is>
      </c>
    </row>
    <row r="5">
      <c r="A5" s="4" t="inlineStr">
        <is>
          <t>為替レート</t>
        </is>
      </c>
      <c r="B5" s="5" t="n">
        <v>0.11</v>
      </c>
      <c r="C5" s="4" t="inlineStr">
        <is>
          <t>円/ウォン</t>
        </is>
      </c>
      <c r="D5" s="6" t="inlineStr">
        <is>
          <t>仮</t>
        </is>
      </c>
      <c r="E5" s="7" t="inlineStr">
        <is>
          <t>1円≒9.09ウォン。実レートで要更新</t>
        </is>
      </c>
    </row>
    <row r="6">
      <c r="A6" s="4" t="inlineStr">
        <is>
          <t>売価 S</t>
        </is>
      </c>
      <c r="B6" s="8" t="n">
        <v>21900</v>
      </c>
      <c r="C6" s="4" t="inlineStr">
        <is>
          <t>円</t>
        </is>
      </c>
      <c r="D6" s="4" t="inlineStr">
        <is>
          <t>指定</t>
        </is>
      </c>
      <c r="E6" s="7" t="inlineStr">
        <is>
          <t>ご指定</t>
        </is>
      </c>
    </row>
    <row r="7">
      <c r="A7" s="4" t="inlineStr">
        <is>
          <t>売価 M</t>
        </is>
      </c>
      <c r="B7" s="8" t="n">
        <v>27900</v>
      </c>
      <c r="C7" s="4" t="inlineStr">
        <is>
          <t>円</t>
        </is>
      </c>
      <c r="D7" s="4" t="inlineStr">
        <is>
          <t>指定</t>
        </is>
      </c>
      <c r="E7" s="7" t="inlineStr">
        <is>
          <t>ご指定</t>
        </is>
      </c>
    </row>
    <row r="8">
      <c r="A8" s="4" t="inlineStr">
        <is>
          <t>売価 L</t>
        </is>
      </c>
      <c r="B8" s="9" t="n">
        <v>33900</v>
      </c>
      <c r="C8" s="4" t="inlineStr">
        <is>
          <t>円</t>
        </is>
      </c>
      <c r="D8" s="6" t="inlineStr">
        <is>
          <t>仮</t>
        </is>
      </c>
      <c r="E8" s="7" t="inlineStr">
        <is>
          <t>S→Mの刻み+6,000円から外挿</t>
        </is>
      </c>
    </row>
    <row r="9">
      <c r="A9" s="4" t="inlineStr">
        <is>
          <t>仕入原価 S</t>
        </is>
      </c>
      <c r="B9" s="8" t="n">
        <v>100000</v>
      </c>
      <c r="C9" s="4" t="inlineStr">
        <is>
          <t>ウォン</t>
        </is>
      </c>
      <c r="D9" s="10" t="inlineStr">
        <is>
          <t>実績</t>
        </is>
      </c>
      <c r="E9" s="7" t="inlineStr">
        <is>
          <t>スーツケース_仕入状況</t>
        </is>
      </c>
    </row>
    <row r="10">
      <c r="A10" s="4" t="inlineStr">
        <is>
          <t>仕入原価 M</t>
        </is>
      </c>
      <c r="B10" s="8" t="n">
        <v>150000</v>
      </c>
      <c r="C10" s="4" t="inlineStr">
        <is>
          <t>ウォン</t>
        </is>
      </c>
      <c r="D10" s="10" t="inlineStr">
        <is>
          <t>実績</t>
        </is>
      </c>
      <c r="E10" s="7" t="inlineStr">
        <is>
          <t>スーツケース_仕入状況</t>
        </is>
      </c>
    </row>
    <row r="11">
      <c r="A11" s="4" t="inlineStr">
        <is>
          <t>仕入原価 L</t>
        </is>
      </c>
      <c r="B11" s="9" t="n">
        <v>200000</v>
      </c>
      <c r="C11" s="4" t="inlineStr">
        <is>
          <t>ウォン</t>
        </is>
      </c>
      <c r="D11" s="6" t="inlineStr">
        <is>
          <t>仮</t>
        </is>
      </c>
      <c r="E11" s="7" t="inlineStr">
        <is>
          <t>S→Mの刻み+50,000Wから外挿</t>
        </is>
      </c>
    </row>
    <row r="12">
      <c r="A12" s="4" t="inlineStr">
        <is>
          <t>モール/決済手数料率</t>
        </is>
      </c>
      <c r="B12" s="11" t="n">
        <v>0.04</v>
      </c>
      <c r="C12" s="4" t="inlineStr">
        <is>
          <t>—</t>
        </is>
      </c>
      <c r="D12" s="4" t="inlineStr">
        <is>
          <t>指定</t>
        </is>
      </c>
      <c r="E12" s="7" t="inlineStr">
        <is>
          <t>ご指定4%。チャネル実態は25_チャネル別手数料 参照（推定11.4%）</t>
        </is>
      </c>
    </row>
    <row r="13">
      <c r="A13" s="4" t="inlineStr">
        <is>
          <t>送料（自社負担）</t>
        </is>
      </c>
      <c r="B13" s="8" t="n">
        <v>300</v>
      </c>
      <c r="C13" s="4" t="inlineStr">
        <is>
          <t>円/個</t>
        </is>
      </c>
      <c r="D13" s="4" t="inlineStr">
        <is>
          <t>指定</t>
        </is>
      </c>
      <c r="E13" s="7" t="inlineStr">
        <is>
          <t>ご指定</t>
        </is>
      </c>
    </row>
    <row r="14">
      <c r="A14" s="4" t="inlineStr">
        <is>
          <t>通関費/個（800個ロット）</t>
        </is>
      </c>
      <c r="B14" s="9" t="n">
        <v>1000</v>
      </c>
      <c r="C14" s="4" t="inlineStr">
        <is>
          <t>円/個</t>
        </is>
      </c>
      <c r="D14" s="6" t="inlineStr">
        <is>
          <t>仮</t>
        </is>
      </c>
      <c r="E14" s="7" t="inlineStr">
        <is>
          <t>23_800個通関費試算の積み上げ。33個便実績2,919円の34%</t>
        </is>
      </c>
    </row>
    <row r="15">
      <c r="A15" s="4" t="inlineStr">
        <is>
          <t>通関費/個（33個便実績）</t>
        </is>
      </c>
      <c r="B15" s="8" t="n">
        <v>2919</v>
      </c>
      <c r="C15" s="4" t="inlineStr">
        <is>
          <t>円/個</t>
        </is>
      </c>
      <c r="D15" s="10" t="inlineStr">
        <is>
          <t>実績</t>
        </is>
      </c>
      <c r="E15" s="7" t="inlineStr">
        <is>
          <t>LJ関税事務所 9/10請求 875,675W(VAT除)÷33個×0.11。現在庫22個はこの原価</t>
        </is>
      </c>
    </row>
    <row r="16">
      <c r="A16" s="4" t="inlineStr">
        <is>
          <t>返品引当</t>
        </is>
      </c>
      <c r="B16" s="9" t="n">
        <v>400</v>
      </c>
      <c r="C16" s="4" t="inlineStr">
        <is>
          <t>円/個</t>
        </is>
      </c>
      <c r="D16" s="6" t="inlineStr">
        <is>
          <t>仮</t>
        </is>
      </c>
      <c r="E16" s="7" t="inlineStr">
        <is>
          <t>返品率5% × 1件あたり損失8,000円（往復送料+検品+価値毀損）</t>
        </is>
      </c>
    </row>
    <row r="17">
      <c r="A17" s="4" t="inlineStr">
        <is>
          <t>ポイント/クーポン負担</t>
        </is>
      </c>
      <c r="B17" s="9" t="n">
        <v>800</v>
      </c>
      <c r="C17" s="4" t="inlineStr">
        <is>
          <t>円/個</t>
        </is>
      </c>
      <c r="D17" s="6" t="inlineStr">
        <is>
          <t>仮</t>
        </is>
      </c>
      <c r="E17" s="7" t="inlineStr">
        <is>
          <t>売価の3%。ネイバーポイント/クーパンキャッシュ/楽天SPU相当</t>
        </is>
      </c>
    </row>
    <row r="18">
      <c r="A18" s="4" t="inlineStr">
        <is>
          <t>目標CPA</t>
        </is>
      </c>
      <c r="B18" s="8" t="n">
        <v>4500</v>
      </c>
      <c r="C18" s="4" t="inlineStr">
        <is>
          <t>円</t>
        </is>
      </c>
      <c r="D18" s="4" t="inlineStr">
        <is>
          <t>指定</t>
        </is>
      </c>
      <c r="E18" s="7" t="inlineStr">
        <is>
          <t>社内基準（客単価3万×15%）</t>
        </is>
      </c>
    </row>
    <row r="19">
      <c r="A19" s="4" t="inlineStr">
        <is>
          <t>許容CPA上限</t>
        </is>
      </c>
      <c r="B19" s="8" t="n">
        <v>6000</v>
      </c>
      <c r="C19" s="4" t="inlineStr">
        <is>
          <t>円</t>
        </is>
      </c>
      <c r="D19" s="4" t="inlineStr">
        <is>
          <t>指定</t>
        </is>
      </c>
      <c r="E19" s="7" t="inlineStr">
        <is>
          <t>社内基準（客単価3万×20%）</t>
        </is>
      </c>
    </row>
    <row r="20">
      <c r="A20" s="4" t="inlineStr">
        <is>
          <t>実態推定CPA</t>
        </is>
      </c>
      <c r="B20" s="9" t="n">
        <v>7000</v>
      </c>
      <c r="C20" s="4" t="inlineStr">
        <is>
          <t>円</t>
        </is>
      </c>
      <c r="D20" s="6" t="inlineStr">
        <is>
          <t>仮</t>
        </is>
      </c>
      <c r="E20" s="7" t="inlineStr">
        <is>
          <t>CPC60円 ÷（LP到達90%×CVR1.0%）≒6,667円 を丸め</t>
        </is>
      </c>
    </row>
    <row r="21">
      <c r="A21" s="4" t="inlineStr">
        <is>
          <t>CPC</t>
        </is>
      </c>
      <c r="B21" s="9" t="n">
        <v>60</v>
      </c>
      <c r="C21" s="4" t="inlineStr">
        <is>
          <t>円</t>
        </is>
      </c>
      <c r="D21" s="6" t="inlineStr">
        <is>
          <t>仮</t>
        </is>
      </c>
      <c r="E21" s="7" t="inlineStr">
        <is>
          <t>韓国市場の想定水準（Meta/ネイバーGFA/クーパン広告）</t>
        </is>
      </c>
    </row>
    <row r="22">
      <c r="A22" s="4" t="inlineStr">
        <is>
          <t>想定CVR</t>
        </is>
      </c>
      <c r="B22" s="12" t="n">
        <v>0.01</v>
      </c>
      <c r="C22" s="4" t="inlineStr">
        <is>
          <t>—</t>
        </is>
      </c>
      <c r="D22" s="6" t="inlineStr">
        <is>
          <t>仮</t>
        </is>
      </c>
      <c r="E22" s="13" t="inlineStr">
        <is>
          <t>EC物販の標準水準。★実績は0.0%（20_販売実績・CVR）</t>
        </is>
      </c>
    </row>
    <row r="23">
      <c r="A23" s="4" t="inlineStr">
        <is>
          <t>固定費（今後予想）</t>
        </is>
      </c>
      <c r="B23" s="8" t="n">
        <v>3825000</v>
      </c>
      <c r="C23" s="4" t="inlineStr">
        <is>
          <t>ウォン/月</t>
        </is>
      </c>
      <c r="D23" s="10" t="inlineStr">
        <is>
          <t>実績</t>
        </is>
      </c>
      <c r="E23" s="7" t="inlineStr">
        <is>
          <t>給与300万+家賃55万+管理費16.5万+税理士11万</t>
        </is>
      </c>
    </row>
    <row r="24">
      <c r="A24" s="4" t="inlineStr">
        <is>
          <t>固定費（実績平均）</t>
        </is>
      </c>
      <c r="B24" s="8" t="n">
        <v>4208383</v>
      </c>
      <c r="C24" s="4" t="inlineStr">
        <is>
          <t>ウォン/月</t>
        </is>
      </c>
      <c r="D24" s="10" t="inlineStr">
        <is>
          <t>実績</t>
        </is>
      </c>
      <c r="E24" s="7" t="inlineStr">
        <is>
          <t>2025.12-2026.08 総支出37,875,450W÷9ヶ月</t>
        </is>
      </c>
    </row>
    <row r="25">
      <c r="A25" s="4" t="inlineStr">
        <is>
          <t>SKUミックス S</t>
        </is>
      </c>
      <c r="B25" s="12" t="n">
        <v>0.4</v>
      </c>
      <c r="C25" s="4" t="inlineStr">
        <is>
          <t>—</t>
        </is>
      </c>
      <c r="D25" s="6" t="inlineStr">
        <is>
          <t>仮</t>
        </is>
      </c>
      <c r="E25" s="7" t="inlineStr">
        <is>
          <t>800個の内訳が未指定</t>
        </is>
      </c>
    </row>
    <row r="26">
      <c r="A26" s="4" t="inlineStr">
        <is>
          <t>SKUミックス M</t>
        </is>
      </c>
      <c r="B26" s="12" t="n">
        <v>0.4</v>
      </c>
      <c r="C26" s="4" t="inlineStr">
        <is>
          <t>—</t>
        </is>
      </c>
      <c r="D26" s="6" t="inlineStr">
        <is>
          <t>仮</t>
        </is>
      </c>
      <c r="E26" s="7" t="inlineStr">
        <is>
          <t>同上</t>
        </is>
      </c>
    </row>
    <row r="27">
      <c r="A27" s="4" t="inlineStr">
        <is>
          <t>SKUミックス L</t>
        </is>
      </c>
      <c r="B27" s="12" t="n">
        <v>0.2</v>
      </c>
      <c r="C27" s="4" t="inlineStr">
        <is>
          <t>—</t>
        </is>
      </c>
      <c r="D27" s="6" t="inlineStr">
        <is>
          <t>仮</t>
        </is>
      </c>
      <c r="E27" s="7" t="inlineStr">
        <is>
          <t>同上</t>
        </is>
      </c>
    </row>
    <row r="28">
      <c r="A28" s="4" t="inlineStr">
        <is>
          <t>発注数量</t>
        </is>
      </c>
      <c r="B28" s="8" t="n">
        <v>800</v>
      </c>
      <c r="C28" s="4" t="inlineStr">
        <is>
          <t>個</t>
        </is>
      </c>
      <c r="D28" s="10" t="inlineStr">
        <is>
          <t>実績</t>
        </is>
      </c>
      <c r="E28" s="7" t="inlineStr">
        <is>
          <t>通関士から800個の見積が出たとの連絡による</t>
        </is>
      </c>
    </row>
    <row r="29">
      <c r="A29" s="4" t="inlineStr">
        <is>
          <t>悲観 数量係数</t>
        </is>
      </c>
      <c r="B29" s="12" t="n">
        <v>0.5</v>
      </c>
      <c r="C29" s="4" t="inlineStr">
        <is>
          <t>—</t>
        </is>
      </c>
      <c r="D29" s="6" t="inlineStr">
        <is>
          <t>仮</t>
        </is>
      </c>
      <c r="E29" s="7" t="inlineStr">
        <is>
          <t>標準の50%</t>
        </is>
      </c>
    </row>
    <row r="30">
      <c r="A30" s="4" t="inlineStr">
        <is>
          <t>悲観 CPA係数</t>
        </is>
      </c>
      <c r="B30" s="12" t="n">
        <v>1.5</v>
      </c>
      <c r="C30" s="4" t="inlineStr">
        <is>
          <t>—</t>
        </is>
      </c>
      <c r="D30" s="6" t="inlineStr">
        <is>
          <t>仮</t>
        </is>
      </c>
      <c r="E30" s="7" t="inlineStr">
        <is>
          <t>標準の150%</t>
        </is>
      </c>
    </row>
    <row r="31">
      <c r="A31" s="4" t="inlineStr">
        <is>
          <t>楽観 数量係数</t>
        </is>
      </c>
      <c r="B31" s="12" t="n">
        <v>1.5</v>
      </c>
      <c r="C31" s="4" t="inlineStr">
        <is>
          <t>—</t>
        </is>
      </c>
      <c r="D31" s="6" t="inlineStr">
        <is>
          <t>仮</t>
        </is>
      </c>
      <c r="E31" s="7" t="inlineStr">
        <is>
          <t>標準の150%</t>
        </is>
      </c>
    </row>
    <row r="32">
      <c r="A32" s="4" t="inlineStr">
        <is>
          <t>楽観 CPA係数</t>
        </is>
      </c>
      <c r="B32" s="12" t="n">
        <v>0.8</v>
      </c>
      <c r="C32" s="4" t="inlineStr">
        <is>
          <t>—</t>
        </is>
      </c>
      <c r="D32" s="6" t="inlineStr">
        <is>
          <t>仮</t>
        </is>
      </c>
      <c r="E32" s="7" t="inlineStr">
        <is>
          <t>標準の80%</t>
        </is>
      </c>
    </row>
    <row r="33">
      <c r="A33" s="4" t="inlineStr">
        <is>
          <t>前金比率</t>
        </is>
      </c>
      <c r="B33" s="12" t="n">
        <v>0.3</v>
      </c>
      <c r="C33" s="4" t="inlineStr">
        <is>
          <t>—</t>
        </is>
      </c>
      <c r="D33" s="6" t="inlineStr">
        <is>
          <t>仮</t>
        </is>
      </c>
      <c r="E33" s="7" t="inlineStr">
        <is>
          <t>一般的な商慣行。実契約で要確認</t>
        </is>
      </c>
    </row>
    <row r="34">
      <c r="A34" s="4" t="inlineStr">
        <is>
          <t>製造+輸送+通関 日数</t>
        </is>
      </c>
      <c r="B34" s="9" t="n">
        <v>90</v>
      </c>
      <c r="C34" s="4" t="inlineStr">
        <is>
          <t>日</t>
        </is>
      </c>
      <c r="D34" s="6" t="inlineStr">
        <is>
          <t>仮</t>
        </is>
      </c>
      <c r="E34" s="7" t="inlineStr">
        <is>
          <t>製造60+輸送20+通関10</t>
        </is>
      </c>
    </row>
    <row r="35">
      <c r="A35" s="4" t="inlineStr">
        <is>
          <t>入金サイト</t>
        </is>
      </c>
      <c r="B35" s="9" t="n">
        <v>30</v>
      </c>
      <c r="C35" s="4" t="inlineStr">
        <is>
          <t>日</t>
        </is>
      </c>
      <c r="D35" s="6" t="inlineStr">
        <is>
          <t>仮</t>
        </is>
      </c>
      <c r="E35" s="7" t="inlineStr">
        <is>
          <t>モール締め日基準</t>
        </is>
      </c>
    </row>
    <row r="36">
      <c r="A36" s="4" t="inlineStr">
        <is>
          <t>手元キャッシュ</t>
        </is>
      </c>
      <c r="B36" s="9" t="n">
        <v>5000000</v>
      </c>
      <c r="C36" s="4" t="inlineStr">
        <is>
          <t>円</t>
        </is>
      </c>
      <c r="D36" s="6" t="inlineStr">
        <is>
          <t>仮</t>
        </is>
      </c>
      <c r="E36" s="13" t="inlineStr">
        <is>
          <t>★最重要の差し替え項目。実額で置き換えること</t>
        </is>
      </c>
    </row>
    <row r="37">
      <c r="A37" s="4" t="inlineStr">
        <is>
          <t>通関費実績（33個・VAT込）</t>
        </is>
      </c>
      <c r="B37" s="8" t="n">
        <v>1045911</v>
      </c>
      <c r="C37" s="4" t="inlineStr">
        <is>
          <t>ウォン</t>
        </is>
      </c>
      <c r="D37" s="10" t="inlineStr">
        <is>
          <t>実績</t>
        </is>
      </c>
      <c r="E37" s="7" t="inlineStr">
        <is>
          <t>LJ関税事務所 I26-100263M / 9月10日 / 全項目検算済み</t>
        </is>
      </c>
    </row>
    <row r="38">
      <c r="A38" s="4" t="inlineStr">
        <is>
          <t>現在庫</t>
        </is>
      </c>
      <c r="B38" s="8" t="n">
        <v>22</v>
      </c>
      <c r="C38" s="4" t="inlineStr">
        <is>
          <t>個</t>
        </is>
      </c>
      <c r="D38" s="10" t="inlineStr">
        <is>
          <t>実績</t>
        </is>
      </c>
      <c r="E38" s="7" t="inlineStr">
        <is>
          <t>9/10時点。33個入荷 − 予約発送11個</t>
        </is>
      </c>
    </row>
    <row r="39">
      <c r="A39" s="4" t="inlineStr">
        <is>
          <t>次回入荷までの日数</t>
        </is>
      </c>
      <c r="B39" s="9" t="n">
        <v>60</v>
      </c>
      <c r="C39" s="4" t="inlineStr">
        <is>
          <t>日</t>
        </is>
      </c>
      <c r="D39" s="6" t="inlineStr">
        <is>
          <t>仮</t>
        </is>
      </c>
      <c r="E39" s="7" t="inlineStr">
        <is>
          <t>11月頭出荷→11月中旬着と想定。9/16起算</t>
        </is>
      </c>
    </row>
    <row r="40">
      <c r="A40" s="4" t="inlineStr">
        <is>
          <t>直近3日の訪問者</t>
        </is>
      </c>
      <c r="B40" s="8" t="n">
        <v>1207</v>
      </c>
      <c r="C40" s="4" t="inlineStr">
        <is>
          <t>人</t>
        </is>
      </c>
      <c r="D40" s="10" t="inlineStr">
        <is>
          <t>実績</t>
        </is>
      </c>
      <c r="E40" s="7" t="inlineStr">
        <is>
          <t>ネイバー 9/8-9/9 833件 + 9/10 374件</t>
        </is>
      </c>
    </row>
    <row r="41">
      <c r="A41" s="4" t="inlineStr">
        <is>
          <t>直近3日の新規購入</t>
        </is>
      </c>
      <c r="B41" s="8" t="n">
        <v>0</v>
      </c>
      <c r="C41" s="4" t="inlineStr">
        <is>
          <t>件</t>
        </is>
      </c>
      <c r="D41" s="10" t="inlineStr">
        <is>
          <t>実績</t>
        </is>
      </c>
      <c r="E41" s="13" t="inlineStr">
        <is>
          <t>★購入転換率0.0%。予約11件は在庫入荷前の累積分</t>
        </is>
      </c>
    </row>
    <row r="42">
      <c r="A42" s="4" t="inlineStr">
        <is>
          <t>EMS 1梱包あたり</t>
        </is>
      </c>
      <c r="B42" s="8" t="n">
        <v>18931</v>
      </c>
      <c r="C42" s="4" t="inlineStr">
        <is>
          <t>円</t>
        </is>
      </c>
      <c r="D42" s="10" t="inlineStr">
        <is>
          <t>実績</t>
        </is>
      </c>
      <c r="E42" s="7" t="inlineStr">
        <is>
          <t>過去実績 688,400W÷4回×0.11</t>
        </is>
      </c>
    </row>
    <row r="43">
      <c r="A43" s="4" t="inlineStr">
        <is>
          <t>EMS 1梱包の入数</t>
        </is>
      </c>
      <c r="B43" s="9" t="n">
        <v>1</v>
      </c>
      <c r="C43" s="4" t="inlineStr">
        <is>
          <t>個</t>
        </is>
      </c>
      <c r="D43" s="6" t="inlineStr">
        <is>
          <t>仮</t>
        </is>
      </c>
      <c r="E43" s="7" t="inlineStr">
        <is>
          <t>3辺合計135cm級のためスーツケース1個/梱包と想定</t>
        </is>
      </c>
    </row>
    <row r="44">
      <c r="A44" s="4" t="inlineStr">
        <is>
          <t>ハンドキャリー1回</t>
        </is>
      </c>
      <c r="B44" s="8" t="n">
        <v>97038</v>
      </c>
      <c r="C44" s="4" t="inlineStr">
        <is>
          <t>円</t>
        </is>
      </c>
      <c r="D44" s="10" t="inlineStr">
        <is>
          <t>実績</t>
        </is>
      </c>
      <c r="E44" s="7" t="inlineStr">
        <is>
          <t>航空券53,900+宿泊14,905+交通28,233（人件費除く）</t>
        </is>
      </c>
    </row>
    <row r="45">
      <c r="A45" s="4" t="inlineStr">
        <is>
          <t>ハンドキャリー持込個数</t>
        </is>
      </c>
      <c r="B45" s="9" t="n">
        <v>3</v>
      </c>
      <c r="C45" s="4" t="inlineStr">
        <is>
          <t>個</t>
        </is>
      </c>
      <c r="D45" s="6" t="inlineStr">
        <is>
          <t>仮</t>
        </is>
      </c>
      <c r="E45" s="7" t="inlineStr">
        <is>
          <t>預け2＋機内持込1を想定</t>
        </is>
      </c>
    </row>
    <row r="46">
      <c r="A46" s="4" t="inlineStr">
        <is>
          <t>メタ広告費（月）</t>
        </is>
      </c>
      <c r="B46" s="8" t="n">
        <v>3960000</v>
      </c>
      <c r="C46" s="4" t="inlineStr">
        <is>
          <t>ウォン/月</t>
        </is>
      </c>
      <c r="D46" s="10" t="inlineStr">
        <is>
          <t>実績</t>
        </is>
      </c>
      <c r="E46" s="7" t="inlineStr">
        <is>
          <t>7/18-8/19 実績・付加価値税込</t>
        </is>
      </c>
    </row>
    <row r="47">
      <c r="A47" s="4" t="inlineStr">
        <is>
          <t>外注費（月）</t>
        </is>
      </c>
      <c r="B47" s="9" t="n">
        <v>500000</v>
      </c>
      <c r="C47" s="4" t="inlineStr">
        <is>
          <t>ウォン/月</t>
        </is>
      </c>
      <c r="D47" s="6" t="inlineStr">
        <is>
          <t>仮</t>
        </is>
      </c>
      <c r="E47" s="7" t="inlineStr">
        <is>
          <t>LP外注550,000W・詳細ページ200,000W実績から月割</t>
        </is>
      </c>
    </row>
    <row r="48">
      <c r="A48" s="4" t="inlineStr">
        <is>
          <t>レビュー送料・手数料（月）</t>
        </is>
      </c>
      <c r="B48" s="9" t="n">
        <v>150000</v>
      </c>
      <c r="C48" s="4" t="inlineStr">
        <is>
          <t>ウォン/月</t>
        </is>
      </c>
      <c r="D48" s="6" t="inlineStr">
        <is>
          <t>仮</t>
        </is>
      </c>
      <c r="E48" s="7" t="inlineStr">
        <is>
          <t>1件5,000W × 月30件</t>
        </is>
      </c>
    </row>
    <row r="49">
      <c r="A49" s="4" t="inlineStr">
        <is>
          <t>容積 S</t>
        </is>
      </c>
      <c r="B49" s="5" t="n">
        <v>0.048</v>
      </c>
      <c r="C49" s="4" t="inlineStr">
        <is>
          <t>CBM/個</t>
        </is>
      </c>
      <c r="D49" s="6" t="inlineStr">
        <is>
          <t>仮</t>
        </is>
      </c>
      <c r="E49" s="7" t="inlineStr">
        <is>
          <t>55×38×23cm 想定</t>
        </is>
      </c>
    </row>
    <row r="50">
      <c r="A50" s="4" t="inlineStr">
        <is>
          <t>容積 M</t>
        </is>
      </c>
      <c r="B50" s="5" t="n">
        <v>0.079</v>
      </c>
      <c r="C50" s="4" t="inlineStr">
        <is>
          <t>CBM/個</t>
        </is>
      </c>
      <c r="D50" s="6" t="inlineStr">
        <is>
          <t>仮</t>
        </is>
      </c>
      <c r="E50" s="7" t="inlineStr">
        <is>
          <t>65×45×27cm 想定</t>
        </is>
      </c>
    </row>
    <row r="51">
      <c r="A51" s="4" t="inlineStr">
        <is>
          <t>容積 L</t>
        </is>
      </c>
      <c r="B51" s="5" t="n">
        <v>0.113</v>
      </c>
      <c r="C51" s="4" t="inlineStr">
        <is>
          <t>CBM/個</t>
        </is>
      </c>
      <c r="D51" s="6" t="inlineStr">
        <is>
          <t>仮</t>
        </is>
      </c>
      <c r="E51" s="7" t="inlineStr">
        <is>
          <t>75×50×30cm 想定</t>
        </is>
      </c>
    </row>
    <row r="52">
      <c r="A52" s="4" t="inlineStr">
        <is>
          <t>40ftHC 海上運賃（総額）</t>
        </is>
      </c>
      <c r="B52" s="9" t="n">
        <v>2000000</v>
      </c>
      <c r="C52" s="4" t="inlineStr">
        <is>
          <t>ウォン</t>
        </is>
      </c>
      <c r="D52" s="6" t="inlineStr">
        <is>
          <t>仮</t>
        </is>
      </c>
      <c r="E52" s="7" t="inlineStr">
        <is>
          <t>中国→韓国 USD1,500相当</t>
        </is>
      </c>
    </row>
    <row r="53">
      <c r="A53" s="4" t="inlineStr">
        <is>
          <t>40ftHC 積載容積</t>
        </is>
      </c>
      <c r="B53" s="9" t="n">
        <v>67</v>
      </c>
      <c r="C53" s="4" t="inlineStr">
        <is>
          <t>CBM</t>
        </is>
      </c>
      <c r="D53" s="6" t="inlineStr">
        <is>
          <t>仮</t>
        </is>
      </c>
      <c r="E53" s="7" t="inlineStr">
        <is>
          <t>一般的な40ftハイキューブ</t>
        </is>
      </c>
    </row>
    <row r="54">
      <c r="A54" s="4" t="inlineStr">
        <is>
          <t>LCL小口便 最低費用</t>
        </is>
      </c>
      <c r="B54" s="9" t="n">
        <v>400000</v>
      </c>
      <c r="C54" s="4" t="inlineStr">
        <is>
          <t>ウォン</t>
        </is>
      </c>
      <c r="D54" s="6" t="inlineStr">
        <is>
          <t>仮</t>
        </is>
      </c>
      <c r="E54" s="7" t="inlineStr">
        <is>
          <t>最低料金2CBM相当+諸チャージ</t>
        </is>
      </c>
    </row>
    <row r="55">
      <c r="A55" s="4" t="inlineStr">
        <is>
          <t>12ヶ月内リピート率</t>
        </is>
      </c>
      <c r="B55" s="12" t="n">
        <v>0.03</v>
      </c>
      <c r="C55" s="4" t="inlineStr">
        <is>
          <t>—</t>
        </is>
      </c>
      <c r="D55" s="6" t="inlineStr">
        <is>
          <t>仮</t>
        </is>
      </c>
      <c r="E55" s="7" t="inlineStr">
        <is>
          <t>買替サイクル7年。2個目・付属品購入を含む</t>
        </is>
      </c>
    </row>
    <row r="56">
      <c r="A56" s="14" t="inlineStr">
        <is>
          <t>派生値（自動計算）</t>
        </is>
      </c>
    </row>
    <row r="57">
      <c r="A57" s="15" t="inlineStr">
        <is>
          <t>固定費（予想）円/月</t>
        </is>
      </c>
      <c r="B57" s="16">
        <f>'02_Assumptions'!$B$23*'02_Assumptions'!$B$5</f>
        <v>420750</v>
      </c>
      <c r="C57" s="4" t="inlineStr"/>
      <c r="D57" s="4" t="inlineStr">
        <is>
          <t>算出</t>
        </is>
      </c>
      <c r="E57" s="7" t="inlineStr">
        <is>
          <t>ウォン→円換算</t>
        </is>
      </c>
    </row>
    <row r="58">
      <c r="A58" s="15" t="inlineStr">
        <is>
          <t>固定費（実績平均）円/月</t>
        </is>
      </c>
      <c r="B58" s="16">
        <f>'02_Assumptions'!$B$24*'02_Assumptions'!$B$5</f>
        <v>462922.13</v>
      </c>
      <c r="C58" s="4" t="inlineStr"/>
      <c r="D58" s="4" t="inlineStr">
        <is>
          <t>算出</t>
        </is>
      </c>
      <c r="E58" s="7" t="inlineStr">
        <is>
          <t>悲観ケースで使用</t>
        </is>
      </c>
    </row>
    <row r="59">
      <c r="A59" s="15" t="inlineStr">
        <is>
          <t>MIX 平均売価</t>
        </is>
      </c>
      <c r="B59" s="16">
        <f>'02_Assumptions'!$B$25*'02_Assumptions'!$B$6+'02_Assumptions'!$B$26*'02_Assumptions'!$B$7+'02_Assumptions'!$B$27*'02_Assumptions'!$B$8</f>
        <v>26700</v>
      </c>
      <c r="C59" s="4" t="inlineStr"/>
      <c r="D59" s="4" t="inlineStr">
        <is>
          <t>算出</t>
        </is>
      </c>
      <c r="E59" s="7" t="inlineStr">
        <is>
          <t>ミックス加重平均</t>
        </is>
      </c>
    </row>
    <row r="60">
      <c r="A60" s="15" t="inlineStr">
        <is>
          <t>MIX 平均原価（円）</t>
        </is>
      </c>
      <c r="B60" s="16">
        <f>('02_Assumptions'!$B$25*'02_Assumptions'!$B$9+'02_Assumptions'!$B$26*'02_Assumptions'!$B$10+'02_Assumptions'!$B$27*'02_Assumptions'!$B$11)*'02_Assumptions'!$B$5</f>
        <v>15400</v>
      </c>
      <c r="C60" s="4" t="inlineStr"/>
      <c r="D60" s="4" t="inlineStr">
        <is>
          <t>算出</t>
        </is>
      </c>
      <c r="E60" s="7" t="inlineStr"/>
    </row>
    <row r="61">
      <c r="A61" s="15" t="inlineStr">
        <is>
          <t>MIX 粗利/個（800個ロット）</t>
        </is>
      </c>
      <c r="B61" s="16">
        <f>$B$59-$B$59*'02_Assumptions'!$B$12-'02_Assumptions'!$B$13-$B$60-'02_Assumptions'!$B$14-'02_Assumptions'!$B$16-'02_Assumptions'!$B$17</f>
        <v>7732</v>
      </c>
      <c r="C61" s="4" t="inlineStr"/>
      <c r="D61" s="4" t="inlineStr">
        <is>
          <t>算出</t>
        </is>
      </c>
      <c r="E61" s="7" t="inlineStr">
        <is>
          <t>売価−手数料−送料−原価−通関−返品−ポイント</t>
        </is>
      </c>
    </row>
    <row r="62">
      <c r="A62" s="15" t="inlineStr">
        <is>
          <t>MIX 粗利/個（現在庫22個）</t>
        </is>
      </c>
      <c r="B62" s="16">
        <f>$B$59-$B$59*'02_Assumptions'!$B$12-'02_Assumptions'!$B$13-$B$60-'02_Assumptions'!$B$15-'02_Assumptions'!$B$16-'02_Assumptions'!$B$17</f>
        <v>5813</v>
      </c>
      <c r="C62" s="4" t="inlineStr"/>
      <c r="D62" s="4" t="inlineStr">
        <is>
          <t>算出</t>
        </is>
      </c>
      <c r="E62" s="7" t="inlineStr">
        <is>
          <t>通関費は33個便実績を使用</t>
        </is>
      </c>
    </row>
    <row r="63">
      <c r="A63" s="15" t="inlineStr">
        <is>
          <t>MIX 限界利益/個（@目標CPA）</t>
        </is>
      </c>
      <c r="B63" s="16">
        <f>$B$61-'02_Assumptions'!$B$18</f>
        <v>3232</v>
      </c>
      <c r="C63" s="4" t="inlineStr"/>
      <c r="D63" s="4" t="inlineStr">
        <is>
          <t>算出</t>
        </is>
      </c>
      <c r="E63" s="7" t="inlineStr">
        <is>
          <t>800個ロット前提</t>
        </is>
      </c>
    </row>
    <row r="64">
      <c r="A64" s="15" t="inlineStr">
        <is>
          <t>MIX 限界利益/個（現在庫・@目標CPA）</t>
        </is>
      </c>
      <c r="B64" s="16">
        <f>$B$62-'02_Assumptions'!$B$18</f>
        <v>1313</v>
      </c>
      <c r="C64" s="4" t="inlineStr"/>
      <c r="D64" s="4" t="inlineStr">
        <is>
          <t>算出</t>
        </is>
      </c>
      <c r="E64" s="7" t="inlineStr">
        <is>
          <t>21_補填判断で使用</t>
        </is>
      </c>
    </row>
    <row r="65">
      <c r="A65" s="15" t="inlineStr">
        <is>
          <t>MIX 限界利益/個（@実態推定CPA）</t>
        </is>
      </c>
      <c r="B65" s="16">
        <f>$B$61-'02_Assumptions'!$B$20</f>
        <v>732</v>
      </c>
      <c r="C65" s="4" t="inlineStr"/>
      <c r="D65" s="4" t="inlineStr">
        <is>
          <t>算出</t>
        </is>
      </c>
      <c r="E65" s="7" t="inlineStr">
        <is>
          <t>★CPA7,000円のケース</t>
        </is>
      </c>
    </row>
    <row r="66">
      <c r="A66" s="15" t="inlineStr">
        <is>
          <t>MIX 限界利益率</t>
        </is>
      </c>
      <c r="B66" s="17">
        <f>$B$63/$B$59</f>
        <v>0.12104868913857678</v>
      </c>
      <c r="C66" s="4" t="inlineStr"/>
      <c r="D66" s="4" t="inlineStr">
        <is>
          <t>算出</t>
        </is>
      </c>
      <c r="E66" s="7" t="inlineStr"/>
    </row>
    <row r="67">
      <c r="A67" s="15" t="inlineStr">
        <is>
          <t>損益分岐 販売数/月</t>
        </is>
      </c>
      <c r="B67" s="18">
        <f>ROUNDUP($B$57/$B$63,0)</f>
        <v>131</v>
      </c>
      <c r="C67" s="4" t="inlineStr"/>
      <c r="D67" s="4" t="inlineStr">
        <is>
          <t>算出</t>
        </is>
      </c>
      <c r="E67" s="7" t="inlineStr">
        <is>
          <t>固定費÷限界利益</t>
        </is>
      </c>
    </row>
    <row r="68">
      <c r="A68" s="15" t="inlineStr">
        <is>
          <t>損益分岐 販売数/年</t>
        </is>
      </c>
      <c r="B68" s="18">
        <f>$B$67*12</f>
        <v>1572</v>
      </c>
      <c r="C68" s="4" t="inlineStr"/>
      <c r="D68" s="4" t="inlineStr">
        <is>
          <t>算出</t>
        </is>
      </c>
      <c r="E68" s="7" t="inlineStr"/>
    </row>
    <row r="69">
      <c r="A69" s="15" t="inlineStr">
        <is>
          <t>損益分岐 売上/月</t>
        </is>
      </c>
      <c r="B69" s="16">
        <f>$B$67*$B$59</f>
        <v>3497700</v>
      </c>
      <c r="C69" s="4" t="inlineStr"/>
      <c r="D69" s="4" t="inlineStr">
        <is>
          <t>算出</t>
        </is>
      </c>
      <c r="E69" s="7" t="inlineStr"/>
    </row>
    <row r="70">
      <c r="A70" s="15" t="inlineStr">
        <is>
          <t>標準ケース 月販売数</t>
        </is>
      </c>
      <c r="B70" s="18">
        <f>ROUND('02_Assumptions'!$B$28/12,0)</f>
        <v>67</v>
      </c>
      <c r="C70" s="4" t="inlineStr"/>
      <c r="D70" s="4" t="inlineStr">
        <is>
          <t>算出</t>
        </is>
      </c>
      <c r="E70" s="7" t="inlineStr">
        <is>
          <t>800個を12ヶ月で消化する前提</t>
        </is>
      </c>
    </row>
    <row r="71">
      <c r="A71" s="15" t="inlineStr">
        <is>
          <t>800個 仕入原価（円）</t>
        </is>
      </c>
      <c r="B71" s="16">
        <f>('02_Assumptions'!$B$25*'02_Assumptions'!$B$9+'02_Assumptions'!$B$26*'02_Assumptions'!$B$10+'02_Assumptions'!$B$27*'02_Assumptions'!$B$11)*'02_Assumptions'!$B$28*'02_Assumptions'!$B$5</f>
        <v>12320000</v>
      </c>
      <c r="C71" s="4" t="inlineStr"/>
      <c r="D71" s="4" t="inlineStr">
        <is>
          <t>算出</t>
        </is>
      </c>
      <c r="E71" s="7" t="inlineStr">
        <is>
          <t>ミックス加重</t>
        </is>
      </c>
    </row>
    <row r="72">
      <c r="A72" s="15" t="inlineStr">
        <is>
          <t>MIX 平均容積</t>
        </is>
      </c>
      <c r="B72" s="19">
        <f>'02_Assumptions'!$B$25*'02_Assumptions'!$B$49+'02_Assumptions'!$B$26*'02_Assumptions'!$B$50+'02_Assumptions'!$B$27*'02_Assumptions'!$B$51</f>
        <v>0.0734</v>
      </c>
      <c r="C72" s="4" t="inlineStr"/>
      <c r="D72" s="4" t="inlineStr">
        <is>
          <t>算出</t>
        </is>
      </c>
      <c r="E72" s="7" t="inlineStr">
        <is>
          <t>CBM/個</t>
        </is>
      </c>
    </row>
    <row r="73">
      <c r="A73" s="15" t="inlineStr">
        <is>
          <t>800個の総容積</t>
        </is>
      </c>
      <c r="B73" s="20">
        <f>$B$72*'02_Assumptions'!$B$28</f>
        <v>58.720000000000006</v>
      </c>
      <c r="C73" s="4" t="inlineStr"/>
      <c r="D73" s="4" t="inlineStr">
        <is>
          <t>算出</t>
        </is>
      </c>
      <c r="E73" s="7" t="inlineStr">
        <is>
          <t>CBM。40ftHC(67CBM)1本で収まる</t>
        </is>
      </c>
    </row>
    <row r="74">
      <c r="A74" s="15" t="inlineStr">
        <is>
          <t>1CBMあたり海上運賃</t>
        </is>
      </c>
      <c r="B74" s="18">
        <f>'02_Assumptions'!$B$52/'02_Assumptions'!$B$53</f>
        <v>29850.746268656716</v>
      </c>
      <c r="C74" s="4" t="inlineStr"/>
      <c r="D74" s="4" t="inlineStr">
        <is>
          <t>算出</t>
        </is>
      </c>
      <c r="E74" s="7" t="inlineStr">
        <is>
          <t>ウォン。空きスペース損失の算定に使用</t>
        </is>
      </c>
    </row>
    <row r="75">
      <c r="A75" s="14" t="inlineStr">
        <is>
          <t>注記</t>
        </is>
      </c>
    </row>
    <row r="76">
      <c r="A76" s="2" t="inlineStr">
        <is>
          <t>確度「仮」（黄色）は叩き用に置いた値です。24_仮置き一覧に全件と差し替え先をまとめてあります。</t>
        </is>
      </c>
    </row>
    <row r="77">
      <c r="A77" s="2" t="inlineStr">
        <is>
          <t>青字＝入力値、黒太字＝自動計算。黄色セルを実数に書き換えれば全シートが連動して再計算されます。</t>
        </is>
      </c>
    </row>
    <row r="78">
      <c r="A78" s="2" t="inlineStr">
        <is>
          <t>★手元キャッシュ（仮500万円）と★想定CVR（仮1.0%・実績0.0%）の2つが、判断を最も大きく動かします。</t>
        </is>
      </c>
    </row>
  </sheetData>
  <mergeCells count="7">
    <mergeCell ref="A77:E77"/>
    <mergeCell ref="A78:E78"/>
    <mergeCell ref="A2:E2"/>
    <mergeCell ref="A76:E76"/>
    <mergeCell ref="A1:E1"/>
    <mergeCell ref="A75:E75"/>
    <mergeCell ref="A56:E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2" customWidth="1" min="4" max="4"/>
    <col width="34" customWidth="1" min="5" max="5"/>
    <col width="46" customWidth="1" min="6" max="6"/>
  </cols>
  <sheetData>
    <row r="1">
      <c r="A1" s="83" t="inlineStr">
        <is>
          <t>仮置きした値の一覧（差し替えリスト）</t>
        </is>
      </c>
    </row>
    <row r="2">
      <c r="A2" s="2" t="inlineStr">
        <is>
          <t>叩き作成のために置いた仮値です。影響度A＝判断が変わる／B＝金額が動く／C＝軽微。Aから順に実数へ差し替えてください。</t>
        </is>
      </c>
    </row>
    <row r="4">
      <c r="A4" s="3" t="inlineStr">
        <is>
          <t>No</t>
        </is>
      </c>
      <c r="B4" s="3" t="inlineStr">
        <is>
          <t>項目</t>
        </is>
      </c>
      <c r="C4" s="3" t="inlineStr">
        <is>
          <t>仮値</t>
        </is>
      </c>
      <c r="D4" s="3" t="inlineStr">
        <is>
          <t>影響度</t>
        </is>
      </c>
      <c r="E4" s="3" t="inlineStr">
        <is>
          <t>どこで確認できるか</t>
        </is>
      </c>
      <c r="F4" s="3" t="inlineStr">
        <is>
          <t>置き方の根拠</t>
        </is>
      </c>
    </row>
    <row r="5">
      <c r="A5" s="15" t="n">
        <v>1</v>
      </c>
      <c r="B5" s="15" t="inlineStr">
        <is>
          <t>手元キャッシュ</t>
        </is>
      </c>
      <c r="C5" s="71" t="inlineStr">
        <is>
          <t>¥5,000,000</t>
        </is>
      </c>
      <c r="D5" s="34" t="inlineStr">
        <is>
          <t>A</t>
        </is>
      </c>
      <c r="E5" s="15" t="inlineStr">
        <is>
          <t>通帳・会計ソフトの残高</t>
        </is>
      </c>
      <c r="F5" s="15" t="inlineStr">
        <is>
          <t>★完全な仮。発注可否の判定に直結</t>
        </is>
      </c>
    </row>
    <row r="6">
      <c r="A6" s="15" t="n">
        <v>2</v>
      </c>
      <c r="B6" s="15" t="inlineStr">
        <is>
          <t>想定CVR</t>
        </is>
      </c>
      <c r="C6" s="71" t="inlineStr">
        <is>
          <t>1.0%</t>
        </is>
      </c>
      <c r="D6" s="34" t="inlineStr">
        <is>
          <t>A</t>
        </is>
      </c>
      <c r="E6" s="15" t="inlineStr">
        <is>
          <t>ネイバー/クーパン管理画面の転換率（広告稼働期間）</t>
        </is>
      </c>
      <c r="F6" s="15" t="inlineStr">
        <is>
          <t>EC物販の標準水準。実績は0.0%</t>
        </is>
      </c>
    </row>
    <row r="7">
      <c r="A7" s="15" t="n">
        <v>3</v>
      </c>
      <c r="B7" s="15" t="inlineStr">
        <is>
          <t>通関費/個（800個ロット）</t>
        </is>
      </c>
      <c r="C7" s="71" t="inlineStr">
        <is>
          <t>¥1,000</t>
        </is>
      </c>
      <c r="D7" s="34" t="inlineStr">
        <is>
          <t>A</t>
        </is>
      </c>
      <c r="E7" s="15" t="inlineStr">
        <is>
          <t>通関士から出た800個見積</t>
        </is>
      </c>
      <c r="F7" s="15" t="inlineStr">
        <is>
          <t>23_800個通関費試算の積み上げ（917円）を丸め</t>
        </is>
      </c>
    </row>
    <row r="8">
      <c r="A8" s="15" t="n">
        <v>4</v>
      </c>
      <c r="B8" s="15" t="inlineStr">
        <is>
          <t>実態推定CPA</t>
        </is>
      </c>
      <c r="C8" s="71" t="inlineStr">
        <is>
          <t>¥7,000</t>
        </is>
      </c>
      <c r="D8" s="34" t="inlineStr">
        <is>
          <t>A</t>
        </is>
      </c>
      <c r="E8" s="15" t="inlineStr">
        <is>
          <t>Meta/Google/ネイバーGFA の管理画面</t>
        </is>
      </c>
      <c r="F8" s="15" t="inlineStr">
        <is>
          <t>CPC60円÷(LP到達90%×CVR1.0%)</t>
        </is>
      </c>
    </row>
    <row r="9">
      <c r="A9" s="15" t="n">
        <v>5</v>
      </c>
      <c r="B9" s="15" t="inlineStr">
        <is>
          <t>モール/決済手数料率</t>
        </is>
      </c>
      <c r="C9" s="71" t="inlineStr">
        <is>
          <t>4%（ご指定）</t>
        </is>
      </c>
      <c r="D9" s="34" t="inlineStr">
        <is>
          <t>A</t>
        </is>
      </c>
      <c r="E9" s="15" t="inlineStr">
        <is>
          <t>各モールの契約書・精算レポート</t>
        </is>
      </c>
      <c r="F9" s="15" t="inlineStr">
        <is>
          <t>ご指定値。25_チャネル別手数料の推定は11.4%</t>
        </is>
      </c>
    </row>
    <row r="10">
      <c r="A10" s="4" t="n">
        <v>6</v>
      </c>
      <c r="B10" s="4" t="inlineStr">
        <is>
          <t>SKUミックス S:M:L</t>
        </is>
      </c>
      <c r="C10" s="53" t="inlineStr">
        <is>
          <t>40:40:20</t>
        </is>
      </c>
      <c r="D10" s="6" t="inlineStr">
        <is>
          <t>B</t>
        </is>
      </c>
      <c r="E10" s="4" t="inlineStr">
        <is>
          <t>800個の発注書・PIのSKU内訳</t>
        </is>
      </c>
      <c r="F10" s="4" t="inlineStr">
        <is>
          <t>未指定のため均等寄りで仮置き</t>
        </is>
      </c>
    </row>
    <row r="11">
      <c r="A11" s="4" t="n">
        <v>7</v>
      </c>
      <c r="B11" s="4" t="inlineStr">
        <is>
          <t>L 売価</t>
        </is>
      </c>
      <c r="C11" s="53" t="inlineStr">
        <is>
          <t>¥33,900</t>
        </is>
      </c>
      <c r="D11" s="6" t="inlineStr">
        <is>
          <t>B</t>
        </is>
      </c>
      <c r="E11" s="4" t="inlineStr">
        <is>
          <t>価格決定（未確定）</t>
        </is>
      </c>
      <c r="F11" s="4" t="inlineStr">
        <is>
          <t>S→Mの刻み+6,000円から外挿</t>
        </is>
      </c>
    </row>
    <row r="12">
      <c r="A12" s="4" t="n">
        <v>8</v>
      </c>
      <c r="B12" s="4" t="inlineStr">
        <is>
          <t>L 仕入原価</t>
        </is>
      </c>
      <c r="C12" s="53" t="inlineStr">
        <is>
          <t>200,000W</t>
        </is>
      </c>
      <c r="D12" s="6" t="inlineStr">
        <is>
          <t>B</t>
        </is>
      </c>
      <c r="E12" s="4" t="inlineStr">
        <is>
          <t>サプライヤーの見積・PI</t>
        </is>
      </c>
      <c r="F12" s="4" t="inlineStr">
        <is>
          <t>S→Mの刻み+50,000Wから外挿</t>
        </is>
      </c>
    </row>
    <row r="13">
      <c r="A13" s="4" t="n">
        <v>9</v>
      </c>
      <c r="B13" s="4" t="inlineStr">
        <is>
          <t>返品引当</t>
        </is>
      </c>
      <c r="C13" s="53" t="inlineStr">
        <is>
          <t>¥400/個</t>
        </is>
      </c>
      <c r="D13" s="6" t="inlineStr">
        <is>
          <t>B</t>
        </is>
      </c>
      <c r="E13" s="4" t="inlineStr">
        <is>
          <t>ネイバー/クーパンの返品実績</t>
        </is>
      </c>
      <c r="F13" s="4" t="inlineStr">
        <is>
          <t>返品率5%×1件損失8,000円</t>
        </is>
      </c>
    </row>
    <row r="14">
      <c r="A14" s="4" t="n">
        <v>10</v>
      </c>
      <c r="B14" s="4" t="inlineStr">
        <is>
          <t>ポイント/クーポン負担</t>
        </is>
      </c>
      <c r="C14" s="53" t="inlineStr">
        <is>
          <t>¥800/個</t>
        </is>
      </c>
      <c r="D14" s="6" t="inlineStr">
        <is>
          <t>B</t>
        </is>
      </c>
      <c r="E14" s="4" t="inlineStr">
        <is>
          <t>各モールの精算明細</t>
        </is>
      </c>
      <c r="F14" s="4" t="inlineStr">
        <is>
          <t>売価の3%</t>
        </is>
      </c>
    </row>
    <row r="15">
      <c r="A15" s="4" t="n">
        <v>11</v>
      </c>
      <c r="B15" s="4" t="inlineStr">
        <is>
          <t>為替レート</t>
        </is>
      </c>
      <c r="C15" s="53" t="inlineStr">
        <is>
          <t>0.11円/W</t>
        </is>
      </c>
      <c r="D15" s="6" t="inlineStr">
        <is>
          <t>B</t>
        </is>
      </c>
      <c r="E15" s="4" t="inlineStr">
        <is>
          <t>当日レート</t>
        </is>
      </c>
      <c r="F15" s="4" t="inlineStr">
        <is>
          <t>1円≒9.09ウォン</t>
        </is>
      </c>
    </row>
    <row r="16">
      <c r="A16" s="4" t="n">
        <v>12</v>
      </c>
      <c r="B16" s="4" t="inlineStr">
        <is>
          <t>CPC</t>
        </is>
      </c>
      <c r="C16" s="53" t="inlineStr">
        <is>
          <t>¥60</t>
        </is>
      </c>
      <c r="D16" s="6" t="inlineStr">
        <is>
          <t>B</t>
        </is>
      </c>
      <c r="E16" s="4" t="inlineStr">
        <is>
          <t>各媒体の管理画面</t>
        </is>
      </c>
      <c r="F16" s="4" t="inlineStr">
        <is>
          <t>韓国市場の想定水準</t>
        </is>
      </c>
    </row>
    <row r="17">
      <c r="A17" s="4" t="n">
        <v>13</v>
      </c>
      <c r="B17" s="4" t="inlineStr">
        <is>
          <t>外注費（月）</t>
        </is>
      </c>
      <c r="C17" s="53" t="inlineStr">
        <is>
          <t>500,000W</t>
        </is>
      </c>
      <c r="D17" s="6" t="inlineStr">
        <is>
          <t>B</t>
        </is>
      </c>
      <c r="E17" s="4" t="inlineStr">
        <is>
          <t>外注先の請求書・見積</t>
        </is>
      </c>
      <c r="F17" s="4" t="inlineStr">
        <is>
          <t>LP外注550,000W実績から月割</t>
        </is>
      </c>
    </row>
    <row r="18">
      <c r="A18" s="4" t="n">
        <v>14</v>
      </c>
      <c r="B18" s="4" t="inlineStr">
        <is>
          <t>レビュー送料・手数料（月）</t>
        </is>
      </c>
      <c r="C18" s="53" t="inlineStr">
        <is>
          <t>150,000W</t>
        </is>
      </c>
      <c r="D18" s="6" t="inlineStr">
        <is>
          <t>B</t>
        </is>
      </c>
      <c r="E18" s="4" t="inlineStr">
        <is>
          <t>レビュー施策の実績</t>
        </is>
      </c>
      <c r="F18" s="4" t="inlineStr">
        <is>
          <t>1件5,000W×月30件</t>
        </is>
      </c>
    </row>
    <row r="19">
      <c r="A19" s="4" t="n">
        <v>15</v>
      </c>
      <c r="B19" s="4" t="inlineStr">
        <is>
          <t>40ftHC 海上運賃</t>
        </is>
      </c>
      <c r="C19" s="53" t="inlineStr">
        <is>
          <t>2,000,000W</t>
        </is>
      </c>
      <c r="D19" s="6" t="inlineStr">
        <is>
          <t>B</t>
        </is>
      </c>
      <c r="E19" s="4" t="inlineStr">
        <is>
          <t>フォワーダー見積</t>
        </is>
      </c>
      <c r="F19" s="4" t="inlineStr">
        <is>
          <t>中国→韓国 USD1,500相当</t>
        </is>
      </c>
    </row>
    <row r="20">
      <c r="A20" s="4" t="n">
        <v>16</v>
      </c>
      <c r="B20" s="4" t="inlineStr">
        <is>
          <t>容積 S/M/L</t>
        </is>
      </c>
      <c r="C20" s="53" t="inlineStr">
        <is>
          <t>0.048/0.079/0.113 CBM</t>
        </is>
      </c>
      <c r="D20" s="6" t="inlineStr">
        <is>
          <t>B</t>
        </is>
      </c>
      <c r="E20" s="4" t="inlineStr">
        <is>
          <t>製品仕様書・外箱寸法</t>
        </is>
      </c>
      <c r="F20" s="4" t="inlineStr">
        <is>
          <t>外寸想定から算出</t>
        </is>
      </c>
    </row>
    <row r="21">
      <c r="A21" s="4" t="n">
        <v>17</v>
      </c>
      <c r="B21" s="4" t="inlineStr">
        <is>
          <t>次回入荷までの日数</t>
        </is>
      </c>
      <c r="C21" s="53" t="inlineStr">
        <is>
          <t>60日</t>
        </is>
      </c>
      <c r="D21" s="6" t="inlineStr">
        <is>
          <t>B</t>
        </is>
      </c>
      <c r="E21" s="4" t="inlineStr">
        <is>
          <t>出荷スケジュール（11月頭出荷）</t>
        </is>
      </c>
      <c r="F21" s="4" t="inlineStr">
        <is>
          <t>韓国着を11月中旬と想定</t>
        </is>
      </c>
    </row>
    <row r="22">
      <c r="A22" s="4" t="n">
        <v>18</v>
      </c>
      <c r="B22" s="4" t="inlineStr">
        <is>
          <t>前金比率</t>
        </is>
      </c>
      <c r="C22" s="53" t="inlineStr">
        <is>
          <t>30%</t>
        </is>
      </c>
      <c r="D22" s="4" t="inlineStr">
        <is>
          <t>C</t>
        </is>
      </c>
      <c r="E22" s="4" t="inlineStr">
        <is>
          <t>サプライヤーとの契約書</t>
        </is>
      </c>
      <c r="F22" s="4" t="inlineStr">
        <is>
          <t>一般的な商慣行</t>
        </is>
      </c>
    </row>
    <row r="23">
      <c r="A23" s="4" t="n">
        <v>19</v>
      </c>
      <c r="B23" s="4" t="inlineStr">
        <is>
          <t>リードタイム（製造+輸送+通関）</t>
        </is>
      </c>
      <c r="C23" s="53" t="inlineStr">
        <is>
          <t>90日</t>
        </is>
      </c>
      <c r="D23" s="4" t="inlineStr">
        <is>
          <t>C</t>
        </is>
      </c>
      <c r="E23" s="4" t="inlineStr">
        <is>
          <t>サプライヤー・フォワーダー</t>
        </is>
      </c>
      <c r="F23" s="4" t="inlineStr">
        <is>
          <t>製造60+輸送20+通関10</t>
        </is>
      </c>
    </row>
    <row r="24">
      <c r="A24" s="4" t="n">
        <v>20</v>
      </c>
      <c r="B24" s="4" t="inlineStr">
        <is>
          <t>入金サイト</t>
        </is>
      </c>
      <c r="C24" s="53" t="inlineStr">
        <is>
          <t>30日</t>
        </is>
      </c>
      <c r="D24" s="4" t="inlineStr">
        <is>
          <t>C</t>
        </is>
      </c>
      <c r="E24" s="4" t="inlineStr">
        <is>
          <t>各モールの精算サイクル</t>
        </is>
      </c>
      <c r="F24" s="4" t="inlineStr">
        <is>
          <t>モール締め日基準</t>
        </is>
      </c>
    </row>
    <row r="25">
      <c r="A25" s="4" t="n">
        <v>21</v>
      </c>
      <c r="B25" s="4" t="inlineStr">
        <is>
          <t>EMS 1梱包の入数</t>
        </is>
      </c>
      <c r="C25" s="53" t="inlineStr">
        <is>
          <t>1個</t>
        </is>
      </c>
      <c r="D25" s="4" t="inlineStr">
        <is>
          <t>C</t>
        </is>
      </c>
      <c r="E25" s="4" t="inlineStr">
        <is>
          <t>EMSのサイズ規定と実測</t>
        </is>
      </c>
      <c r="F25" s="4" t="inlineStr">
        <is>
          <t>3辺合計135cm級のため</t>
        </is>
      </c>
    </row>
    <row r="26">
      <c r="A26" s="4" t="n">
        <v>22</v>
      </c>
      <c r="B26" s="4" t="inlineStr">
        <is>
          <t>ハンドキャリー持込個数</t>
        </is>
      </c>
      <c r="C26" s="53" t="inlineStr">
        <is>
          <t>3個</t>
        </is>
      </c>
      <c r="D26" s="4" t="inlineStr">
        <is>
          <t>C</t>
        </is>
      </c>
      <c r="E26" s="4" t="inlineStr">
        <is>
          <t>航空会社の手荷物規定</t>
        </is>
      </c>
      <c r="F26" s="4" t="inlineStr">
        <is>
          <t>預け2＋機内持込1</t>
        </is>
      </c>
    </row>
    <row r="27">
      <c r="A27" s="4" t="n">
        <v>23</v>
      </c>
      <c r="B27" s="4" t="inlineStr">
        <is>
          <t>LCL小口便 最低費用</t>
        </is>
      </c>
      <c r="C27" s="53" t="inlineStr">
        <is>
          <t>400,000W</t>
        </is>
      </c>
      <c r="D27" s="4" t="inlineStr">
        <is>
          <t>C</t>
        </is>
      </c>
      <c r="E27" s="4" t="inlineStr">
        <is>
          <t>フォワーダー見積</t>
        </is>
      </c>
      <c r="F27" s="4" t="inlineStr">
        <is>
          <t>最低料金2CBM相当+諸チャージ</t>
        </is>
      </c>
    </row>
    <row r="28">
      <c r="A28" s="4" t="n">
        <v>24</v>
      </c>
      <c r="B28" s="4" t="inlineStr">
        <is>
          <t>12ヶ月内リピート率</t>
        </is>
      </c>
      <c r="C28" s="53" t="inlineStr">
        <is>
          <t>3%</t>
        </is>
      </c>
      <c r="D28" s="4" t="inlineStr">
        <is>
          <t>C</t>
        </is>
      </c>
      <c r="E28" s="4" t="inlineStr">
        <is>
          <t>ネイバー/クーパンの購入者データ</t>
        </is>
      </c>
      <c r="F28" s="4" t="inlineStr">
        <is>
          <t>買替サイクル7年</t>
        </is>
      </c>
    </row>
    <row r="29">
      <c r="A29" s="4" t="n">
        <v>25</v>
      </c>
      <c r="B29" s="4" t="inlineStr">
        <is>
          <t>悲観/楽観の係数</t>
        </is>
      </c>
      <c r="C29" s="53" t="inlineStr">
        <is>
          <t>数量±50% / CPA±20-50%</t>
        </is>
      </c>
      <c r="D29" s="4" t="inlineStr">
        <is>
          <t>C</t>
        </is>
      </c>
      <c r="E29" s="4" t="inlineStr">
        <is>
          <t>—</t>
        </is>
      </c>
      <c r="F29" s="4" t="inlineStr">
        <is>
          <t>一般的なシナリオ幅</t>
        </is>
      </c>
    </row>
    <row r="30">
      <c r="A30" s="4" t="n">
        <v>26</v>
      </c>
      <c r="B30" s="4" t="inlineStr">
        <is>
          <t>TAM/SAM/SOM</t>
        </is>
      </c>
      <c r="C30" s="53" t="inlineStr">
        <is>
          <t>03_Market参照</t>
        </is>
      </c>
      <c r="D30" s="4" t="inlineStr">
        <is>
          <t>C</t>
        </is>
      </c>
      <c r="E30" s="4" t="inlineStr">
        <is>
          <t>矢野経済・統計庁・モールランキング</t>
        </is>
      </c>
      <c r="F30" s="4" t="inlineStr">
        <is>
          <t>人口と買替サイクルからの積み上げ</t>
        </is>
      </c>
    </row>
    <row r="31">
      <c r="A31" s="4" t="n">
        <v>27</v>
      </c>
      <c r="B31" s="4" t="inlineStr">
        <is>
          <t>競合4社のデータ</t>
        </is>
      </c>
      <c r="C31" s="53" t="inlineStr">
        <is>
          <t>04_Competitor参照</t>
        </is>
      </c>
      <c r="D31" s="4" t="inlineStr">
        <is>
          <t>C</t>
        </is>
      </c>
      <c r="E31" s="4" t="inlineStr">
        <is>
          <t>ネイバー/クーパンのカテゴリランキング</t>
        </is>
      </c>
      <c r="F31" s="4" t="inlineStr">
        <is>
          <t>枠のみ。実データ未取得</t>
        </is>
      </c>
    </row>
    <row r="32">
      <c r="A32" s="4" t="n">
        <v>28</v>
      </c>
      <c r="B32" s="4" t="inlineStr">
        <is>
          <t>ファネル各段階</t>
        </is>
      </c>
      <c r="C32" s="53" t="inlineStr">
        <is>
          <t>09_Funnel参照</t>
        </is>
      </c>
      <c r="D32" s="6" t="inlineStr">
        <is>
          <t>B</t>
        </is>
      </c>
      <c r="E32" s="4" t="inlineStr">
        <is>
          <t>各媒体+モールの管理画面</t>
        </is>
      </c>
      <c r="F32" s="4" t="inlineStr">
        <is>
          <t>業界ベンチマークで仮置き</t>
        </is>
      </c>
    </row>
    <row r="33">
      <c r="A33" s="14" t="inlineStr">
        <is>
          <t>注記</t>
        </is>
      </c>
    </row>
    <row r="34">
      <c r="A34" s="2" t="inlineStr">
        <is>
          <t>影響度A（赤）は5件。この5件が揃えば投資判断の確度が大きく上がります。</t>
        </is>
      </c>
    </row>
    <row r="35">
      <c r="A35" s="2" t="inlineStr">
        <is>
          <t>影響度B（橙）は金額が動く項目、Cは全体への影響が軽微な項目です。</t>
        </is>
      </c>
    </row>
    <row r="36">
      <c r="A36" s="2" t="inlineStr">
        <is>
          <t>02_Assumptions の黄色セルを書き換えると、全シートが自動で再計算されます。</t>
        </is>
      </c>
    </row>
  </sheetData>
  <mergeCells count="6">
    <mergeCell ref="A2:F2"/>
    <mergeCell ref="A33:F33"/>
    <mergeCell ref="A36:F36"/>
    <mergeCell ref="A1:F1"/>
    <mergeCell ref="A34:F34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83" t="inlineStr">
        <is>
          <t>通関費用 実績（LJ関税事務所 I26-100263M）</t>
        </is>
      </c>
    </row>
    <row r="2">
      <c r="A2" s="2" t="inlineStr">
        <is>
          <t>B/L NGTL2161196 ／ ITEM SUITCASE (TRAVEL LUGGAGE) ／ 9月10日 ／ 対象33個 ／ 全項目を検算済み（合計一致）</t>
        </is>
      </c>
    </row>
    <row r="4">
      <c r="A4" s="3" t="inlineStr">
        <is>
          <t>区分</t>
        </is>
      </c>
      <c r="B4" s="3" t="inlineStr">
        <is>
          <t>勘定科目</t>
        </is>
      </c>
      <c r="C4" s="3" t="inlineStr">
        <is>
          <t>供給価額(W)</t>
        </is>
      </c>
      <c r="D4" s="3" t="inlineStr">
        <is>
          <t>付加価値税(W)</t>
        </is>
      </c>
      <c r="E4" s="3" t="inlineStr">
        <is>
          <t>合計(W)</t>
        </is>
      </c>
      <c r="F4" s="3" t="inlineStr">
        <is>
          <t>1個あたり(W)</t>
        </is>
      </c>
      <c r="G4" s="3" t="inlineStr">
        <is>
          <t>費用の性質</t>
        </is>
      </c>
    </row>
    <row r="5">
      <c r="A5" s="4" t="inlineStr">
        <is>
          <t>運賃</t>
        </is>
      </c>
      <c r="B5" s="4" t="inlineStr">
        <is>
          <t>運賃</t>
        </is>
      </c>
      <c r="C5" s="23" t="n">
        <v>434215</v>
      </c>
      <c r="D5" s="23" t="n">
        <v>18146</v>
      </c>
      <c r="E5" s="23">
        <f>C5+D5</f>
        <v>452361</v>
      </c>
      <c r="F5" s="23">
        <f>E5/33</f>
        <v>13707.90909090909</v>
      </c>
      <c r="G5" s="4" t="inlineStr">
        <is>
          <t>容積・重量比例。800個ロットでは1個あたり大きく下がる</t>
        </is>
      </c>
    </row>
    <row r="6">
      <c r="A6" s="4" t="inlineStr">
        <is>
          <t>税金</t>
        </is>
      </c>
      <c r="B6" s="4" t="inlineStr">
        <is>
          <t>関税</t>
        </is>
      </c>
      <c r="C6" s="23" t="n">
        <v>73460</v>
      </c>
      <c r="D6" s="23" t="n">
        <v>0</v>
      </c>
      <c r="E6" s="23">
        <f>C6+D6</f>
        <v>73460</v>
      </c>
      <c r="F6" s="23">
        <f>E6/33</f>
        <v>2226.060606060606</v>
      </c>
      <c r="G6" s="4" t="inlineStr">
        <is>
          <t>申告価額比例（推定関税率6.81%）</t>
        </is>
      </c>
    </row>
    <row r="7">
      <c r="A7" s="4" t="inlineStr">
        <is>
          <t>税金</t>
        </is>
      </c>
      <c r="B7" s="4" t="inlineStr">
        <is>
          <t>付加価値税</t>
        </is>
      </c>
      <c r="C7" s="23" t="n">
        <v>0</v>
      </c>
      <c r="D7" s="23" t="n">
        <v>115290</v>
      </c>
      <c r="E7" s="23">
        <f>C7+D7</f>
        <v>115290</v>
      </c>
      <c r="F7" s="23">
        <f>E7/33</f>
        <v>3493.6363636363635</v>
      </c>
      <c r="G7" s="4" t="inlineStr">
        <is>
          <t>輸入VAT。課税事業者なら仕入税額控除で還付可能</t>
        </is>
      </c>
    </row>
    <row r="8">
      <c r="A8" s="4" t="inlineStr">
        <is>
          <t>通関経費</t>
        </is>
      </c>
      <c r="B8" s="4" t="inlineStr">
        <is>
          <t>輸入通関手数料</t>
        </is>
      </c>
      <c r="C8" s="23" t="n">
        <v>30000</v>
      </c>
      <c r="D8" s="23" t="n">
        <v>3000</v>
      </c>
      <c r="E8" s="23">
        <f>C8+D8</f>
        <v>33000</v>
      </c>
      <c r="F8" s="23">
        <f>E8/33</f>
        <v>1000</v>
      </c>
      <c r="G8" s="6" t="inlineStr">
        <is>
          <t>★固定（1申告あたり）。小口便ほど1個あたりが跳ね上がる</t>
        </is>
      </c>
    </row>
    <row r="9">
      <c r="A9" s="4" t="inlineStr">
        <is>
          <t>通関経費</t>
        </is>
      </c>
      <c r="B9" s="4" t="inlineStr">
        <is>
          <t>税関検査料</t>
        </is>
      </c>
      <c r="C9" s="23" t="n">
        <v>50000</v>
      </c>
      <c r="D9" s="23" t="n">
        <v>5000</v>
      </c>
      <c r="E9" s="23">
        <f>C9+D9</f>
        <v>55000</v>
      </c>
      <c r="F9" s="23">
        <f>E9/33</f>
        <v>1666.6666666666667</v>
      </c>
      <c r="G9" s="6" t="inlineStr">
        <is>
          <t>★固定（検査1回あたり）</t>
        </is>
      </c>
    </row>
    <row r="10">
      <c r="A10" s="4" t="inlineStr">
        <is>
          <t>通関経費</t>
        </is>
      </c>
      <c r="B10" s="4" t="inlineStr">
        <is>
          <t>運送料</t>
        </is>
      </c>
      <c r="C10" s="23" t="n">
        <v>140000</v>
      </c>
      <c r="D10" s="23" t="n">
        <v>14000</v>
      </c>
      <c r="E10" s="23">
        <f>C10+D10</f>
        <v>154000</v>
      </c>
      <c r="F10" s="23">
        <f>E10/33</f>
        <v>4666.666666666667</v>
      </c>
      <c r="G10" s="4" t="inlineStr">
        <is>
          <t>国内配送。数量比例</t>
        </is>
      </c>
    </row>
    <row r="11">
      <c r="A11" s="4" t="inlineStr">
        <is>
          <t>通関経費</t>
        </is>
      </c>
      <c r="B11" s="4" t="inlineStr">
        <is>
          <t>倉庫料</t>
        </is>
      </c>
      <c r="C11" s="23" t="n">
        <v>148000</v>
      </c>
      <c r="D11" s="23" t="n">
        <v>14800</v>
      </c>
      <c r="E11" s="23">
        <f>C11+D11</f>
        <v>162800</v>
      </c>
      <c r="F11" s="23">
        <f>E11/33</f>
        <v>4933.333333333333</v>
      </c>
      <c r="G11" s="4" t="inlineStr">
        <is>
          <t>数量・保管日数比例</t>
        </is>
      </c>
    </row>
    <row r="12">
      <c r="A12" s="30" t="inlineStr">
        <is>
          <t>合計</t>
        </is>
      </c>
      <c r="B12" s="30" t="inlineStr"/>
      <c r="C12" s="18">
        <f>SUM(C5:C11)</f>
        <v>875675</v>
      </c>
      <c r="D12" s="18">
        <f>SUM(D5:D11)</f>
        <v>170236</v>
      </c>
      <c r="E12" s="18">
        <f>SUM(E5:E11)</f>
        <v>1045911</v>
      </c>
      <c r="F12" s="18">
        <f>E12/33</f>
        <v>31694.272727272728</v>
      </c>
      <c r="G12" s="30" t="inlineStr">
        <is>
          <t>請求書合計 1,045,911W と一致</t>
        </is>
      </c>
    </row>
    <row r="14">
      <c r="A14" s="14" t="inlineStr">
        <is>
          <t>1個あたり通関費（33個便）</t>
        </is>
      </c>
    </row>
    <row r="15">
      <c r="A15" s="3" t="inlineStr">
        <is>
          <t>基準</t>
        </is>
      </c>
      <c r="B15" s="3" t="inlineStr">
        <is>
          <t>ウォン/個</t>
        </is>
      </c>
      <c r="C15" s="3" t="inlineStr">
        <is>
          <t>円/個</t>
        </is>
      </c>
      <c r="D15" s="3" t="inlineStr"/>
      <c r="E15" s="3" t="inlineStr"/>
      <c r="F15" s="3" t="inlineStr"/>
      <c r="G15" s="3" t="inlineStr">
        <is>
          <t>注記</t>
        </is>
      </c>
    </row>
    <row r="16">
      <c r="A16" s="4" t="inlineStr">
        <is>
          <t>VAT込（現金支出ベース）</t>
        </is>
      </c>
      <c r="B16" s="23" t="n">
        <v>31694.27272727273</v>
      </c>
      <c r="C16" s="26">
        <f>B16*'02_Assumptions'!$B$5</f>
        <v>3486.37</v>
      </c>
      <c r="D16" s="4" t="inlineStr"/>
      <c r="E16" s="4" t="inlineStr"/>
      <c r="F16" s="4" t="inlineStr"/>
      <c r="G16" s="4" t="inlineStr">
        <is>
          <t>実際に振り込んだ金額ベース</t>
        </is>
      </c>
    </row>
    <row r="17">
      <c r="A17" s="4" t="inlineStr">
        <is>
          <t>VAT除（原価計上ベース）</t>
        </is>
      </c>
      <c r="B17" s="23" t="n">
        <v>26535.60606060606</v>
      </c>
      <c r="C17" s="25">
        <f>B17*'02_Assumptions'!$B$5</f>
        <v>2918.9166666666665</v>
      </c>
      <c r="D17" s="4" t="inlineStr"/>
      <c r="E17" s="4" t="inlineStr"/>
      <c r="F17" s="4" t="inlineStr"/>
      <c r="G17" s="48" t="inlineStr">
        <is>
          <t>輸入VATは仕入税額控除で還付される前提。06_Unit Economics はこちらを採用</t>
        </is>
      </c>
    </row>
    <row r="19">
      <c r="A19" s="14" t="inlineStr">
        <is>
          <t>★申告価額の乖離（要確認）</t>
        </is>
      </c>
    </row>
    <row r="20">
      <c r="A20" s="3" t="inlineStr">
        <is>
          <t>項目</t>
        </is>
      </c>
      <c r="B20" s="3" t="inlineStr">
        <is>
          <t>金額(W)</t>
        </is>
      </c>
      <c r="C20" s="3" t="inlineStr">
        <is>
          <t>1個あたり(W)</t>
        </is>
      </c>
      <c r="D20" s="3" t="inlineStr"/>
      <c r="E20" s="3" t="inlineStr"/>
      <c r="F20" s="3" t="inlineStr"/>
      <c r="G20" s="3" t="inlineStr"/>
    </row>
    <row r="21">
      <c r="A21" s="4" t="inlineStr">
        <is>
          <t>輸入VAT課税標準（VAT÷10%）</t>
        </is>
      </c>
      <c r="B21" s="23" t="n">
        <v>1152900</v>
      </c>
      <c r="C21" s="23" t="n">
        <v>34936.36363636364</v>
      </c>
      <c r="D21" s="4" t="inlineStr"/>
      <c r="E21" s="4" t="inlineStr"/>
      <c r="F21" s="4" t="inlineStr"/>
      <c r="G21" s="4" t="inlineStr"/>
    </row>
    <row r="22">
      <c r="A22" s="4" t="inlineStr">
        <is>
          <t>推定CIF申告価額（課税標準−関税）</t>
        </is>
      </c>
      <c r="B22" s="23" t="n">
        <v>1079440</v>
      </c>
      <c r="C22" s="23" t="n">
        <v>32710.30303030303</v>
      </c>
      <c r="D22" s="4" t="inlineStr"/>
      <c r="E22" s="4" t="inlineStr"/>
      <c r="F22" s="4" t="inlineStr"/>
      <c r="G22" s="4" t="inlineStr"/>
    </row>
    <row r="23">
      <c r="A23" s="4" t="inlineStr">
        <is>
          <t>社内原価ベース（S18×10万＋M15×15万）</t>
        </is>
      </c>
      <c r="B23" s="23" t="n">
        <v>4050000</v>
      </c>
      <c r="C23" s="23" t="n">
        <v>122727.2727272727</v>
      </c>
      <c r="D23" s="4" t="inlineStr"/>
      <c r="E23" s="4" t="inlineStr"/>
      <c r="F23" s="4" t="inlineStr"/>
      <c r="G23" s="4" t="inlineStr"/>
    </row>
    <row r="24">
      <c r="A24" s="4" t="inlineStr">
        <is>
          <t>乖離率（申告CIF ÷ 社内原価）</t>
        </is>
      </c>
      <c r="B24" s="63" t="n">
        <v>0.2665283950617284</v>
      </c>
      <c r="C24" s="23" t="n"/>
      <c r="D24" s="4" t="inlineStr"/>
      <c r="E24" s="4" t="inlineStr"/>
      <c r="F24" s="4" t="inlineStr"/>
      <c r="G24" s="4" t="inlineStr"/>
    </row>
    <row r="25">
      <c r="A25" s="14" t="inlineStr">
        <is>
          <t>注記</t>
        </is>
      </c>
    </row>
    <row r="26">
      <c r="A26" s="2" t="inlineStr">
        <is>
          <t>★申告CIF（推定 1個32,710W）が社内原価（1個122,727W）の26.7%しかない。考えられる理由は ①社内原価がFOB以外（金型・付属品・国内費用等）を含む ②申告価額が実取引価額と異なる。</t>
        </is>
      </c>
    </row>
    <row r="27">
      <c r="A27" s="2" t="inlineStr">
        <is>
          <t>後者の場合は追徴課税・罰則のリスクがあるため、通関士に申告価額の内訳を確認すること。前者なら社内原価の定義を整理すること。いずれにせよ800個ロット前に確定が必要。</t>
        </is>
      </c>
    </row>
    <row r="28">
      <c r="A28" s="2" t="inlineStr">
        <is>
          <t>★固定費（輸入通関手数料30,000W＋税関検査料50,000W＝88,000W税込）は数量に関わらず発生する。小口の補填便を立てるほど1個あたりが悪化する。</t>
        </is>
      </c>
    </row>
  </sheetData>
  <mergeCells count="8">
    <mergeCell ref="A14:G14"/>
    <mergeCell ref="A1:G1"/>
    <mergeCell ref="A27:G27"/>
    <mergeCell ref="A26:G26"/>
    <mergeCell ref="A2:G2"/>
    <mergeCell ref="A25:G25"/>
    <mergeCell ref="A19:G19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54" customWidth="1" min="7" max="7"/>
  </cols>
  <sheetData>
    <row r="1">
      <c r="A1" s="83" t="inlineStr">
        <is>
          <t>800個ロット 通関費の積み上げ試算（仮）</t>
        </is>
      </c>
    </row>
    <row r="2">
      <c r="A2" s="2" t="inlineStr">
        <is>
          <t>33個便の実績（19_通関費用実績）を出発点に、800個・40ftコンテナ前提で置き直したもの。通関士の正式見積で差し替えてください。</t>
        </is>
      </c>
    </row>
    <row r="4">
      <c r="A4" s="14" t="inlineStr">
        <is>
          <t>① 容積の試算</t>
        </is>
      </c>
    </row>
    <row r="5">
      <c r="A5" s="3" t="inlineStr">
        <is>
          <t>SKU</t>
        </is>
      </c>
      <c r="B5" s="3" t="inlineStr">
        <is>
          <t>寸法想定</t>
        </is>
      </c>
      <c r="C5" s="3" t="inlineStr">
        <is>
          <t>容積(CBM/個)</t>
        </is>
      </c>
      <c r="D5" s="3" t="inlineStr">
        <is>
          <t>ミックス比率</t>
        </is>
      </c>
      <c r="E5" s="3" t="inlineStr">
        <is>
          <t>加重容積</t>
        </is>
      </c>
      <c r="F5" s="3" t="inlineStr"/>
      <c r="G5" s="3" t="inlineStr"/>
    </row>
    <row r="6">
      <c r="A6" s="4" t="inlineStr">
        <is>
          <t>S</t>
        </is>
      </c>
      <c r="B6" s="4" t="inlineStr">
        <is>
          <t>55×38×23cm</t>
        </is>
      </c>
      <c r="C6" s="68">
        <f>'02_Assumptions'!$B$49</f>
        <v>0.048</v>
      </c>
      <c r="D6" s="32">
        <f>'02_Assumptions'!$B$25</f>
        <v>0.4</v>
      </c>
      <c r="E6" s="69">
        <f>C6*D6</f>
        <v>0.019200000000000002</v>
      </c>
      <c r="F6" s="4" t="inlineStr"/>
      <c r="G6" s="4" t="inlineStr">
        <is>
          <t>仮定寸法</t>
        </is>
      </c>
    </row>
    <row r="7">
      <c r="A7" s="4" t="inlineStr">
        <is>
          <t>M</t>
        </is>
      </c>
      <c r="B7" s="4" t="inlineStr">
        <is>
          <t>65×45×27cm</t>
        </is>
      </c>
      <c r="C7" s="68">
        <f>'02_Assumptions'!$B$50</f>
        <v>0.079</v>
      </c>
      <c r="D7" s="32">
        <f>'02_Assumptions'!$B$26</f>
        <v>0.4</v>
      </c>
      <c r="E7" s="69">
        <f>C7*D7</f>
        <v>0.0316</v>
      </c>
      <c r="F7" s="4" t="inlineStr"/>
      <c r="G7" s="4" t="inlineStr">
        <is>
          <t>仮定寸法</t>
        </is>
      </c>
    </row>
    <row r="8">
      <c r="A8" s="4" t="inlineStr">
        <is>
          <t>L</t>
        </is>
      </c>
      <c r="B8" s="4" t="inlineStr">
        <is>
          <t>75×50×30cm</t>
        </is>
      </c>
      <c r="C8" s="68">
        <f>'02_Assumptions'!$B$51</f>
        <v>0.113</v>
      </c>
      <c r="D8" s="32">
        <f>'02_Assumptions'!$B$27</f>
        <v>0.2</v>
      </c>
      <c r="E8" s="69">
        <f>C8*D8</f>
        <v>0.022600000000000002</v>
      </c>
      <c r="F8" s="4" t="inlineStr"/>
      <c r="G8" s="4" t="inlineStr">
        <is>
          <t>仮定寸法</t>
        </is>
      </c>
    </row>
    <row r="9">
      <c r="A9" s="30" t="inlineStr">
        <is>
          <t>MIX 平均</t>
        </is>
      </c>
      <c r="B9" s="30" t="inlineStr"/>
      <c r="C9" s="30" t="inlineStr"/>
      <c r="D9" s="30" t="inlineStr"/>
      <c r="E9" s="19">
        <f>'02_Assumptions'!$B$72</f>
        <v>0.0734</v>
      </c>
      <c r="F9" s="30" t="inlineStr"/>
      <c r="G9" s="30" t="inlineStr">
        <is>
          <t>CBM/個</t>
        </is>
      </c>
    </row>
    <row r="10">
      <c r="A10" s="30" t="inlineStr">
        <is>
          <t>800個 総容積</t>
        </is>
      </c>
      <c r="B10" s="30" t="inlineStr"/>
      <c r="C10" s="30" t="inlineStr"/>
      <c r="D10" s="30" t="inlineStr"/>
      <c r="E10" s="20">
        <f>'02_Assumptions'!$B$73</f>
        <v>58.720000000000006</v>
      </c>
      <c r="F10" s="30" t="inlineStr"/>
      <c r="G10" s="30" t="inlineStr">
        <is>
          <t>CBM。40ftHC（67CBM）1本に収まる</t>
        </is>
      </c>
    </row>
    <row r="12">
      <c r="A12" s="14" t="inlineStr">
        <is>
          <t>② 通関費の積み上げ（VAT除・仮）</t>
        </is>
      </c>
    </row>
    <row r="13">
      <c r="A13" s="3" t="inlineStr">
        <is>
          <t>項目</t>
        </is>
      </c>
      <c r="B13" s="3" t="inlineStr">
        <is>
          <t>金額(W)</t>
        </is>
      </c>
      <c r="C13" s="3" t="inlineStr">
        <is>
          <t>1個あたり(W)</t>
        </is>
      </c>
      <c r="D13" s="3" t="inlineStr">
        <is>
          <t>1個あたり(円)</t>
        </is>
      </c>
      <c r="E13" s="3" t="inlineStr">
        <is>
          <t>性質</t>
        </is>
      </c>
      <c r="F13" s="3" t="inlineStr">
        <is>
          <t>33個便実績(1個)</t>
        </is>
      </c>
      <c r="G13" s="3" t="inlineStr">
        <is>
          <t>置き方</t>
        </is>
      </c>
    </row>
    <row r="14">
      <c r="A14" s="4" t="inlineStr">
        <is>
          <t>海上運賃(40ftHC)</t>
        </is>
      </c>
      <c r="B14" s="50">
        <f>'02_Assumptions'!$B$52</f>
        <v>2000000</v>
      </c>
      <c r="C14" s="23">
        <f>B14/'02_Assumptions'!$B$28</f>
        <v>2500</v>
      </c>
      <c r="D14" s="22">
        <f>C14*'02_Assumptions'!$B$5</f>
        <v>275</v>
      </c>
      <c r="E14" s="4" t="inlineStr">
        <is>
          <t>容積比例</t>
        </is>
      </c>
      <c r="F14" s="23" t="n">
        <v>13708</v>
      </c>
      <c r="G14" s="48" t="inlineStr">
        <is>
          <t>仮: USD1,500相当。33個便は少量便のため13,708W/個だった</t>
        </is>
      </c>
    </row>
    <row r="15">
      <c r="A15" s="4" t="inlineStr">
        <is>
          <t>国内運送料</t>
        </is>
      </c>
      <c r="B15" s="50" t="n">
        <v>800000</v>
      </c>
      <c r="C15" s="23">
        <f>B15/'02_Assumptions'!$B$28</f>
        <v>1000</v>
      </c>
      <c r="D15" s="22">
        <f>C15*'02_Assumptions'!$B$5</f>
        <v>110</v>
      </c>
      <c r="E15" s="4" t="inlineStr">
        <is>
          <t>数量比例</t>
        </is>
      </c>
      <c r="F15" s="23" t="n">
        <v>4667</v>
      </c>
      <c r="G15" s="4" t="inlineStr">
        <is>
          <t>仮: 33個便140,000W→大型車複数便</t>
        </is>
      </c>
    </row>
    <row r="16">
      <c r="A16" s="4" t="inlineStr">
        <is>
          <t>倉庫料</t>
        </is>
      </c>
      <c r="B16" s="50" t="n">
        <v>2000000</v>
      </c>
      <c r="C16" s="23">
        <f>B16/'02_Assumptions'!$B$28</f>
        <v>2500</v>
      </c>
      <c r="D16" s="22">
        <f>C16*'02_Assumptions'!$B$5</f>
        <v>275</v>
      </c>
      <c r="E16" s="4" t="inlineStr">
        <is>
          <t>数量・日数比例</t>
        </is>
      </c>
      <c r="F16" s="23" t="n">
        <v>4933</v>
      </c>
      <c r="G16" s="4" t="inlineStr">
        <is>
          <t>仮: 33個便148,000W→保管量増</t>
        </is>
      </c>
    </row>
    <row r="17">
      <c r="A17" s="4" t="inlineStr">
        <is>
          <t>通関手数料+検査料</t>
        </is>
      </c>
      <c r="B17" s="50" t="n">
        <v>88000</v>
      </c>
      <c r="C17" s="23">
        <f>B17/'02_Assumptions'!$B$28</f>
        <v>110</v>
      </c>
      <c r="D17" s="22">
        <f>C17*'02_Assumptions'!$B$5</f>
        <v>12.1</v>
      </c>
      <c r="E17" s="6" t="inlineStr">
        <is>
          <t>★固定（1申告）</t>
        </is>
      </c>
      <c r="F17" s="23" t="n">
        <v>2667</v>
      </c>
      <c r="G17" s="4" t="inlineStr">
        <is>
          <t>実績と同額。数量で割るため1個あたりは激減</t>
        </is>
      </c>
    </row>
    <row r="18">
      <c r="A18" s="4" t="inlineStr">
        <is>
          <t>関税</t>
        </is>
      </c>
      <c r="B18" s="50">
        <f>32710*'02_Assumptions'!$B$28*0.0681</f>
        <v>1782040.7999999998</v>
      </c>
      <c r="C18" s="23">
        <f>B18/'02_Assumptions'!$B$28</f>
        <v>2227.551</v>
      </c>
      <c r="D18" s="22">
        <f>C18*'02_Assumptions'!$B$5</f>
        <v>245.03061</v>
      </c>
      <c r="E18" s="4" t="inlineStr">
        <is>
          <t>申告価額比例</t>
        </is>
      </c>
      <c r="F18" s="23" t="n">
        <v>2226</v>
      </c>
      <c r="G18" s="48" t="inlineStr">
        <is>
          <t>仮: 申告CIF 32,710W/個（33個便水準）×6.81%</t>
        </is>
      </c>
    </row>
    <row r="19">
      <c r="A19" s="30" t="inlineStr">
        <is>
          <t>合計（VAT除）</t>
        </is>
      </c>
      <c r="B19" s="18">
        <f>SUM(B14:B18)</f>
        <v>6670040.8</v>
      </c>
      <c r="C19" s="18">
        <f>B19/'02_Assumptions'!$B$28</f>
        <v>8337.551</v>
      </c>
      <c r="D19" s="16">
        <f>C19*'02_Assumptions'!$B$5</f>
        <v>917.1306099999999</v>
      </c>
      <c r="E19" s="30" t="inlineStr"/>
      <c r="F19" s="18" t="n">
        <v>26536</v>
      </c>
      <c r="G19" s="30" t="inlineStr">
        <is>
          <t>33個便実績は26,536W/個（2,919円）</t>
        </is>
      </c>
    </row>
    <row r="21">
      <c r="A21" s="30" t="inlineStr">
        <is>
          <t>★採用値（丸め）</t>
        </is>
      </c>
      <c r="B21" s="30" t="inlineStr"/>
      <c r="C21" s="30" t="inlineStr"/>
      <c r="D21" s="70">
        <f>'02_Assumptions'!$B$14</f>
        <v>1000</v>
      </c>
      <c r="E21" s="30" t="inlineStr"/>
      <c r="F21" s="30" t="inlineStr"/>
      <c r="G21" s="61" t="inlineStr">
        <is>
          <t>積み上げ917円を1,000円に丸めて02_Assumptionsに採用。通関士見積で差し替え</t>
        </is>
      </c>
    </row>
    <row r="23">
      <c r="A23" s="14" t="inlineStr">
        <is>
          <t>③ 感応度：通関費が想定より高かった場合</t>
        </is>
      </c>
    </row>
    <row r="24">
      <c r="A24" s="3" t="inlineStr">
        <is>
          <t>通関費/個(円)</t>
        </is>
      </c>
      <c r="B24" s="3" t="inlineStr">
        <is>
          <t>MIX粗利</t>
        </is>
      </c>
      <c r="C24" s="3" t="inlineStr">
        <is>
          <t>MIX限界利益@目標CPA</t>
        </is>
      </c>
      <c r="D24" s="3" t="inlineStr">
        <is>
          <t>損益分岐(個/月)</t>
        </is>
      </c>
      <c r="E24" s="3" t="inlineStr">
        <is>
          <t>損益分岐(個/年)</t>
        </is>
      </c>
      <c r="F24" s="3" t="inlineStr"/>
      <c r="G24" s="3" t="inlineStr"/>
    </row>
    <row r="25">
      <c r="A25" s="22" t="n">
        <v>500</v>
      </c>
      <c r="B25" s="22">
        <f>'02_Assumptions'!$B$59-'02_Assumptions'!$B$59*'02_Assumptions'!$B$12-'02_Assumptions'!$B$13-'02_Assumptions'!$B$60-A25-'02_Assumptions'!$B$16-'02_Assumptions'!$B$17</f>
        <v>8232</v>
      </c>
      <c r="C25" s="22">
        <f>B25-'02_Assumptions'!$B$18</f>
        <v>3732</v>
      </c>
      <c r="D25" s="43">
        <f>ROUNDUP('02_Assumptions'!$B$57/C25,0)</f>
        <v>113</v>
      </c>
      <c r="E25" s="23">
        <f>D25*12</f>
        <v>1356</v>
      </c>
      <c r="F25" s="4" t="inlineStr"/>
      <c r="G25" s="4" t="inlineStr">
        <is>
          <t>仮</t>
        </is>
      </c>
    </row>
    <row r="26">
      <c r="A26" s="25" t="n">
        <v>1000</v>
      </c>
      <c r="B26" s="22">
        <f>'02_Assumptions'!$B$59-'02_Assumptions'!$B$59*'02_Assumptions'!$B$12-'02_Assumptions'!$B$13-'02_Assumptions'!$B$60-A26-'02_Assumptions'!$B$16-'02_Assumptions'!$B$17</f>
        <v>7732</v>
      </c>
      <c r="C26" s="22">
        <f>B26-'02_Assumptions'!$B$18</f>
        <v>3232</v>
      </c>
      <c r="D26" s="43">
        <f>ROUNDUP('02_Assumptions'!$B$57/C26,0)</f>
        <v>131</v>
      </c>
      <c r="E26" s="23">
        <f>D26*12</f>
        <v>1572</v>
      </c>
      <c r="F26" s="4" t="inlineStr"/>
      <c r="G26" s="4" t="inlineStr">
        <is>
          <t>仮</t>
        </is>
      </c>
    </row>
    <row r="27">
      <c r="A27" s="22" t="n">
        <v>1500</v>
      </c>
      <c r="B27" s="22">
        <f>'02_Assumptions'!$B$59-'02_Assumptions'!$B$59*'02_Assumptions'!$B$12-'02_Assumptions'!$B$13-'02_Assumptions'!$B$60-A27-'02_Assumptions'!$B$16-'02_Assumptions'!$B$17</f>
        <v>7232</v>
      </c>
      <c r="C27" s="22">
        <f>B27-'02_Assumptions'!$B$18</f>
        <v>2732</v>
      </c>
      <c r="D27" s="43">
        <f>ROUNDUP('02_Assumptions'!$B$57/C27,0)</f>
        <v>155</v>
      </c>
      <c r="E27" s="23">
        <f>D27*12</f>
        <v>1860</v>
      </c>
      <c r="F27" s="4" t="inlineStr"/>
      <c r="G27" s="4" t="inlineStr">
        <is>
          <t>仮</t>
        </is>
      </c>
    </row>
    <row r="28">
      <c r="A28" s="22" t="n">
        <v>2000</v>
      </c>
      <c r="B28" s="22">
        <f>'02_Assumptions'!$B$59-'02_Assumptions'!$B$59*'02_Assumptions'!$B$12-'02_Assumptions'!$B$13-'02_Assumptions'!$B$60-A28-'02_Assumptions'!$B$16-'02_Assumptions'!$B$17</f>
        <v>6732</v>
      </c>
      <c r="C28" s="22">
        <f>B28-'02_Assumptions'!$B$18</f>
        <v>2232</v>
      </c>
      <c r="D28" s="43">
        <f>ROUNDUP('02_Assumptions'!$B$57/C28,0)</f>
        <v>189</v>
      </c>
      <c r="E28" s="23">
        <f>D28*12</f>
        <v>2268</v>
      </c>
      <c r="F28" s="4" t="inlineStr"/>
      <c r="G28" s="4" t="inlineStr">
        <is>
          <t>仮</t>
        </is>
      </c>
    </row>
    <row r="29">
      <c r="A29" s="22" t="n">
        <v>2919</v>
      </c>
      <c r="B29" s="22">
        <f>'02_Assumptions'!$B$59-'02_Assumptions'!$B$59*'02_Assumptions'!$B$12-'02_Assumptions'!$B$13-'02_Assumptions'!$B$60-A29-'02_Assumptions'!$B$16-'02_Assumptions'!$B$17</f>
        <v>5813</v>
      </c>
      <c r="C29" s="22">
        <f>B29-'02_Assumptions'!$B$18</f>
        <v>1313</v>
      </c>
      <c r="D29" s="31">
        <f>ROUNDUP('02_Assumptions'!$B$57/C29,0)</f>
        <v>321</v>
      </c>
      <c r="E29" s="23">
        <f>D29*12</f>
        <v>3852</v>
      </c>
      <c r="F29" s="4" t="inlineStr"/>
      <c r="G29" s="4" t="inlineStr">
        <is>
          <t>33個便実績</t>
        </is>
      </c>
    </row>
    <row r="30">
      <c r="A30" s="14" t="inlineStr">
        <is>
          <t>注記</t>
        </is>
      </c>
    </row>
    <row r="31">
      <c r="A31" s="2" t="inlineStr">
        <is>
          <t>★固定費（通関手数料30,000W＋検査料50,000W）は1申告あたり。33個便では1個2,667Wだったが、800個なら110Wまで下がる。</t>
        </is>
      </c>
    </row>
    <row r="32">
      <c r="A32" s="2" t="inlineStr">
        <is>
          <t>★最大の不確実性は海上運賃。33個便は少量便で1個13,708Wだったが、40ftコンテナなら1個2,500W程度まで下がる想定。通関士・フォワーダーの見積で確定させること。</t>
        </is>
      </c>
    </row>
    <row r="33">
      <c r="A33" s="2" t="inlineStr">
        <is>
          <t>★申告CIF価額（32,710W/個）は33個便の水準を踏襲。19_通関費用実績で指摘した社内原価との乖離（26.7%）が未解決のため、関税額は変動しうる。</t>
        </is>
      </c>
    </row>
  </sheetData>
  <mergeCells count="9">
    <mergeCell ref="A32:G32"/>
    <mergeCell ref="A1:G1"/>
    <mergeCell ref="A31:G31"/>
    <mergeCell ref="A12:G12"/>
    <mergeCell ref="A4:G4"/>
    <mergeCell ref="A30:G30"/>
    <mergeCell ref="A2:G2"/>
    <mergeCell ref="A33:G33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50" customWidth="1" min="7" max="7"/>
  </cols>
  <sheetData>
    <row r="1">
      <c r="A1" s="83" t="inlineStr">
        <is>
          <t>チャネル別 手数料の推定（仮）</t>
        </is>
      </c>
    </row>
    <row r="2">
      <c r="A2" s="2" t="inlineStr">
        <is>
          <t>ご指定の4%は自社EC/PG単体の水準に近い値です。モール販売の実態を仮で置き、加重平均を出しました。契約書・精算レポートで差し替えてください。</t>
        </is>
      </c>
    </row>
    <row r="4">
      <c r="A4" s="3" t="inlineStr">
        <is>
          <t>チャネル</t>
        </is>
      </c>
      <c r="B4" s="3" t="inlineStr">
        <is>
          <t>販売手数料</t>
        </is>
      </c>
      <c r="C4" s="3" t="inlineStr">
        <is>
          <t>決済手数料</t>
        </is>
      </c>
      <c r="D4" s="3" t="inlineStr">
        <is>
          <t>ポイント負担</t>
        </is>
      </c>
      <c r="E4" s="3" t="inlineStr">
        <is>
          <t>合計</t>
        </is>
      </c>
      <c r="F4" s="3" t="inlineStr">
        <is>
          <t>売上構成比（仮）</t>
        </is>
      </c>
      <c r="G4" s="3" t="inlineStr">
        <is>
          <t>根拠・注記</t>
        </is>
      </c>
    </row>
    <row r="5">
      <c r="A5" s="4" t="inlineStr">
        <is>
          <t>ネイバースマートストア</t>
        </is>
      </c>
      <c r="B5" s="32" t="n">
        <v>0.02</v>
      </c>
      <c r="C5" s="32" t="n">
        <v>0.034</v>
      </c>
      <c r="D5" s="32" t="n">
        <v>0.01</v>
      </c>
      <c r="E5" s="24">
        <f>B5+C5+D5</f>
        <v>0.064</v>
      </c>
      <c r="F5" s="32" t="n">
        <v>0.35</v>
      </c>
      <c r="G5" s="4" t="inlineStr">
        <is>
          <t>注文管理手数料+ネイバーペイ決済+ネイバーポイント</t>
        </is>
      </c>
    </row>
    <row r="6">
      <c r="A6" s="4" t="inlineStr">
        <is>
          <t>クーパン</t>
        </is>
      </c>
      <c r="B6" s="32" t="n">
        <v>0.108</v>
      </c>
      <c r="C6" s="32" t="n">
        <v>0</v>
      </c>
      <c r="D6" s="32" t="n">
        <v>0.01</v>
      </c>
      <c r="E6" s="24">
        <f>B6+C6+D6</f>
        <v>0.118</v>
      </c>
      <c r="F6" s="32" t="n">
        <v>0.25</v>
      </c>
      <c r="G6" s="4" t="inlineStr">
        <is>
          <t>カテゴリ手数料（旅行用品帯）+クーパンキャッシュ</t>
        </is>
      </c>
    </row>
    <row r="7">
      <c r="A7" s="4" t="inlineStr">
        <is>
          <t>自社EC</t>
        </is>
      </c>
      <c r="B7" s="32" t="n">
        <v>0</v>
      </c>
      <c r="C7" s="32" t="n">
        <v>0.036</v>
      </c>
      <c r="D7" s="32" t="n">
        <v>0</v>
      </c>
      <c r="E7" s="24">
        <f>B7+C7+D7</f>
        <v>0.036</v>
      </c>
      <c r="F7" s="32" t="n">
        <v>0.15</v>
      </c>
      <c r="G7" s="4" t="inlineStr">
        <is>
          <t>PG決済手数料のみ。ご指定の4%に最も近い</t>
        </is>
      </c>
    </row>
    <row r="8">
      <c r="A8" s="4" t="inlineStr">
        <is>
          <t>楽天</t>
        </is>
      </c>
      <c r="B8" s="32" t="n">
        <v>0.1</v>
      </c>
      <c r="C8" s="32" t="n">
        <v>0.031</v>
      </c>
      <c r="D8" s="32" t="n">
        <v>0.03</v>
      </c>
      <c r="E8" s="24">
        <f>B8+C8+D8</f>
        <v>0.161</v>
      </c>
      <c r="F8" s="32" t="n">
        <v>0.15</v>
      </c>
      <c r="G8" s="4" t="inlineStr">
        <is>
          <t>システム利用料+決済+SPU実質負担</t>
        </is>
      </c>
    </row>
    <row r="9">
      <c r="A9" s="4" t="inlineStr">
        <is>
          <t>Amazon</t>
        </is>
      </c>
      <c r="B9" s="32" t="n">
        <v>0.1</v>
      </c>
      <c r="C9" s="32" t="n">
        <v>0</v>
      </c>
      <c r="D9" s="32" t="n">
        <v>0.005</v>
      </c>
      <c r="E9" s="24">
        <f>B9+C9+D9</f>
        <v>0.10500000000000001</v>
      </c>
      <c r="F9" s="32" t="n">
        <v>0.1</v>
      </c>
      <c r="G9" s="4" t="inlineStr">
        <is>
          <t>大型カテゴリ手数料+ポイント</t>
        </is>
      </c>
    </row>
    <row r="10">
      <c r="A10" s="30" t="inlineStr">
        <is>
          <t>加重平均（推定）</t>
        </is>
      </c>
      <c r="B10" s="30" t="inlineStr"/>
      <c r="C10" s="30" t="inlineStr"/>
      <c r="D10" s="30" t="inlineStr"/>
      <c r="E10" s="37">
        <f>SUMPRODUCT(E5:E9,F5:F9)</f>
        <v>0.09195</v>
      </c>
      <c r="F10" s="17">
        <f>SUM(F5:F9)</f>
        <v>1</v>
      </c>
      <c r="G10" s="30" t="inlineStr">
        <is>
          <t>★構成比は仮。実際のチャネル別売上で差し替えること</t>
        </is>
      </c>
    </row>
    <row r="12">
      <c r="A12" s="14" t="inlineStr">
        <is>
          <t>採用値との差（MIX・目標CPA4,500円）</t>
        </is>
      </c>
    </row>
    <row r="13">
      <c r="A13" s="3" t="inlineStr">
        <is>
          <t>前提</t>
        </is>
      </c>
      <c r="B13" s="3" t="inlineStr">
        <is>
          <t>手数料率</t>
        </is>
      </c>
      <c r="C13" s="3" t="inlineStr">
        <is>
          <t>MIX粗利</t>
        </is>
      </c>
      <c r="D13" s="3" t="inlineStr">
        <is>
          <t>MIX限界利益</t>
        </is>
      </c>
      <c r="E13" s="3" t="inlineStr">
        <is>
          <t>損益分岐(個/月)</t>
        </is>
      </c>
      <c r="F13" s="3" t="inlineStr"/>
      <c r="G13" s="3" t="inlineStr"/>
    </row>
    <row r="14">
      <c r="A14" s="4" t="inlineStr">
        <is>
          <t>ご指定（採用値）</t>
        </is>
      </c>
      <c r="B14" s="72" t="n">
        <v>0.04</v>
      </c>
      <c r="C14" s="22" t="n">
        <v>7732</v>
      </c>
      <c r="D14" s="22" t="n">
        <v>3232</v>
      </c>
      <c r="E14" s="23" t="n">
        <v>131</v>
      </c>
      <c r="F14" s="4" t="inlineStr"/>
      <c r="G14" s="4" t="inlineStr"/>
    </row>
    <row r="15">
      <c r="A15" s="4" t="inlineStr">
        <is>
          <t>チャネル加重平均（推定）</t>
        </is>
      </c>
      <c r="B15" s="63" t="n">
        <v>0.09195</v>
      </c>
      <c r="C15" s="22" t="n">
        <v>6344.935000000001</v>
      </c>
      <c r="D15" s="28" t="n">
        <v>1844.935000000001</v>
      </c>
      <c r="E15" s="31" t="n">
        <v>229</v>
      </c>
      <c r="F15" s="4" t="inlineStr"/>
      <c r="G15" s="4" t="inlineStr"/>
    </row>
    <row r="16">
      <c r="A16" s="14" t="inlineStr">
        <is>
          <t>注記</t>
        </is>
      </c>
    </row>
    <row r="17">
      <c r="A17" s="2" t="inlineStr">
        <is>
          <t>★この表のポイント負担は02_Assumptionsの「ポイント/クーポン負担 800円/個」と重複します。加重平均を採用する場合はどちらか一方に寄せてください。</t>
        </is>
      </c>
    </row>
    <row r="18">
      <c r="A18" s="2" t="inlineStr">
        <is>
          <t>ご指定の4%を採用値として維持しています。実態が加重平均（推定11.4%）に近い場合、限界利益は大幅に減少します。</t>
        </is>
      </c>
    </row>
    <row r="19">
      <c r="A19" s="2" t="inlineStr">
        <is>
          <t>★差し替え先：各モールの契約書、月次精算レポート（手数料明細）、チャネル別売上構成。</t>
        </is>
      </c>
    </row>
  </sheetData>
  <mergeCells count="7">
    <mergeCell ref="A1:G1"/>
    <mergeCell ref="A17:G17"/>
    <mergeCell ref="A18:G18"/>
    <mergeCell ref="A12:G12"/>
    <mergeCell ref="A16:G16"/>
    <mergeCell ref="A2:G2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83" t="inlineStr">
        <is>
          <t>販売実績とCVR（9/8〜9/10）</t>
        </is>
      </c>
    </row>
    <row r="2">
      <c r="A2" s="2" t="inlineStr">
        <is>
          <t>★これが今回初めて提出された販売実績。前回審査で「広告再現性20点／実績なし」とした項目が、実測値で埋まった。</t>
        </is>
      </c>
    </row>
    <row r="4">
      <c r="A4" s="3" t="inlineStr">
        <is>
          <t>チャネル</t>
        </is>
      </c>
      <c r="B4" s="3" t="inlineStr">
        <is>
          <t>期間</t>
        </is>
      </c>
      <c r="C4" s="3" t="inlineStr">
        <is>
          <t>訪問者</t>
        </is>
      </c>
      <c r="D4" s="3" t="inlineStr">
        <is>
          <t>商品検索/閲覧</t>
        </is>
      </c>
      <c r="E4" s="3" t="inlineStr">
        <is>
          <t>カート</t>
        </is>
      </c>
      <c r="F4" s="3" t="inlineStr">
        <is>
          <t>新規購入</t>
        </is>
      </c>
      <c r="G4" s="3" t="inlineStr">
        <is>
          <t>購入転換率</t>
        </is>
      </c>
    </row>
    <row r="5">
      <c r="A5" s="4" t="inlineStr">
        <is>
          <t>ネイバー</t>
        </is>
      </c>
      <c r="B5" s="4" t="inlineStr">
        <is>
          <t>9/8-9/9</t>
        </is>
      </c>
      <c r="C5" s="23" t="n">
        <v>833</v>
      </c>
      <c r="D5" s="23" t="n"/>
      <c r="E5" s="23" t="n"/>
      <c r="F5" s="23" t="n">
        <v>0</v>
      </c>
      <c r="G5" s="63">
        <f>IF(C5=0,0,F5/C5)</f>
        <v>0</v>
      </c>
    </row>
    <row r="6">
      <c r="A6" s="4" t="inlineStr">
        <is>
          <t>ネイバー</t>
        </is>
      </c>
      <c r="B6" s="4" t="inlineStr">
        <is>
          <t>9/10</t>
        </is>
      </c>
      <c r="C6" s="23" t="n">
        <v>374</v>
      </c>
      <c r="D6" s="23" t="n"/>
      <c r="E6" s="23" t="n"/>
      <c r="F6" s="23" t="n">
        <v>0</v>
      </c>
      <c r="G6" s="63">
        <f>IF(C6=0,0,F6/C6)</f>
        <v>0</v>
      </c>
    </row>
    <row r="7">
      <c r="A7" s="4" t="inlineStr">
        <is>
          <t>クーパン</t>
        </is>
      </c>
      <c r="B7" s="4" t="inlineStr">
        <is>
          <t>9/8-9/9</t>
        </is>
      </c>
      <c r="C7" s="23" t="n">
        <v>16</v>
      </c>
      <c r="D7" s="23" t="n">
        <v>23</v>
      </c>
      <c r="E7" s="23" t="n">
        <v>0</v>
      </c>
      <c r="F7" s="23" t="n">
        <v>0</v>
      </c>
      <c r="G7" s="63">
        <f>IF(C7=0,0,F7/C7)</f>
        <v>0</v>
      </c>
    </row>
    <row r="8">
      <c r="A8" s="4" t="inlineStr">
        <is>
          <t>クーパン</t>
        </is>
      </c>
      <c r="B8" s="4" t="inlineStr">
        <is>
          <t>9/10</t>
        </is>
      </c>
      <c r="C8" s="23" t="n">
        <v>5</v>
      </c>
      <c r="D8" s="23" t="n">
        <v>6</v>
      </c>
      <c r="E8" s="23" t="n">
        <v>0</v>
      </c>
      <c r="F8" s="23" t="n">
        <v>0</v>
      </c>
      <c r="G8" s="63">
        <f>IF(C8=0,0,F8/C8)</f>
        <v>0</v>
      </c>
    </row>
    <row r="9">
      <c r="A9" s="30" t="inlineStr">
        <is>
          <t>合計（3日間）</t>
        </is>
      </c>
      <c r="B9" s="30" t="inlineStr">
        <is>
          <t>9/8-9/10</t>
        </is>
      </c>
      <c r="C9" s="18">
        <f>SUM(C5:C8)</f>
        <v>1228</v>
      </c>
      <c r="D9" s="18">
        <f>SUM(D5:D8)</f>
        <v>29</v>
      </c>
      <c r="E9" s="18">
        <f>SUM(E5:E8)</f>
        <v>0</v>
      </c>
      <c r="F9" s="18">
        <f>SUM(F5:F8)</f>
        <v>0</v>
      </c>
      <c r="G9" s="37">
        <f>F9/C9</f>
        <v>0</v>
      </c>
    </row>
    <row r="11">
      <c r="A11" s="14" t="inlineStr">
        <is>
          <t>統計的な読み方</t>
        </is>
      </c>
    </row>
    <row r="12">
      <c r="A12" s="3" t="inlineStr">
        <is>
          <t>指標</t>
        </is>
      </c>
      <c r="B12" s="3" t="inlineStr">
        <is>
          <t>値</t>
        </is>
      </c>
      <c r="C12" s="3" t="inlineStr"/>
      <c r="D12" s="3" t="inlineStr"/>
      <c r="E12" s="3" t="inlineStr"/>
      <c r="F12" s="3" t="inlineStr"/>
      <c r="G12" s="3" t="inlineStr">
        <is>
          <t>解釈</t>
        </is>
      </c>
    </row>
    <row r="13">
      <c r="A13" s="4" t="inlineStr">
        <is>
          <t>ネイバー訪問（3日）</t>
        </is>
      </c>
      <c r="B13" s="23" t="n">
        <v>1207</v>
      </c>
      <c r="C13" s="4" t="inlineStr"/>
      <c r="D13" s="4" t="inlineStr"/>
      <c r="E13" s="4" t="inlineStr"/>
      <c r="F13" s="4" t="inlineStr"/>
      <c r="G13" s="4" t="inlineStr">
        <is>
          <t>833+374</t>
        </is>
      </c>
    </row>
    <row r="14">
      <c r="A14" s="4" t="inlineStr">
        <is>
          <t>新規購入（3日）</t>
        </is>
      </c>
      <c r="B14" s="23" t="n">
        <v>0</v>
      </c>
      <c r="C14" s="4" t="inlineStr"/>
      <c r="D14" s="4" t="inlineStr"/>
      <c r="E14" s="4" t="inlineStr"/>
      <c r="F14" s="4" t="inlineStr"/>
      <c r="G14" s="48" t="inlineStr">
        <is>
          <t>予約11件は在庫入荷前の累積分であり、この期間の新規獲得ではない</t>
        </is>
      </c>
    </row>
    <row r="15">
      <c r="A15" s="4" t="inlineStr">
        <is>
          <t>実績CVR</t>
        </is>
      </c>
      <c r="B15" s="63" t="n">
        <v>0</v>
      </c>
      <c r="C15" s="4" t="inlineStr"/>
      <c r="D15" s="4" t="inlineStr"/>
      <c r="E15" s="4" t="inlineStr"/>
      <c r="F15" s="4" t="inlineStr"/>
      <c r="G15" s="4" t="inlineStr">
        <is>
          <t>★訪問1,207件で購入0件</t>
        </is>
      </c>
    </row>
    <row r="16">
      <c r="A16" s="4" t="inlineStr">
        <is>
          <t>CVRの95%信頼上限（rule of three）</t>
        </is>
      </c>
      <c r="B16" s="24" t="n">
        <v>0.002485501242750621</v>
      </c>
      <c r="C16" s="4" t="inlineStr"/>
      <c r="D16" s="4" t="inlineStr"/>
      <c r="E16" s="4" t="inlineStr"/>
      <c r="F16" s="4" t="inlineStr"/>
      <c r="G16" s="4" t="inlineStr">
        <is>
          <t>0件観測でも、真のCVRはこの値以下と推定される</t>
        </is>
      </c>
    </row>
    <row r="17">
      <c r="A17" s="4" t="inlineStr">
        <is>
          <t>日次訪問者</t>
        </is>
      </c>
      <c r="B17" s="23" t="n">
        <v>402.3333333333333</v>
      </c>
      <c r="C17" s="4" t="inlineStr"/>
      <c r="D17" s="4" t="inlineStr"/>
      <c r="E17" s="4" t="inlineStr"/>
      <c r="F17" s="4" t="inlineStr"/>
      <c r="G17" s="4" t="inlineStr">
        <is>
          <t>広告再開前の水準</t>
        </is>
      </c>
    </row>
    <row r="18">
      <c r="A18" s="4" t="inlineStr">
        <is>
          <t>総レビュー件数</t>
        </is>
      </c>
      <c r="B18" s="23" t="n">
        <v>25</v>
      </c>
      <c r="C18" s="4" t="inlineStr"/>
      <c r="D18" s="4" t="inlineStr"/>
      <c r="E18" s="4" t="inlineStr"/>
      <c r="F18" s="4" t="inlineStr"/>
      <c r="G18" s="48" t="inlineStr">
        <is>
          <t>累計販売の下限を示す。レビュー率20〜30%なら累計83〜125個</t>
        </is>
      </c>
    </row>
    <row r="19">
      <c r="A19" s="14" t="inlineStr">
        <is>
          <t>注記</t>
        </is>
      </c>
    </row>
    <row r="20">
      <c r="A20" s="2" t="inlineStr">
        <is>
          <t>★最重要所見：在庫が無いことより、在庫があっても売れていないことの方が深刻。3日間で訪問1,207件・新規購入0件。</t>
        </is>
      </c>
    </row>
    <row r="21">
      <c r="A21" s="2" t="inlineStr">
        <is>
          <t>一方で「予約決済11件」は在庫ゼロの期間に受注できていた。＝在庫切れ＝販売停止ではない。予約販売で受注は継続できる。</t>
        </is>
      </c>
    </row>
    <row r="22">
      <c r="A22" s="2" t="inlineStr">
        <is>
          <t>クーパンは訪問5〜16人・カート0件。在庫再登録前の水準であり、チャネルとして機能していない。</t>
        </is>
      </c>
    </row>
    <row r="23">
      <c r="A23" s="2" t="inlineStr">
        <is>
          <t>広告は停止期間だったため、この0.0%が広告稼働時のCVRを表すとは限らない。ただし「広告を止めないために在庫を補填する」という論拠は、この実績では支えられない。</t>
        </is>
      </c>
    </row>
  </sheetData>
  <mergeCells count="8">
    <mergeCell ref="A1:G1"/>
    <mergeCell ref="A21:G21"/>
    <mergeCell ref="A22:G22"/>
    <mergeCell ref="A20:G20"/>
    <mergeCell ref="A2:G2"/>
    <mergeCell ref="A19:G19"/>
    <mergeCell ref="A11:G11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83" t="inlineStr">
        <is>
          <t>次回入荷までの在庫補填 判断</t>
        </is>
      </c>
    </row>
    <row r="2">
      <c r="A2" s="2" t="inlineStr">
        <is>
          <t>現在庫22個／次回入荷 11月頭出荷（韓国着11月中旬想定）＝約65日。補填すべきか、いくらかかるかを数値化する。</t>
        </is>
      </c>
    </row>
    <row r="4">
      <c r="A4" s="14" t="inlineStr">
        <is>
          <t>① 次回入荷までの販売予測（CVR水準別）</t>
        </is>
      </c>
    </row>
    <row r="5">
      <c r="A5" s="3" t="inlineStr">
        <is>
          <t>CVR前提</t>
        </is>
      </c>
      <c r="B5" s="3" t="inlineStr">
        <is>
          <t>根拠</t>
        </is>
      </c>
      <c r="C5" s="3" t="inlineStr">
        <is>
          <t>想定訪問者</t>
        </is>
      </c>
      <c r="D5" s="3" t="inlineStr">
        <is>
          <t>予測販売数</t>
        </is>
      </c>
      <c r="E5" s="3" t="inlineStr">
        <is>
          <t>現在庫</t>
        </is>
      </c>
      <c r="F5" s="3" t="inlineStr">
        <is>
          <t>不足数量</t>
        </is>
      </c>
      <c r="G5" s="3" t="inlineStr">
        <is>
          <t>判定</t>
        </is>
      </c>
    </row>
    <row r="6">
      <c r="A6" s="24" t="n">
        <v>0</v>
      </c>
      <c r="B6" s="4" t="inlineStr">
        <is>
          <t>実績（3日間 購入0件）</t>
        </is>
      </c>
      <c r="C6" s="23">
        <f>'02_Assumptions'!$B$40/3*'02_Assumptions'!$B$39</f>
        <v>24140</v>
      </c>
      <c r="D6" s="23">
        <f>C6*A6</f>
        <v>0</v>
      </c>
      <c r="E6" s="23">
        <f>'02_Assumptions'!$B$38</f>
        <v>22</v>
      </c>
      <c r="F6" s="23">
        <f>MAX(0,D6-E6)</f>
        <v>0</v>
      </c>
      <c r="G6" s="10" t="inlineStr">
        <is>
          <t>補填不要</t>
        </is>
      </c>
    </row>
    <row r="7">
      <c r="A7" s="24" t="n">
        <v>0.002485501242750621</v>
      </c>
      <c r="B7" s="4" t="inlineStr">
        <is>
          <t>95%信頼上限 rule of three</t>
        </is>
      </c>
      <c r="C7" s="23">
        <f>'02_Assumptions'!$B$40/3*'02_Assumptions'!$B$39</f>
        <v>24140</v>
      </c>
      <c r="D7" s="23">
        <f>C7*A7</f>
        <v>60</v>
      </c>
      <c r="E7" s="23">
        <f>'02_Assumptions'!$B$38</f>
        <v>22</v>
      </c>
      <c r="F7" s="23">
        <f>MAX(0,D7-E7)</f>
        <v>38</v>
      </c>
      <c r="G7" s="27" t="inlineStr">
        <is>
          <t>要検討</t>
        </is>
      </c>
    </row>
    <row r="8">
      <c r="A8" s="24" t="n">
        <v>0.005</v>
      </c>
      <c r="B8" s="4" t="inlineStr">
        <is>
          <t>EC物販の下限水準</t>
        </is>
      </c>
      <c r="C8" s="23">
        <f>'02_Assumptions'!$B$40/3*'02_Assumptions'!$B$39</f>
        <v>24140</v>
      </c>
      <c r="D8" s="23">
        <f>C8*A8</f>
        <v>120.7</v>
      </c>
      <c r="E8" s="23">
        <f>'02_Assumptions'!$B$38</f>
        <v>22</v>
      </c>
      <c r="F8" s="23">
        <f>MAX(0,D8-E8)</f>
        <v>98.7</v>
      </c>
      <c r="G8" s="27" t="inlineStr">
        <is>
          <t>要検討</t>
        </is>
      </c>
    </row>
    <row r="9">
      <c r="A9" s="24" t="n">
        <v>0.01</v>
      </c>
      <c r="B9" s="4" t="inlineStr">
        <is>
          <t>社内目標水準</t>
        </is>
      </c>
      <c r="C9" s="23">
        <f>'02_Assumptions'!$B$40/3*'02_Assumptions'!$B$39</f>
        <v>24140</v>
      </c>
      <c r="D9" s="23">
        <f>C9*A9</f>
        <v>241.4</v>
      </c>
      <c r="E9" s="23">
        <f>'02_Assumptions'!$B$38</f>
        <v>22</v>
      </c>
      <c r="F9" s="23">
        <f>MAX(0,D9-E9)</f>
        <v>219.4</v>
      </c>
      <c r="G9" s="27" t="inlineStr">
        <is>
          <t>要検討</t>
        </is>
      </c>
    </row>
    <row r="11">
      <c r="A11" s="14" t="inlineStr">
        <is>
          <t>② パターン1｜日本→韓国（EMS／ハンドキャリー）</t>
        </is>
      </c>
    </row>
    <row r="12">
      <c r="A12" s="3" t="inlineStr">
        <is>
          <t>手段</t>
        </is>
      </c>
      <c r="B12" s="3" t="inlineStr">
        <is>
          <t>1回あたりコスト</t>
        </is>
      </c>
      <c r="C12" s="3" t="inlineStr">
        <is>
          <t>1回の輸送個数</t>
        </is>
      </c>
      <c r="D12" s="3" t="inlineStr">
        <is>
          <t>1個あたりコスト</t>
        </is>
      </c>
      <c r="E12" s="3" t="inlineStr">
        <is>
          <t>限界利益</t>
        </is>
      </c>
      <c r="F12" s="3" t="inlineStr">
        <is>
          <t>限界利益の何倍</t>
        </is>
      </c>
      <c r="G12" s="3" t="inlineStr">
        <is>
          <t>判定</t>
        </is>
      </c>
    </row>
    <row r="13">
      <c r="A13" s="4" t="inlineStr">
        <is>
          <t>EMS（通常運賃）</t>
        </is>
      </c>
      <c r="B13" s="22">
        <f>'02_Assumptions'!$B$42</f>
        <v>18931</v>
      </c>
      <c r="C13" s="23">
        <f>1</f>
        <v>1</v>
      </c>
      <c r="D13" s="28">
        <f>B13/C13</f>
        <v>18931</v>
      </c>
      <c r="E13" s="22">
        <f>'02_Assumptions'!$B$63</f>
        <v>3232</v>
      </c>
      <c r="F13" s="40">
        <f>D13/E13</f>
        <v>5.857363861386139</v>
      </c>
      <c r="G13" s="27" t="inlineStr">
        <is>
          <t>赤字</t>
        </is>
      </c>
    </row>
    <row r="14">
      <c r="A14" s="4" t="inlineStr">
        <is>
          <t>EMS（記載の約2倍運賃）</t>
        </is>
      </c>
      <c r="B14" s="22">
        <f>'02_Assumptions'!$B$42*2</f>
        <v>37862</v>
      </c>
      <c r="C14" s="23">
        <f>1</f>
        <v>1</v>
      </c>
      <c r="D14" s="28">
        <f>B14/C14</f>
        <v>37862</v>
      </c>
      <c r="E14" s="22">
        <f>'02_Assumptions'!$B$63</f>
        <v>3232</v>
      </c>
      <c r="F14" s="40">
        <f>D14/E14</f>
        <v>11.714727722772277</v>
      </c>
      <c r="G14" s="27" t="inlineStr">
        <is>
          <t>赤字</t>
        </is>
      </c>
    </row>
    <row r="15">
      <c r="A15" s="4" t="inlineStr">
        <is>
          <t>ハンドキャリー</t>
        </is>
      </c>
      <c r="B15" s="22">
        <f>'02_Assumptions'!$B$44</f>
        <v>97038</v>
      </c>
      <c r="C15" s="23">
        <f>'02_Assumptions'!$B$45</f>
        <v>3</v>
      </c>
      <c r="D15" s="28">
        <f>B15/C15</f>
        <v>32346</v>
      </c>
      <c r="E15" s="22">
        <f>'02_Assumptions'!$B$63</f>
        <v>3232</v>
      </c>
      <c r="F15" s="40">
        <f>D15/E15</f>
        <v>10.008044554455445</v>
      </c>
      <c r="G15" s="27" t="inlineStr">
        <is>
          <t>赤字</t>
        </is>
      </c>
    </row>
    <row r="17">
      <c r="A17" s="14" t="inlineStr">
        <is>
          <t>③ パターン2｜中国→韓国（小口の別便）</t>
        </is>
      </c>
    </row>
    <row r="18">
      <c r="A18" s="3" t="inlineStr">
        <is>
          <t>項目</t>
        </is>
      </c>
      <c r="B18" s="3" t="inlineStr">
        <is>
          <t>金額</t>
        </is>
      </c>
      <c r="C18" s="3" t="inlineStr"/>
      <c r="D18" s="3" t="inlineStr"/>
      <c r="E18" s="3" t="inlineStr"/>
      <c r="F18" s="3" t="inlineStr"/>
      <c r="G18" s="3" t="inlineStr">
        <is>
          <t>注記</t>
        </is>
      </c>
    </row>
    <row r="19">
      <c r="A19" s="4" t="inlineStr">
        <is>
          <t>固定的通関費（手数料+検査料・税込）</t>
        </is>
      </c>
      <c r="B19" s="22" t="n">
        <v>9680</v>
      </c>
      <c r="C19" s="4" t="inlineStr"/>
      <c r="D19" s="4" t="inlineStr"/>
      <c r="E19" s="4" t="inlineStr"/>
      <c r="F19" s="4" t="inlineStr"/>
      <c r="G19" s="4" t="inlineStr">
        <is>
          <t>数量に関わらず1便ごとに発生</t>
        </is>
      </c>
    </row>
    <row r="20">
      <c r="A20" s="4" t="inlineStr">
        <is>
          <t>33個便の実績 1個あたり（VAT込）</t>
        </is>
      </c>
      <c r="B20" s="22" t="n">
        <v>3486.37</v>
      </c>
      <c r="C20" s="4" t="inlineStr"/>
      <c r="D20" s="4" t="inlineStr"/>
      <c r="E20" s="4" t="inlineStr"/>
      <c r="F20" s="4" t="inlineStr"/>
      <c r="G20" s="4" t="inlineStr">
        <is>
          <t>実績値</t>
        </is>
      </c>
    </row>
    <row r="21">
      <c r="A21" s="4" t="inlineStr">
        <is>
          <t>11個の小口便にした場合の固定費按分</t>
        </is>
      </c>
      <c r="B21" s="22" t="n">
        <v>880</v>
      </c>
      <c r="C21" s="4" t="inlineStr"/>
      <c r="D21" s="4" t="inlineStr"/>
      <c r="E21" s="4" t="inlineStr"/>
      <c r="F21" s="4" t="inlineStr"/>
      <c r="G21" s="4" t="inlineStr">
        <is>
          <t>固定費だけで1個8,800円。33個便の2.6倍</t>
        </is>
      </c>
    </row>
    <row r="22">
      <c r="A22" s="4" t="inlineStr">
        <is>
          <t>混載便(LCL)運賃</t>
        </is>
      </c>
      <c r="B22" s="29" t="n"/>
      <c r="C22" s="4" t="inlineStr"/>
      <c r="D22" s="4" t="inlineStr"/>
      <c r="E22" s="4" t="inlineStr"/>
      <c r="F22" s="4" t="inlineStr"/>
      <c r="G22" s="27" t="inlineStr">
        <is>
          <t>★未提出。フォワーダー見積が必要</t>
        </is>
      </c>
    </row>
    <row r="23">
      <c r="A23" s="4" t="inlineStr">
        <is>
          <t>コンテナ空きスペースによる損失</t>
        </is>
      </c>
      <c r="B23" s="29" t="n"/>
      <c r="C23" s="4" t="inlineStr"/>
      <c r="D23" s="4" t="inlineStr"/>
      <c r="E23" s="4" t="inlineStr"/>
      <c r="F23" s="4" t="inlineStr"/>
      <c r="G23" s="27" t="inlineStr">
        <is>
          <t>★算出不能。コンテナ単価・積載可能数・1個あたり容積が未提出</t>
        </is>
      </c>
    </row>
    <row r="24">
      <c r="A24" s="4" t="inlineStr">
        <is>
          <t>実質コスト/個</t>
        </is>
      </c>
      <c r="B24" s="29" t="n"/>
      <c r="C24" s="4" t="inlineStr"/>
      <c r="D24" s="4" t="inlineStr"/>
      <c r="E24" s="4" t="inlineStr"/>
      <c r="F24" s="4" t="inlineStr"/>
      <c r="G24" s="27" t="inlineStr">
        <is>
          <t>★上記2項目が埋まれば自動算出可能</t>
        </is>
      </c>
    </row>
    <row r="26">
      <c r="A26" s="14" t="inlineStr">
        <is>
          <t>④ 最終判断：4点の数値化（不足を最大11個と置いた場合）</t>
        </is>
      </c>
    </row>
    <row r="27">
      <c r="A27" s="3" t="inlineStr">
        <is>
          <t>判断項目</t>
        </is>
      </c>
      <c r="B27" s="3" t="inlineStr">
        <is>
          <t>金額／数量</t>
        </is>
      </c>
      <c r="C27" s="3" t="inlineStr"/>
      <c r="D27" s="3" t="inlineStr"/>
      <c r="E27" s="3" t="inlineStr"/>
      <c r="F27" s="3" t="inlineStr"/>
      <c r="G27" s="3" t="inlineStr">
        <is>
          <t>注記</t>
        </is>
      </c>
    </row>
    <row r="28">
      <c r="A28" s="4" t="inlineStr">
        <is>
          <t>① 販売機会損失</t>
        </is>
      </c>
      <c r="B28" s="22" t="n">
        <v>35552</v>
      </c>
      <c r="C28" s="4" t="inlineStr"/>
      <c r="D28" s="4" t="inlineStr"/>
      <c r="E28" s="4" t="inlineStr"/>
      <c r="F28" s="4" t="inlineStr"/>
      <c r="G28" s="48" t="inlineStr">
        <is>
          <t>11個 × 限界利益3,232円。予約販売を継続すればさらに小さくなる</t>
        </is>
      </c>
    </row>
    <row r="29">
      <c r="A29" s="4" t="inlineStr">
        <is>
          <t>② 追加運賃（EMS案）</t>
        </is>
      </c>
      <c r="B29" s="22" t="n">
        <v>208241</v>
      </c>
      <c r="C29" s="4" t="inlineStr"/>
      <c r="D29" s="4" t="inlineStr"/>
      <c r="E29" s="4" t="inlineStr"/>
      <c r="F29" s="4" t="inlineStr"/>
      <c r="G29" s="4" t="inlineStr">
        <is>
          <t>11梱包 × 18,931円</t>
        </is>
      </c>
    </row>
    <row r="30">
      <c r="A30" s="4" t="inlineStr">
        <is>
          <t>② 追加運賃（ハンドキャリー案）</t>
        </is>
      </c>
      <c r="B30" s="22" t="n">
        <v>388152</v>
      </c>
      <c r="C30" s="4" t="inlineStr"/>
      <c r="D30" s="4" t="inlineStr"/>
      <c r="E30" s="4" t="inlineStr"/>
      <c r="F30" s="4" t="inlineStr"/>
      <c r="G30" s="4" t="inlineStr">
        <is>
          <t>4往復 × 97,038円</t>
        </is>
      </c>
    </row>
    <row r="31">
      <c r="A31" s="4" t="inlineStr">
        <is>
          <t>③ 空きスペース損失</t>
        </is>
      </c>
      <c r="B31" s="29" t="n"/>
      <c r="C31" s="4" t="inlineStr"/>
      <c r="D31" s="4" t="inlineStr"/>
      <c r="E31" s="4" t="inlineStr"/>
      <c r="F31" s="4" t="inlineStr"/>
      <c r="G31" s="4" t="inlineStr">
        <is>
          <t>★算出不能（データ未提出）</t>
        </is>
      </c>
    </row>
    <row r="32">
      <c r="A32" s="4" t="inlineStr">
        <is>
          <t>④ 必要在庫数</t>
        </is>
      </c>
      <c r="B32" s="23" t="n">
        <v>11</v>
      </c>
      <c r="C32" s="4" t="inlineStr"/>
      <c r="D32" s="4" t="inlineStr"/>
      <c r="E32" s="4" t="inlineStr"/>
      <c r="F32" s="4" t="inlineStr"/>
      <c r="G32" s="4" t="inlineStr">
        <is>
          <t>★CVR実績0%のため0〜11個の幅。確定不能</t>
        </is>
      </c>
    </row>
    <row r="33">
      <c r="A33" s="30" t="inlineStr">
        <is>
          <t>補填した場合の差引損失（EMS案）</t>
        </is>
      </c>
      <c r="B33" s="36" t="n">
        <v>172689</v>
      </c>
      <c r="C33" s="15" t="inlineStr"/>
      <c r="D33" s="15" t="inlineStr"/>
      <c r="E33" s="15" t="inlineStr"/>
      <c r="F33" s="15" t="inlineStr"/>
      <c r="G33" s="15" t="inlineStr">
        <is>
          <t>補填コスト − 機会損失。プラス＝補填するほど損をする</t>
        </is>
      </c>
    </row>
    <row r="35">
      <c r="A35" s="64" t="inlineStr">
        <is>
          <t>結論</t>
        </is>
      </c>
    </row>
    <row r="36">
      <c r="A36" s="59" t="inlineStr">
        <is>
          <t>【補填しない】が最も利益が残る。EMSで11個補填すると208,241円かかるのに対し、失う限界利益は27,644円。補填すると差引180,597円の損失増。</t>
        </is>
      </c>
    </row>
    <row r="37">
      <c r="A37" s="59" t="inlineStr">
        <is>
          <t>ハンドキャリーは1個あたり32,346円（3個持込時）。限界利益2,513円の12.9倍であり、経済合理性がない。</t>
        </is>
      </c>
    </row>
    <row r="38">
      <c r="A38" s="59" t="inlineStr">
        <is>
          <t>中国→韓国の小口別便も、固定的通関費88,000W（約9,680円）が1便ごとに発生するため、11個規模では非経済的。</t>
        </is>
      </c>
    </row>
    <row r="39">
      <c r="A39" s="59" t="inlineStr">
        <is>
          <t>代わりに：①ネイバーは予約販売を継続して受注を溜める（在庫ゼロでも11件受注できた実績あり） ②クーパンは残22個を割り当てて再開 ③11月入荷分でまとめて発送。</t>
        </is>
      </c>
    </row>
    <row r="40">
      <c r="A40" s="59" t="inlineStr">
        <is>
          <t>★ただし本当のボトルネックは在庫ではなくCVR 0.0%。訪問1,207件・購入0件を直す方が、補填11個より桁違いにインパクトが大きい。</t>
        </is>
      </c>
    </row>
  </sheetData>
  <mergeCells count="12">
    <mergeCell ref="A36:G36"/>
    <mergeCell ref="A1:G1"/>
    <mergeCell ref="A40:G40"/>
    <mergeCell ref="A17:G17"/>
    <mergeCell ref="A39:G39"/>
    <mergeCell ref="A35:G35"/>
    <mergeCell ref="A4:G4"/>
    <mergeCell ref="A26:G26"/>
    <mergeCell ref="A38:G38"/>
    <mergeCell ref="A2:G2"/>
    <mergeCell ref="A11:G11"/>
    <mergeCell ref="A37:G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83" t="inlineStr">
        <is>
          <t>必要経費 3ヶ月分の算出（@Kokoa依頼分）</t>
        </is>
      </c>
    </row>
    <row r="2">
      <c r="A2" s="2" t="inlineStr">
        <is>
          <t>2026-09〜11の3ヶ月。黄色＝金額が未提示のため入力待ち。ウォン建てと円換算を併記。</t>
        </is>
      </c>
    </row>
    <row r="4">
      <c r="A4" s="14" t="inlineStr">
        <is>
          <t>① 立替が必要な費用</t>
        </is>
      </c>
    </row>
    <row r="5">
      <c r="A5" s="3" t="inlineStr">
        <is>
          <t>項目</t>
        </is>
      </c>
      <c r="B5" s="3" t="inlineStr">
        <is>
          <t>金額(W)</t>
        </is>
      </c>
      <c r="C5" s="3" t="inlineStr">
        <is>
          <t>回数</t>
        </is>
      </c>
      <c r="D5" s="3" t="inlineStr">
        <is>
          <t>小計(W)</t>
        </is>
      </c>
      <c r="E5" s="3" t="inlineStr">
        <is>
          <t>円換算</t>
        </is>
      </c>
      <c r="F5" s="3" t="inlineStr">
        <is>
          <t>状態</t>
        </is>
      </c>
      <c r="G5" s="3" t="inlineStr">
        <is>
          <t>注記</t>
        </is>
      </c>
    </row>
    <row r="6">
      <c r="A6" s="4" t="inlineStr">
        <is>
          <t>通関費用（9/10支払済）</t>
        </is>
      </c>
      <c r="B6" s="23" t="n">
        <v>1045911</v>
      </c>
      <c r="C6" s="23" t="n">
        <v>1</v>
      </c>
      <c r="D6" s="23">
        <f>IF(B6="","",B6*C6)</f>
        <v>1045911</v>
      </c>
      <c r="E6" s="22">
        <f>IF(D6="","",D6*'02_Assumptions'!$B$5)</f>
        <v>115050.21</v>
      </c>
      <c r="F6" s="4" t="inlineStr">
        <is>
          <t>支払済</t>
        </is>
      </c>
      <c r="G6" s="4" t="inlineStr">
        <is>
          <t>LJ関税事務所 I26-100263M。33個分</t>
        </is>
      </c>
    </row>
    <row r="7">
      <c r="A7" s="4" t="inlineStr">
        <is>
          <t>外注費用</t>
        </is>
      </c>
      <c r="B7" s="50" t="n"/>
      <c r="C7" s="23" t="n">
        <v>1</v>
      </c>
      <c r="D7" s="23">
        <f>IF(B7="","",B7*C7)</f>
        <v/>
      </c>
      <c r="E7" s="22">
        <f>IF(D7="","",D7*'02_Assumptions'!$B$5)</f>
        <v/>
      </c>
      <c r="F7" s="4" t="inlineStr">
        <is>
          <t>★未提示</t>
        </is>
      </c>
      <c r="G7" s="27" t="inlineStr">
        <is>
          <t>★金額をご提示ください</t>
        </is>
      </c>
    </row>
    <row r="8">
      <c r="A8" s="30" t="inlineStr">
        <is>
          <t>立替 小計</t>
        </is>
      </c>
      <c r="B8" s="30" t="inlineStr"/>
      <c r="C8" s="30" t="inlineStr"/>
      <c r="D8" s="18">
        <f>SUM(D6:D7)</f>
        <v>1045911</v>
      </c>
      <c r="E8" s="16">
        <f>D8*'02_Assumptions'!$B$5</f>
        <v>115050.21</v>
      </c>
      <c r="F8" s="30" t="inlineStr"/>
      <c r="G8" s="30" t="inlineStr"/>
    </row>
    <row r="10">
      <c r="A10" s="14" t="inlineStr">
        <is>
          <t>② 固定費（3ヶ月分）</t>
        </is>
      </c>
    </row>
    <row r="11">
      <c r="A11" s="3" t="inlineStr">
        <is>
          <t>項目</t>
        </is>
      </c>
      <c r="B11" s="3" t="inlineStr">
        <is>
          <t>月額(W)</t>
        </is>
      </c>
      <c r="C11" s="3" t="inlineStr">
        <is>
          <t>ヶ月</t>
        </is>
      </c>
      <c r="D11" s="3" t="inlineStr">
        <is>
          <t>小計(W)</t>
        </is>
      </c>
      <c r="E11" s="3" t="inlineStr">
        <is>
          <t>円換算</t>
        </is>
      </c>
      <c r="F11" s="3" t="inlineStr">
        <is>
          <t>根拠</t>
        </is>
      </c>
      <c r="G11" s="3" t="inlineStr">
        <is>
          <t>注記</t>
        </is>
      </c>
    </row>
    <row r="12">
      <c r="A12" s="4" t="inlineStr">
        <is>
          <t>給与</t>
        </is>
      </c>
      <c r="B12" s="23" t="n">
        <v>3000000</v>
      </c>
      <c r="C12" s="23" t="n">
        <v>3</v>
      </c>
      <c r="D12" s="23">
        <f>B12*C12</f>
        <v>9000000</v>
      </c>
      <c r="E12" s="22">
        <f>D12*'02_Assumptions'!$B$5</f>
        <v>990000</v>
      </c>
      <c r="F12" s="4" t="inlineStr">
        <is>
          <t>月給300万ウォン基準</t>
        </is>
      </c>
      <c r="G12" s="4" t="inlineStr"/>
    </row>
    <row r="13">
      <c r="A13" s="4" t="inlineStr">
        <is>
          <t>家賃</t>
        </is>
      </c>
      <c r="B13" s="23" t="n">
        <v>550000</v>
      </c>
      <c r="C13" s="23" t="n">
        <v>3</v>
      </c>
      <c r="D13" s="23">
        <f>B13*C13</f>
        <v>1650000</v>
      </c>
      <c r="E13" s="22">
        <f>D13*'02_Assumptions'!$B$5</f>
        <v>181500</v>
      </c>
      <c r="F13" s="4" t="inlineStr">
        <is>
          <t>既存の月間支出</t>
        </is>
      </c>
      <c r="G13" s="4" t="inlineStr"/>
    </row>
    <row r="14">
      <c r="A14" s="4" t="inlineStr">
        <is>
          <t>管理費</t>
        </is>
      </c>
      <c r="B14" s="23" t="n">
        <v>165000</v>
      </c>
      <c r="C14" s="23" t="n">
        <v>3</v>
      </c>
      <c r="D14" s="23">
        <f>B14*C14</f>
        <v>495000</v>
      </c>
      <c r="E14" s="22">
        <f>D14*'02_Assumptions'!$B$5</f>
        <v>54450</v>
      </c>
      <c r="F14" s="4" t="inlineStr">
        <is>
          <t>既存の月間支出</t>
        </is>
      </c>
      <c r="G14" s="4" t="inlineStr"/>
    </row>
    <row r="15">
      <c r="A15" s="4" t="inlineStr">
        <is>
          <t>税理士費用</t>
        </is>
      </c>
      <c r="B15" s="23" t="n">
        <v>110000</v>
      </c>
      <c r="C15" s="23" t="n">
        <v>3</v>
      </c>
      <c r="D15" s="23">
        <f>B15*C15</f>
        <v>330000</v>
      </c>
      <c r="E15" s="22">
        <f>D15*'02_Assumptions'!$B$5</f>
        <v>36300</v>
      </c>
      <c r="F15" s="4" t="inlineStr">
        <is>
          <t>既存の月間支出</t>
        </is>
      </c>
      <c r="G15" s="4" t="inlineStr"/>
    </row>
    <row r="16">
      <c r="A16" s="30" t="inlineStr">
        <is>
          <t>固定費 小計</t>
        </is>
      </c>
      <c r="B16" s="30" t="inlineStr"/>
      <c r="C16" s="30" t="inlineStr"/>
      <c r="D16" s="18">
        <f>SUM(D12:D15)</f>
        <v>11475000</v>
      </c>
      <c r="E16" s="16">
        <f>D16*'02_Assumptions'!$B$5</f>
        <v>1262250</v>
      </c>
      <c r="F16" s="30" t="inlineStr"/>
      <c r="G16" s="30" t="inlineStr"/>
    </row>
    <row r="18">
      <c r="A18" s="14" t="inlineStr">
        <is>
          <t>③ 変動費・広告費（3ヶ月分）</t>
        </is>
      </c>
    </row>
    <row r="19">
      <c r="A19" s="3" t="inlineStr">
        <is>
          <t>項目</t>
        </is>
      </c>
      <c r="B19" s="3" t="inlineStr">
        <is>
          <t>月額(W)</t>
        </is>
      </c>
      <c r="C19" s="3" t="inlineStr">
        <is>
          <t>ヶ月</t>
        </is>
      </c>
      <c r="D19" s="3" t="inlineStr">
        <is>
          <t>小計(W)</t>
        </is>
      </c>
      <c r="E19" s="3" t="inlineStr">
        <is>
          <t>円換算</t>
        </is>
      </c>
      <c r="F19" s="3" t="inlineStr">
        <is>
          <t>根拠</t>
        </is>
      </c>
      <c r="G19" s="3" t="inlineStr">
        <is>
          <t>注記</t>
        </is>
      </c>
    </row>
    <row r="20">
      <c r="A20" s="4" t="inlineStr">
        <is>
          <t>メタ広告費</t>
        </is>
      </c>
      <c r="B20" s="23" t="n">
        <v>3960000</v>
      </c>
      <c r="C20" s="23" t="n">
        <v>3</v>
      </c>
      <c r="D20" s="23">
        <f>IF(B20="","",B20*C20)</f>
        <v>11880000</v>
      </c>
      <c r="E20" s="22">
        <f>IF(D20="","",D20*'02_Assumptions'!$B$5)</f>
        <v>1306800</v>
      </c>
      <c r="F20" s="4" t="inlineStr">
        <is>
          <t>7/18-8/19 実績（付加価値税込）</t>
        </is>
      </c>
      <c r="G20" s="66" t="inlineStr">
        <is>
          <t>★この水準を継続するか要判断。CVR0%のまま出すと全額が損失</t>
        </is>
      </c>
    </row>
    <row r="21">
      <c r="A21" s="4" t="inlineStr">
        <is>
          <t>交通費</t>
        </is>
      </c>
      <c r="B21" s="23" t="n">
        <v>256667</v>
      </c>
      <c r="C21" s="23" t="n">
        <v>3</v>
      </c>
      <c r="D21" s="23">
        <f>IF(B21="","",B21*C21)</f>
        <v>770001</v>
      </c>
      <c r="E21" s="22">
        <f>IF(D21="","",D21*'02_Assumptions'!$B$5)</f>
        <v>84700.11</v>
      </c>
      <c r="F21" s="4" t="inlineStr">
        <is>
          <t>実績770,000W÷3回</t>
        </is>
      </c>
      <c r="G21" s="4" t="inlineStr"/>
    </row>
    <row r="22">
      <c r="A22" s="4" t="inlineStr">
        <is>
          <t>宅配費</t>
        </is>
      </c>
      <c r="B22" s="23" t="n">
        <v>60043</v>
      </c>
      <c r="C22" s="23" t="n">
        <v>3</v>
      </c>
      <c r="D22" s="23">
        <f>IF(B22="","",B22*C22)</f>
        <v>180129</v>
      </c>
      <c r="E22" s="22">
        <f>IF(D22="","",D22*'02_Assumptions'!$B$5)</f>
        <v>19814.19</v>
      </c>
      <c r="F22" s="4" t="inlineStr">
        <is>
          <t>実績420,300W÷7回</t>
        </is>
      </c>
      <c r="G22" s="4" t="inlineStr"/>
    </row>
    <row r="23">
      <c r="A23" s="4" t="inlineStr">
        <is>
          <t>EMS</t>
        </is>
      </c>
      <c r="B23" s="23" t="n">
        <v>172100</v>
      </c>
      <c r="C23" s="23" t="n">
        <v>3</v>
      </c>
      <c r="D23" s="23">
        <f>IF(B23="","",B23*C23)</f>
        <v>516300</v>
      </c>
      <c r="E23" s="22">
        <f>IF(D23="","",D23*'02_Assumptions'!$B$5)</f>
        <v>56793</v>
      </c>
      <c r="F23" s="4" t="inlineStr">
        <is>
          <t>実績688,400W÷4回</t>
        </is>
      </c>
      <c r="G23" s="4" t="inlineStr">
        <is>
          <t>送料・物流費用</t>
        </is>
      </c>
    </row>
    <row r="24">
      <c r="A24" s="4" t="inlineStr">
        <is>
          <t>レビュー送料・手数料</t>
        </is>
      </c>
      <c r="B24" s="50" t="n"/>
      <c r="C24" s="23" t="n">
        <v>3</v>
      </c>
      <c r="D24" s="23">
        <f>IF(B24="","",B24*C24)</f>
        <v/>
      </c>
      <c r="E24" s="22">
        <f>IF(D24="","",D24*'02_Assumptions'!$B$5)</f>
        <v/>
      </c>
      <c r="F24" s="4" t="inlineStr">
        <is>
          <t>★未提示</t>
        </is>
      </c>
      <c r="G24" s="27" t="inlineStr">
        <is>
          <t>★1件あたり単価と月間件数をご提示ください</t>
        </is>
      </c>
    </row>
    <row r="25">
      <c r="A25" s="4" t="inlineStr">
        <is>
          <t>ソフトウェア（Canva等）</t>
        </is>
      </c>
      <c r="B25" s="23" t="n">
        <v>9900</v>
      </c>
      <c r="C25" s="23" t="n">
        <v>3</v>
      </c>
      <c r="D25" s="23">
        <f>IF(B25="","",B25*C25)</f>
        <v>29700</v>
      </c>
      <c r="E25" s="22">
        <f>IF(D25="","",D25*'02_Assumptions'!$B$5)</f>
        <v>3267</v>
      </c>
      <c r="F25" s="4" t="inlineStr">
        <is>
          <t>実績29,700W÷3回</t>
        </is>
      </c>
      <c r="G25" s="4" t="inlineStr"/>
    </row>
    <row r="26">
      <c r="A26" s="4" t="inlineStr">
        <is>
          <t>その他運営費</t>
        </is>
      </c>
      <c r="B26" s="23" t="n">
        <v>21700</v>
      </c>
      <c r="C26" s="23" t="n">
        <v>3</v>
      </c>
      <c r="D26" s="23">
        <f>IF(B26="","",B26*C26)</f>
        <v>65100</v>
      </c>
      <c r="E26" s="22">
        <f>IF(D26="","",D26*'02_Assumptions'!$B$5)</f>
        <v>7161</v>
      </c>
      <c r="F26" s="4" t="inlineStr">
        <is>
          <t>実績108,500W÷5回</t>
        </is>
      </c>
      <c r="G26" s="4" t="inlineStr"/>
    </row>
    <row r="27">
      <c r="A27" s="30" t="inlineStr">
        <is>
          <t>変動費 小計</t>
        </is>
      </c>
      <c r="B27" s="30" t="inlineStr"/>
      <c r="C27" s="30" t="inlineStr"/>
      <c r="D27" s="18">
        <f>SUM(D20:D26)</f>
        <v>13441230</v>
      </c>
      <c r="E27" s="16">
        <f>D27*'02_Assumptions'!$B$5</f>
        <v>1478535.3</v>
      </c>
      <c r="F27" s="30" t="inlineStr"/>
      <c r="G27" s="30" t="inlineStr"/>
    </row>
    <row r="29">
      <c r="A29" s="14" t="inlineStr">
        <is>
          <t>④ 仕入・通関（800個ロット）</t>
        </is>
      </c>
    </row>
    <row r="30">
      <c r="A30" s="3" t="inlineStr">
        <is>
          <t>項目</t>
        </is>
      </c>
      <c r="B30" s="3" t="inlineStr">
        <is>
          <t>金額(W)</t>
        </is>
      </c>
      <c r="C30" s="3" t="inlineStr"/>
      <c r="D30" s="3" t="inlineStr">
        <is>
          <t>小計(W)</t>
        </is>
      </c>
      <c r="E30" s="3" t="inlineStr">
        <is>
          <t>円換算</t>
        </is>
      </c>
      <c r="F30" s="3" t="inlineStr">
        <is>
          <t>状態</t>
        </is>
      </c>
      <c r="G30" s="3" t="inlineStr">
        <is>
          <t>注記</t>
        </is>
      </c>
    </row>
    <row r="31">
      <c r="A31" s="4" t="inlineStr">
        <is>
          <t>800個 仕入原価（仮定ミックス）</t>
        </is>
      </c>
      <c r="B31" s="50" t="n">
        <v>112000000</v>
      </c>
      <c r="C31" s="4" t="inlineStr"/>
      <c r="D31" s="23">
        <f>B31</f>
        <v>112000000</v>
      </c>
      <c r="E31" s="22">
        <f>D31*'02_Assumptions'!$B$5</f>
        <v>12320000</v>
      </c>
      <c r="F31" s="4" t="inlineStr">
        <is>
          <t>仮定</t>
        </is>
      </c>
      <c r="G31" s="66" t="inlineStr">
        <is>
          <t>★SKU内訳・数量割引後単価が未提示。S40:M40:L20で仮置き</t>
        </is>
      </c>
    </row>
    <row r="32">
      <c r="A32" s="4" t="inlineStr">
        <is>
          <t>800個 通関費用</t>
        </is>
      </c>
      <c r="B32" s="50" t="n"/>
      <c r="C32" s="4" t="inlineStr"/>
      <c r="D32" s="50" t="n"/>
      <c r="E32" s="22" t="n"/>
      <c r="F32" s="4" t="inlineStr">
        <is>
          <t>★未提示</t>
        </is>
      </c>
      <c r="G32" s="66" t="inlineStr">
        <is>
          <t>★通関士から見積が出ているとのこと。金額をご提示いただければ即座に総額が確定します</t>
        </is>
      </c>
    </row>
    <row r="33">
      <c r="A33" s="30" t="inlineStr">
        <is>
          <t>仕入・通関 小計</t>
        </is>
      </c>
      <c r="B33" s="30" t="inlineStr"/>
      <c r="C33" s="30" t="inlineStr"/>
      <c r="D33" s="18">
        <f>SUM(D31:D32)</f>
        <v>112000000</v>
      </c>
      <c r="E33" s="16">
        <f>D33*'02_Assumptions'!$B$5</f>
        <v>12320000</v>
      </c>
      <c r="F33" s="30" t="inlineStr"/>
      <c r="G33" s="30" t="inlineStr"/>
    </row>
    <row r="35">
      <c r="A35" s="64" t="inlineStr">
        <is>
          <t>⑤ 3ヶ月 総所要資金</t>
        </is>
      </c>
    </row>
    <row r="36">
      <c r="A36" s="3" t="inlineStr">
        <is>
          <t>区分</t>
        </is>
      </c>
      <c r="B36" s="3" t="inlineStr">
        <is>
          <t>金額(W)</t>
        </is>
      </c>
      <c r="C36" s="3" t="inlineStr"/>
      <c r="D36" s="3" t="inlineStr"/>
      <c r="E36" s="3" t="inlineStr">
        <is>
          <t>円換算</t>
        </is>
      </c>
      <c r="F36" s="3" t="inlineStr"/>
      <c r="G36" s="3" t="inlineStr">
        <is>
          <t>注記</t>
        </is>
      </c>
    </row>
    <row r="37">
      <c r="A37" s="4" t="inlineStr">
        <is>
          <t>① 立替（通関・外注）</t>
        </is>
      </c>
      <c r="B37" s="23">
        <f>D10</f>
        <v>1045911</v>
      </c>
      <c r="C37" s="4" t="inlineStr"/>
      <c r="D37" s="4" t="inlineStr"/>
      <c r="E37" s="22">
        <f>B37*'02_Assumptions'!$B$5</f>
        <v>115050.21</v>
      </c>
      <c r="F37" s="4" t="inlineStr"/>
      <c r="G37" s="4" t="inlineStr">
        <is>
          <t>外注費が未提示のため暫定</t>
        </is>
      </c>
    </row>
    <row r="38">
      <c r="A38" s="4" t="inlineStr">
        <is>
          <t>② 固定費 3ヶ月</t>
        </is>
      </c>
      <c r="B38" s="23">
        <f>D16</f>
        <v>11475000</v>
      </c>
      <c r="C38" s="4" t="inlineStr"/>
      <c r="D38" s="4" t="inlineStr"/>
      <c r="E38" s="22">
        <f>B38*'02_Assumptions'!$B$5</f>
        <v>1262250</v>
      </c>
      <c r="F38" s="4" t="inlineStr"/>
      <c r="G38" s="4" t="inlineStr"/>
    </row>
    <row r="39">
      <c r="A39" s="4" t="inlineStr">
        <is>
          <t>③ 変動費・広告費 3ヶ月</t>
        </is>
      </c>
      <c r="B39" s="23">
        <f>D27</f>
        <v>13441230</v>
      </c>
      <c r="C39" s="4" t="inlineStr"/>
      <c r="D39" s="4" t="inlineStr"/>
      <c r="E39" s="22">
        <f>B39*'02_Assumptions'!$B$5</f>
        <v>1478535.3</v>
      </c>
      <c r="F39" s="4" t="inlineStr"/>
      <c r="G39" s="4" t="inlineStr">
        <is>
          <t>レビュー送料が未提示のため暫定</t>
        </is>
      </c>
    </row>
    <row r="40">
      <c r="A40" s="4" t="inlineStr">
        <is>
          <t>④ 仕入・通関（800個）</t>
        </is>
      </c>
      <c r="B40" s="23">
        <f>D33</f>
        <v>112000000</v>
      </c>
      <c r="C40" s="4" t="inlineStr"/>
      <c r="D40" s="4" t="inlineStr"/>
      <c r="E40" s="22">
        <f>B40*'02_Assumptions'!$B$5</f>
        <v>12320000</v>
      </c>
      <c r="F40" s="4" t="inlineStr"/>
      <c r="G40" s="4" t="inlineStr">
        <is>
          <t>★通関費が未提示のため大幅に過少</t>
        </is>
      </c>
    </row>
    <row r="41">
      <c r="A41" s="30" t="inlineStr">
        <is>
          <t>合計（暫定）</t>
        </is>
      </c>
      <c r="B41" s="56">
        <f>SUM(B37:B40)</f>
        <v>137962141</v>
      </c>
      <c r="C41" s="30" t="inlineStr"/>
      <c r="D41" s="30" t="inlineStr"/>
      <c r="E41" s="36">
        <f>B41*'02_Assumptions'!$B$5</f>
        <v>15175835.51</v>
      </c>
      <c r="F41" s="30" t="inlineStr"/>
      <c r="G41" s="61" t="inlineStr">
        <is>
          <t>★未提示3項目（外注費・レビュー送料・800個通関費）が入れば確定</t>
        </is>
      </c>
    </row>
    <row r="42">
      <c r="A42" s="14" t="inlineStr">
        <is>
          <t>注記</t>
        </is>
      </c>
    </row>
    <row r="43">
      <c r="A43" s="2" t="inlineStr">
        <is>
          <t>★未提示のため総額が確定できない3項目：①外注費用 ②レビュー送料・手数料の単価と件数 ③800個の通関費用（通関士見積）。</t>
        </is>
      </c>
    </row>
    <row r="44">
      <c r="A44" s="2" t="inlineStr">
        <is>
          <t>★メタ広告費 月396万W（約43.6万円）×3ヶ月＝約131万円。現在のCVR 0.0%のまま出稿すると、この全額が回収不能になる。広告再開の前にCVRを直すこと。</t>
        </is>
      </c>
    </row>
    <row r="45">
      <c r="A45" s="2" t="inlineStr">
        <is>
          <t>固定費3ヶ月 1,147.5万W（約126万円）は売上に関わらず発生する。これを賄うには 22_必要経費 とは別に 06_Unit Economics の損益分岐（月168個）が必要。</t>
        </is>
      </c>
    </row>
  </sheetData>
  <mergeCells count="11">
    <mergeCell ref="A44:G44"/>
    <mergeCell ref="A1:G1"/>
    <mergeCell ref="A18:G18"/>
    <mergeCell ref="A45:G45"/>
    <mergeCell ref="A35:G35"/>
    <mergeCell ref="A4:G4"/>
    <mergeCell ref="A2:G2"/>
    <mergeCell ref="A29:G29"/>
    <mergeCell ref="A43:G43"/>
    <mergeCell ref="A10:G10"/>
    <mergeCell ref="A42:G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8" customWidth="1" min="4" max="4"/>
    <col width="58" customWidth="1" min="5" max="5"/>
  </cols>
  <sheetData>
    <row r="1">
      <c r="A1" s="83" t="inlineStr">
        <is>
          <t>市場分析 TAM / SAM / SOM（仮）</t>
        </is>
      </c>
    </row>
    <row r="2">
      <c r="A2" s="2" t="inlineStr">
        <is>
          <t>韓国市場を人口と買替サイクルから積み上げた仮の試算です。統計庁・矢野経済・モールランキングで差し替えてください。</t>
        </is>
      </c>
    </row>
    <row r="4">
      <c r="A4" s="14" t="inlineStr">
        <is>
          <t>① TAM の積み上げ（仮）</t>
        </is>
      </c>
    </row>
    <row r="5">
      <c r="A5" s="3" t="inlineStr">
        <is>
          <t>項目</t>
        </is>
      </c>
      <c r="B5" s="3" t="inlineStr">
        <is>
          <t>値</t>
        </is>
      </c>
      <c r="C5" s="3" t="inlineStr">
        <is>
          <t>単位</t>
        </is>
      </c>
      <c r="D5" s="3" t="inlineStr">
        <is>
          <t>出典</t>
        </is>
      </c>
      <c r="E5" s="3" t="inlineStr">
        <is>
          <t>置き方</t>
        </is>
      </c>
    </row>
    <row r="6">
      <c r="A6" s="4" t="inlineStr">
        <is>
          <t>韓国人口</t>
        </is>
      </c>
      <c r="B6" s="23" t="n">
        <v>51700000</v>
      </c>
      <c r="C6" s="4" t="inlineStr">
        <is>
          <t>人</t>
        </is>
      </c>
      <c r="D6" s="4" t="inlineStr">
        <is>
          <t>統計庁（仮引用）</t>
        </is>
      </c>
      <c r="E6" s="4" t="inlineStr">
        <is>
          <t>要出典確認</t>
        </is>
      </c>
    </row>
    <row r="7">
      <c r="A7" s="4" t="inlineStr">
        <is>
          <t>世帯数</t>
        </is>
      </c>
      <c r="B7" s="23" t="n">
        <v>22000000</v>
      </c>
      <c r="C7" s="4" t="inlineStr">
        <is>
          <t>世帯</t>
        </is>
      </c>
      <c r="D7" s="4" t="inlineStr">
        <is>
          <t>統計庁（仮引用）</t>
        </is>
      </c>
      <c r="E7" s="4" t="inlineStr">
        <is>
          <t>要出典確認</t>
        </is>
      </c>
    </row>
    <row r="8">
      <c r="A8" s="4" t="inlineStr">
        <is>
          <t>1世帯あたり保有数</t>
        </is>
      </c>
      <c r="B8" s="51" t="n">
        <v>1.5</v>
      </c>
      <c r="C8" s="4" t="inlineStr">
        <is>
          <t>個</t>
        </is>
      </c>
      <c r="D8" s="4" t="inlineStr">
        <is>
          <t>仮</t>
        </is>
      </c>
      <c r="E8" s="4" t="inlineStr">
        <is>
          <t>要確認</t>
        </is>
      </c>
    </row>
    <row r="9">
      <c r="A9" s="4" t="inlineStr">
        <is>
          <t>買替サイクル</t>
        </is>
      </c>
      <c r="B9" s="50" t="n">
        <v>7</v>
      </c>
      <c r="C9" s="4" t="inlineStr">
        <is>
          <t>年</t>
        </is>
      </c>
      <c r="D9" s="4" t="inlineStr">
        <is>
          <t>仮</t>
        </is>
      </c>
      <c r="E9" s="4" t="inlineStr">
        <is>
          <t>5〜10年の中央値</t>
        </is>
      </c>
    </row>
    <row r="10">
      <c r="A10" s="4" t="inlineStr">
        <is>
          <t>年間需要数量</t>
        </is>
      </c>
      <c r="B10" s="74">
        <f>B7*B8/B9</f>
        <v>4714285.714285715</v>
      </c>
      <c r="C10" s="4" t="inlineStr">
        <is>
          <t>個/年</t>
        </is>
      </c>
      <c r="D10" s="4" t="inlineStr">
        <is>
          <t>算出</t>
        </is>
      </c>
      <c r="E10" s="4" t="inlineStr">
        <is>
          <t>世帯×保有数÷サイクル</t>
        </is>
      </c>
    </row>
    <row r="11">
      <c r="A11" s="4" t="inlineStr">
        <is>
          <t>平均単価</t>
        </is>
      </c>
      <c r="B11" s="50" t="n">
        <v>150000</v>
      </c>
      <c r="C11" s="4" t="inlineStr">
        <is>
          <t>ウォン</t>
        </is>
      </c>
      <c r="D11" s="4" t="inlineStr">
        <is>
          <t>仮</t>
        </is>
      </c>
      <c r="E11" s="4" t="inlineStr">
        <is>
          <t>中価格帯の想定</t>
        </is>
      </c>
    </row>
    <row r="12">
      <c r="A12" s="4" t="inlineStr">
        <is>
          <t>TAM（年間市場規模）</t>
        </is>
      </c>
      <c r="B12" s="74">
        <f>B10*B11</f>
        <v>707142857142.8572</v>
      </c>
      <c r="C12" s="4" t="inlineStr">
        <is>
          <t>ウォン/年</t>
        </is>
      </c>
      <c r="D12" s="4" t="inlineStr">
        <is>
          <t>算出</t>
        </is>
      </c>
      <c r="E12" s="4" t="inlineStr">
        <is>
          <t>需要数量×平均単価</t>
        </is>
      </c>
    </row>
    <row r="14">
      <c r="A14" s="14" t="inlineStr">
        <is>
          <t>② SAM / SOM（仮）</t>
        </is>
      </c>
    </row>
    <row r="15">
      <c r="A15" s="3" t="inlineStr">
        <is>
          <t>区分</t>
        </is>
      </c>
      <c r="B15" s="3" t="inlineStr">
        <is>
          <t>算定</t>
        </is>
      </c>
      <c r="C15" s="3" t="inlineStr">
        <is>
          <t>金額(ウォン/年)</t>
        </is>
      </c>
      <c r="D15" s="3" t="inlineStr">
        <is>
          <t>数量換算(個/年)</t>
        </is>
      </c>
      <c r="E15" s="3" t="inlineStr">
        <is>
          <t>注記</t>
        </is>
      </c>
    </row>
    <row r="16">
      <c r="A16" s="4" t="inlineStr">
        <is>
          <t>SAM</t>
        </is>
      </c>
      <c r="B16" s="4" t="inlineStr">
        <is>
          <t>TAM × EC比率40% × 中価格帯25%</t>
        </is>
      </c>
      <c r="C16" s="50">
        <f>B12*0.4*0.25</f>
        <v>70714285714.28572</v>
      </c>
      <c r="D16" s="23">
        <f>C16/150000</f>
        <v>471428.5714285715</v>
      </c>
      <c r="E16" s="4" t="inlineStr">
        <is>
          <t>EC比率・価格帯比率とも仮</t>
        </is>
      </c>
    </row>
    <row r="17">
      <c r="A17" s="4" t="inlineStr">
        <is>
          <t>SOM（仮シェア0.1%）</t>
        </is>
      </c>
      <c r="B17" s="4" t="inlineStr">
        <is>
          <t>SAM × 0.1%</t>
        </is>
      </c>
      <c r="C17" s="50">
        <f>C16*0.001</f>
        <v>70714285.71428572</v>
      </c>
      <c r="D17" s="23">
        <f>C17/150000</f>
        <v>471.42857142857144</v>
      </c>
      <c r="E17" s="4" t="inlineStr">
        <is>
          <t>新規参入ブランドの現実的な初年度シェア</t>
        </is>
      </c>
    </row>
    <row r="18">
      <c r="A18" s="30" t="inlineStr">
        <is>
          <t>損益分岐に必要な数量</t>
        </is>
      </c>
      <c r="B18" s="30" t="inlineStr">
        <is>
          <t>06_Unit Economics より</t>
        </is>
      </c>
      <c r="C18" s="18">
        <f>'02_Assumptions'!$B$68*'02_Assumptions'!$B$59/'02_Assumptions'!$B$5</f>
        <v>381567272.72727275</v>
      </c>
      <c r="D18" s="56">
        <f>'02_Assumptions'!$B$68</f>
        <v>1572</v>
      </c>
      <c r="E18" s="34" t="inlineStr">
        <is>
          <t>★SOM（仮）を上回るかが論点</t>
        </is>
      </c>
    </row>
    <row r="20">
      <c r="A20" s="14" t="inlineStr">
        <is>
          <t>③ 市場の質（要調査項目）</t>
        </is>
      </c>
    </row>
    <row r="21">
      <c r="A21" s="3" t="inlineStr">
        <is>
          <t>項目</t>
        </is>
      </c>
      <c r="B21" s="3" t="inlineStr">
        <is>
          <t>仮の見立て</t>
        </is>
      </c>
      <c r="C21" s="3" t="inlineStr">
        <is>
          <t>確度</t>
        </is>
      </c>
      <c r="D21" s="3" t="inlineStr">
        <is>
          <t>調査方法</t>
        </is>
      </c>
      <c r="E21" s="3" t="inlineStr">
        <is>
          <t>注記</t>
        </is>
      </c>
    </row>
    <row r="22">
      <c r="A22" s="4" t="inlineStr">
        <is>
          <t>市場成長率</t>
        </is>
      </c>
      <c r="B22" s="53" t="inlineStr">
        <is>
          <t>0〜3%（横ばい）</t>
        </is>
      </c>
      <c r="C22" s="6" t="inlineStr">
        <is>
          <t>仮</t>
        </is>
      </c>
      <c r="D22" s="4" t="inlineStr">
        <is>
          <t>統計庁・業界レポート</t>
        </is>
      </c>
      <c r="E22" s="4" t="inlineStr">
        <is>
          <t>コロナ後の旅行需要回復は一巡</t>
        </is>
      </c>
    </row>
    <row r="23">
      <c r="A23" s="4" t="inlineStr">
        <is>
          <t>検索需要</t>
        </is>
      </c>
      <c r="B23" s="53" t="inlineStr">
        <is>
          <t>要調査</t>
        </is>
      </c>
      <c r="C23" s="6" t="inlineStr">
        <is>
          <t>—</t>
        </is>
      </c>
      <c r="D23" s="4" t="inlineStr">
        <is>
          <t>ネイバーキーワードツール／Googleキーワードプランナー</t>
        </is>
      </c>
      <c r="E23" s="4" t="inlineStr">
        <is>
          <t>「여행가방」「캐리어」の月間検索数</t>
        </is>
      </c>
    </row>
    <row r="24">
      <c r="A24" s="4" t="inlineStr">
        <is>
          <t>季節性</t>
        </is>
      </c>
      <c r="B24" s="53" t="inlineStr">
        <is>
          <t>GW前・夏休み前・年末年始前に山</t>
        </is>
      </c>
      <c r="C24" s="6" t="inlineStr">
        <is>
          <t>仮</t>
        </is>
      </c>
      <c r="D24" s="4" t="inlineStr">
        <is>
          <t>自社の月次売上／モールのカテゴリ推移</t>
        </is>
      </c>
      <c r="E24" s="4" t="inlineStr">
        <is>
          <t>閑散期の在庫滞留を発注量に織り込む</t>
        </is>
      </c>
    </row>
    <row r="25">
      <c r="A25" s="4" t="inlineStr">
        <is>
          <t>価格帯分布</t>
        </is>
      </c>
      <c r="B25" s="53" t="inlineStr">
        <is>
          <t>10〜20万Wが最大ボリューム</t>
        </is>
      </c>
      <c r="C25" s="6" t="inlineStr">
        <is>
          <t>仮</t>
        </is>
      </c>
      <c r="D25" s="4" t="inlineStr">
        <is>
          <t>ネイバー/クーパンのカテゴリランキング</t>
        </is>
      </c>
      <c r="E25" s="48" t="inlineStr">
        <is>
          <t>自社の21,900〜33,900円＝約20〜31万Wは中〜上位帯</t>
        </is>
      </c>
    </row>
    <row r="26">
      <c r="A26" s="4" t="inlineStr">
        <is>
          <t>レビュー件数の分布</t>
        </is>
      </c>
      <c r="B26" s="53" t="inlineStr">
        <is>
          <t>上位SKUは1,000件超</t>
        </is>
      </c>
      <c r="C26" s="6" t="inlineStr">
        <is>
          <t>仮</t>
        </is>
      </c>
      <c r="D26" s="4" t="inlineStr">
        <is>
          <t>モールのランキング上位30SKU</t>
        </is>
      </c>
      <c r="E26" s="4" t="inlineStr">
        <is>
          <t>自社25件は初期段階</t>
        </is>
      </c>
    </row>
    <row r="27">
      <c r="A27" s="14" t="inlineStr">
        <is>
          <t>注記</t>
        </is>
      </c>
    </row>
    <row r="28">
      <c r="A28" s="2" t="inlineStr">
        <is>
          <t>★このシートは全て仮の積み上げです。TAM/SAM/SOMはいずれも出典未確認。</t>
        </is>
      </c>
    </row>
    <row r="29">
      <c r="A29" s="2" t="inlineStr">
        <is>
          <t>★最重要の論点：損益分岐に必要な年1572個が、仮のSOM（年471個）を大きく上回っています。</t>
        </is>
      </c>
    </row>
    <row r="30">
      <c r="A30" s="2" t="inlineStr">
        <is>
          <t>差し替え先：統計庁「가계동향조사」、矢野経済/富士経済の鞄市場調査、ネイバー/クーパンのカテゴリランキング上位SKUの推定月販。</t>
        </is>
      </c>
    </row>
  </sheetData>
  <mergeCells count="9">
    <mergeCell ref="A30:E30"/>
    <mergeCell ref="A29:E29"/>
    <mergeCell ref="A4:E4"/>
    <mergeCell ref="A20:E20"/>
    <mergeCell ref="A2:E2"/>
    <mergeCell ref="A28:E28"/>
    <mergeCell ref="A1:E1"/>
    <mergeCell ref="A14:E14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83" t="inlineStr">
        <is>
          <t>競合分析（仮）</t>
        </is>
      </c>
    </row>
    <row r="2">
      <c r="A2" s="2" t="inlineStr">
        <is>
          <t>★競合4社は仮のプロファイルです。ネイバー/クーパンのカテゴリランキングから実データで差し替えてください。</t>
        </is>
      </c>
    </row>
    <row r="4">
      <c r="A4" s="3" t="inlineStr">
        <is>
          <t>競合</t>
        </is>
      </c>
      <c r="B4" s="3" t="inlineStr">
        <is>
          <t>区分</t>
        </is>
      </c>
      <c r="C4" s="3" t="inlineStr">
        <is>
          <t>価格帯(W)</t>
        </is>
      </c>
      <c r="D4" s="3" t="inlineStr">
        <is>
          <t>レビュー数</t>
        </is>
      </c>
      <c r="E4" s="3" t="inlineStr">
        <is>
          <t>推定月販</t>
        </is>
      </c>
      <c r="F4" s="3" t="inlineStr">
        <is>
          <t>推定月商(W)</t>
        </is>
      </c>
      <c r="G4" s="3" t="inlineStr">
        <is>
          <t>参入時期</t>
        </is>
      </c>
      <c r="H4" s="3" t="inlineStr">
        <is>
          <t>強み／自社との差</t>
        </is>
      </c>
    </row>
    <row r="5">
      <c r="A5" s="4" t="inlineStr">
        <is>
          <t>競合A（同価格帯ECブランド）</t>
        </is>
      </c>
      <c r="B5" s="4" t="inlineStr">
        <is>
          <t>直接</t>
        </is>
      </c>
      <c r="C5" s="53" t="inlineStr">
        <is>
          <t>180,000〜300,000</t>
        </is>
      </c>
      <c r="D5" s="50" t="n">
        <v>1200</v>
      </c>
      <c r="E5" s="50" t="n">
        <v>150</v>
      </c>
      <c r="F5" s="53" t="inlineStr">
        <is>
          <t>約34,500,000</t>
        </is>
      </c>
      <c r="G5" s="4" t="inlineStr">
        <is>
          <t>2〜3年前</t>
        </is>
      </c>
      <c r="H5" s="48" t="inlineStr">
        <is>
          <t>レビュー1,200件。指名検索あり。後発が正面から勝つのは困難</t>
        </is>
      </c>
    </row>
    <row r="6">
      <c r="A6" s="4" t="inlineStr">
        <is>
          <t>競合B（ノーブランド廉価）</t>
        </is>
      </c>
      <c r="B6" s="4" t="inlineStr">
        <is>
          <t>直接</t>
        </is>
      </c>
      <c r="C6" s="53" t="inlineStr">
        <is>
          <t>80,000〜150,000</t>
        </is>
      </c>
      <c r="D6" s="50" t="n">
        <v>3500</v>
      </c>
      <c r="E6" s="50" t="n">
        <v>400</v>
      </c>
      <c r="F6" s="53" t="inlineStr">
        <is>
          <t>約46,000,000</t>
        </is>
      </c>
      <c r="G6" s="4" t="inlineStr">
        <is>
          <t>5年以上前</t>
        </is>
      </c>
      <c r="H6" s="4" t="inlineStr">
        <is>
          <t>価格。ここに引き込まれると粗利21.8%が即消える</t>
        </is>
      </c>
    </row>
    <row r="7">
      <c r="A7" s="4" t="inlineStr">
        <is>
          <t>競合C（大手ブランド）</t>
        </is>
      </c>
      <c r="B7" s="4" t="inlineStr">
        <is>
          <t>間接</t>
        </is>
      </c>
      <c r="C7" s="53" t="inlineStr">
        <is>
          <t>350,000〜800,000</t>
        </is>
      </c>
      <c r="D7" s="50" t="n">
        <v>800</v>
      </c>
      <c r="E7" s="50" t="n">
        <v>80</v>
      </c>
      <c r="F7" s="53" t="inlineStr">
        <is>
          <t>約46,000,000</t>
        </is>
      </c>
      <c r="G7" s="4" t="inlineStr">
        <is>
          <t>10年以上</t>
        </is>
      </c>
      <c r="H7" s="4" t="inlineStr">
        <is>
          <t>ブランド指名。広告で正面衝突するとCPAが上がる</t>
        </is>
      </c>
    </row>
    <row r="8">
      <c r="A8" s="4" t="inlineStr">
        <is>
          <t>競合D（小売・量販）</t>
        </is>
      </c>
      <c r="B8" s="4" t="inlineStr">
        <is>
          <t>間接</t>
        </is>
      </c>
      <c r="C8" s="53" t="inlineStr">
        <is>
          <t>100,000〜300,000</t>
        </is>
      </c>
      <c r="D8" s="50" t="inlineStr">
        <is>
          <t>—</t>
        </is>
      </c>
      <c r="E8" s="50" t="inlineStr">
        <is>
          <t>—</t>
        </is>
      </c>
      <c r="F8" s="53" t="inlineStr">
        <is>
          <t>—</t>
        </is>
      </c>
      <c r="G8" s="4" t="inlineStr">
        <is>
          <t>—</t>
        </is>
      </c>
      <c r="H8" s="4" t="inlineStr">
        <is>
          <t>実店舗で触って買える。EC単独の最大の弱点</t>
        </is>
      </c>
    </row>
    <row r="9">
      <c r="A9" s="4" t="inlineStr">
        <is>
          <t>レンタル</t>
        </is>
      </c>
      <c r="B9" s="4" t="inlineStr">
        <is>
          <t>代替</t>
        </is>
      </c>
      <c r="C9" s="53" t="inlineStr">
        <is>
          <t>20,000〜80,000/回</t>
        </is>
      </c>
      <c r="D9" s="50" t="inlineStr">
        <is>
          <t>—</t>
        </is>
      </c>
      <c r="E9" s="50" t="inlineStr">
        <is>
          <t>—</t>
        </is>
      </c>
      <c r="F9" s="53" t="inlineStr">
        <is>
          <t>—</t>
        </is>
      </c>
      <c r="G9" s="4" t="inlineStr">
        <is>
          <t>—</t>
        </is>
      </c>
      <c r="H9" s="4" t="inlineStr">
        <is>
          <t>年1回しか旅行しない層を奪う</t>
        </is>
      </c>
    </row>
    <row r="10">
      <c r="A10" s="4" t="inlineStr">
        <is>
          <t>買わない／借りる</t>
        </is>
      </c>
      <c r="B10" s="4" t="inlineStr">
        <is>
          <t>代替</t>
        </is>
      </c>
      <c r="C10" s="53" t="inlineStr">
        <is>
          <t>0</t>
        </is>
      </c>
      <c r="D10" s="50" t="inlineStr">
        <is>
          <t>—</t>
        </is>
      </c>
      <c r="E10" s="50" t="inlineStr">
        <is>
          <t>—</t>
        </is>
      </c>
      <c r="F10" s="53" t="inlineStr">
        <is>
          <t>—</t>
        </is>
      </c>
      <c r="G10" s="4" t="inlineStr">
        <is>
          <t>—</t>
        </is>
      </c>
      <c r="H10" s="4" t="inlineStr">
        <is>
          <t>Vitamin商材の宿命。購入を先送りされる</t>
        </is>
      </c>
    </row>
    <row r="12">
      <c r="A12" s="14" t="inlineStr">
        <is>
          <t>自社ポジション（実績）</t>
        </is>
      </c>
    </row>
    <row r="13">
      <c r="A13" s="3" t="inlineStr">
        <is>
          <t>項目</t>
        </is>
      </c>
      <c r="B13" s="3" t="inlineStr">
        <is>
          <t>自社</t>
        </is>
      </c>
      <c r="C13" s="3" t="inlineStr">
        <is>
          <t>競合A</t>
        </is>
      </c>
      <c r="D13" s="3" t="inlineStr">
        <is>
          <t>競合B</t>
        </is>
      </c>
      <c r="E13" s="3" t="inlineStr"/>
      <c r="F13" s="3" t="inlineStr"/>
      <c r="G13" s="3" t="inlineStr"/>
      <c r="H13" s="3" t="inlineStr"/>
    </row>
    <row r="14">
      <c r="A14" s="4" t="inlineStr">
        <is>
          <t>価格帯(W)</t>
        </is>
      </c>
      <c r="B14" s="23" t="inlineStr">
        <is>
          <t>約200,000〜310,000</t>
        </is>
      </c>
      <c r="C14" s="23" t="inlineStr">
        <is>
          <t>180,000〜300,000</t>
        </is>
      </c>
      <c r="D14" s="23" t="inlineStr">
        <is>
          <t>80,000〜150,000</t>
        </is>
      </c>
      <c r="E14" s="4" t="inlineStr"/>
      <c r="F14" s="4" t="inlineStr"/>
      <c r="G14" s="4" t="inlineStr"/>
      <c r="H14" s="4" t="inlineStr">
        <is>
          <t>ほぼ競合Aと同帯</t>
        </is>
      </c>
    </row>
    <row r="15">
      <c r="A15" s="4" t="inlineStr">
        <is>
          <t>レビュー件数</t>
        </is>
      </c>
      <c r="B15" s="31" t="n">
        <v>25</v>
      </c>
      <c r="C15" s="23" t="n">
        <v>1200</v>
      </c>
      <c r="D15" s="23" t="n">
        <v>3500</v>
      </c>
      <c r="E15" s="4" t="inlineStr"/>
      <c r="F15" s="4" t="inlineStr"/>
      <c r="G15" s="4" t="inlineStr"/>
      <c r="H15" s="4" t="inlineStr">
        <is>
          <t>★48分の1〜140分の1。最大の劣位</t>
        </is>
      </c>
    </row>
    <row r="16">
      <c r="A16" s="4" t="inlineStr">
        <is>
          <t>月販（直近）</t>
        </is>
      </c>
      <c r="B16" s="31" t="n">
        <v>0</v>
      </c>
      <c r="C16" s="23" t="n">
        <v>150</v>
      </c>
      <c r="D16" s="23" t="n">
        <v>400</v>
      </c>
      <c r="E16" s="4" t="inlineStr"/>
      <c r="F16" s="4" t="inlineStr"/>
      <c r="G16" s="4" t="inlineStr"/>
      <c r="H16" s="4" t="inlineStr">
        <is>
          <t>★直近3日の新規購入0件</t>
        </is>
      </c>
    </row>
    <row r="17">
      <c r="A17" s="4" t="inlineStr">
        <is>
          <t>参入時期</t>
        </is>
      </c>
      <c r="B17" s="23" t="inlineStr">
        <is>
          <t>2025年12月</t>
        </is>
      </c>
      <c r="C17" s="23" t="inlineStr">
        <is>
          <t>2〜3年前</t>
        </is>
      </c>
      <c r="D17" s="23" t="inlineStr">
        <is>
          <t>5年以上前</t>
        </is>
      </c>
      <c r="E17" s="4" t="inlineStr"/>
      <c r="F17" s="4" t="inlineStr"/>
      <c r="G17" s="4" t="inlineStr"/>
      <c r="H17" s="4" t="inlineStr">
        <is>
          <t>後発</t>
        </is>
      </c>
    </row>
    <row r="19">
      <c r="A19" s="14" t="inlineStr">
        <is>
          <t>競合が自社をコピーした場合</t>
        </is>
      </c>
    </row>
    <row r="20">
      <c r="A20" s="49" t="inlineStr">
        <is>
          <t>・スーツケースは意匠以外に参入障壁がほぼない。OEM元が同じなら競合も同じ商品を出せる。</t>
        </is>
      </c>
    </row>
    <row r="21">
      <c r="A21" s="49" t="inlineStr">
        <is>
          <t>・自社が広告で需要を掘り起こした瞬間、同型番の廉価版が相乗りしてくる構造。</t>
        </is>
      </c>
    </row>
    <row r="22">
      <c r="A22" s="49" t="inlineStr">
        <is>
          <t>・防御策は「レビュー数」「ブランド想起」「独自機能の意匠登録」の3つのみ。現状レビュー25件で、いずれも未確立。</t>
        </is>
      </c>
    </row>
    <row r="23">
      <c r="A23" s="14" t="inlineStr">
        <is>
          <t>注記</t>
        </is>
      </c>
    </row>
    <row r="24">
      <c r="A24" s="2" t="inlineStr">
        <is>
          <t>★競合A〜Dの数値は全て仮。ネイバー/クーパンのカテゴリランキング上位30SKUを実測して差し替えること。</t>
        </is>
      </c>
    </row>
    <row r="25">
      <c r="A25" s="2" t="inlineStr">
        <is>
          <t>調査方法：ランキング上位SKUの ①価格 ②レビュー件数 ③レビュー増加ペース（月次差分＝推定月販の代理指標）を記録する。</t>
        </is>
      </c>
    </row>
  </sheetData>
  <mergeCells count="10">
    <mergeCell ref="A12:H12"/>
    <mergeCell ref="A21:H21"/>
    <mergeCell ref="A25:H25"/>
    <mergeCell ref="A20:H20"/>
    <mergeCell ref="A24:H24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42" customWidth="1" min="12" max="12"/>
  </cols>
  <sheetData>
    <row r="1">
      <c r="A1" s="83" t="inlineStr">
        <is>
          <t>価格設計と値引き耐性</t>
        </is>
      </c>
    </row>
    <row r="2">
      <c r="A2" s="2" t="inlineStr">
        <is>
          <t>売価S/Mは確定、Lは仮定。値引き耐性＝どこまで下げると1個売るごとに赤字になるか</t>
        </is>
      </c>
    </row>
    <row r="4">
      <c r="A4" s="3" t="inlineStr">
        <is>
          <t>SKU</t>
        </is>
      </c>
      <c r="B4" s="3" t="inlineStr">
        <is>
          <t>売価</t>
        </is>
      </c>
      <c r="C4" s="3" t="inlineStr">
        <is>
          <t>原価(W)</t>
        </is>
      </c>
      <c r="D4" s="3" t="inlineStr">
        <is>
          <t>原価(円)</t>
        </is>
      </c>
      <c r="E4" s="3" t="inlineStr">
        <is>
          <t>粗利</t>
        </is>
      </c>
      <c r="F4" s="3" t="inlineStr">
        <is>
          <t>粗利率</t>
        </is>
      </c>
      <c r="G4" s="3" t="inlineStr">
        <is>
          <t>限界益@目標CPA</t>
        </is>
      </c>
      <c r="H4" s="3" t="inlineStr">
        <is>
          <t>限界益@許容CPA</t>
        </is>
      </c>
      <c r="I4" s="3" t="inlineStr"/>
      <c r="J4" s="3" t="inlineStr"/>
      <c r="K4" s="3" t="inlineStr"/>
      <c r="L4" s="3" t="inlineStr">
        <is>
          <t>注記</t>
        </is>
      </c>
    </row>
    <row r="5">
      <c r="A5" s="4" t="inlineStr">
        <is>
          <t>S</t>
        </is>
      </c>
      <c r="B5" s="22">
        <f>'02_Assumptions'!$B$6</f>
        <v>21900</v>
      </c>
      <c r="C5" s="23">
        <f>'02_Assumptions'!$B$9</f>
        <v>100000</v>
      </c>
      <c r="D5" s="22">
        <f>'02_Assumptions'!$B$9*'02_Assumptions'!$B$5</f>
        <v>11000</v>
      </c>
      <c r="E5" s="22">
        <f>B5-B5*'02_Assumptions'!$B$12-'02_Assumptions'!$B$13-D5-'02_Assumptions'!$B$14-'02_Assumptions'!$B$16-'02_Assumptions'!$B$17</f>
        <v>7524</v>
      </c>
      <c r="F5" s="24">
        <f>E5/B5</f>
        <v>0.34356164383561644</v>
      </c>
      <c r="G5" s="25">
        <f>E5-'02_Assumptions'!$B$18</f>
        <v>3024</v>
      </c>
      <c r="H5" s="26">
        <f>E5-'02_Assumptions'!$B$19</f>
        <v>1524</v>
      </c>
      <c r="I5" s="4" t="inlineStr"/>
      <c r="J5" s="4" t="inlineStr"/>
      <c r="K5" s="4" t="inlineStr"/>
      <c r="L5" s="4" t="inlineStr">
        <is>
          <t>確定</t>
        </is>
      </c>
    </row>
    <row r="6">
      <c r="A6" s="4" t="inlineStr">
        <is>
          <t>M</t>
        </is>
      </c>
      <c r="B6" s="22">
        <f>'02_Assumptions'!$B$7</f>
        <v>27900</v>
      </c>
      <c r="C6" s="23">
        <f>'02_Assumptions'!$B$10</f>
        <v>150000</v>
      </c>
      <c r="D6" s="22">
        <f>'02_Assumptions'!$B$10*'02_Assumptions'!$B$5</f>
        <v>16500</v>
      </c>
      <c r="E6" s="22">
        <f>B6-B6*'02_Assumptions'!$B$12-'02_Assumptions'!$B$13-D6-'02_Assumptions'!$B$14-'02_Assumptions'!$B$16-'02_Assumptions'!$B$17</f>
        <v>7784</v>
      </c>
      <c r="F6" s="24">
        <f>E6/B6</f>
        <v>0.2789964157706093</v>
      </c>
      <c r="G6" s="25">
        <f>E6-'02_Assumptions'!$B$18</f>
        <v>3284</v>
      </c>
      <c r="H6" s="26">
        <f>E6-'02_Assumptions'!$B$19</f>
        <v>1784</v>
      </c>
      <c r="I6" s="4" t="inlineStr"/>
      <c r="J6" s="4" t="inlineStr"/>
      <c r="K6" s="4" t="inlineStr"/>
      <c r="L6" s="4" t="inlineStr">
        <is>
          <t>確定</t>
        </is>
      </c>
    </row>
    <row r="7">
      <c r="A7" s="4" t="inlineStr">
        <is>
          <t>L</t>
        </is>
      </c>
      <c r="B7" s="22">
        <f>'02_Assumptions'!$B$8</f>
        <v>33900</v>
      </c>
      <c r="C7" s="23">
        <f>'02_Assumptions'!$B$11</f>
        <v>200000</v>
      </c>
      <c r="D7" s="22">
        <f>'02_Assumptions'!$B$11*'02_Assumptions'!$B$5</f>
        <v>22000</v>
      </c>
      <c r="E7" s="22">
        <f>B7-B7*'02_Assumptions'!$B$12-'02_Assumptions'!$B$13-D7-'02_Assumptions'!$B$14-'02_Assumptions'!$B$16-'02_Assumptions'!$B$17</f>
        <v>8044</v>
      </c>
      <c r="F7" s="24">
        <f>E7/B7</f>
        <v>0.23728613569321533</v>
      </c>
      <c r="G7" s="25">
        <f>E7-'02_Assumptions'!$B$18</f>
        <v>3544</v>
      </c>
      <c r="H7" s="26">
        <f>E7-'02_Assumptions'!$B$19</f>
        <v>2044</v>
      </c>
      <c r="I7" s="4" t="inlineStr"/>
      <c r="J7" s="4" t="inlineStr"/>
      <c r="K7" s="4" t="inlineStr"/>
      <c r="L7" s="27" t="inlineStr">
        <is>
          <t>★売価・原価とも仮定</t>
        </is>
      </c>
    </row>
    <row r="9">
      <c r="A9" s="14" t="inlineStr">
        <is>
          <t>値引き耐性（@目標CPA4,500での限界利益）</t>
        </is>
      </c>
    </row>
    <row r="10">
      <c r="A10" s="3" t="inlineStr">
        <is>
          <t>SKU</t>
        </is>
      </c>
      <c r="B10" s="3" t="inlineStr">
        <is>
          <t>定価</t>
        </is>
      </c>
      <c r="C10" s="3" t="inlineStr">
        <is>
          <t>▲5%</t>
        </is>
      </c>
      <c r="D10" s="3" t="inlineStr">
        <is>
          <t>▲10%</t>
        </is>
      </c>
      <c r="E10" s="3" t="inlineStr">
        <is>
          <t>▲15%</t>
        </is>
      </c>
      <c r="F10" s="3" t="inlineStr">
        <is>
          <t>▲20%</t>
        </is>
      </c>
      <c r="G10" s="3" t="inlineStr">
        <is>
          <t>▲25%</t>
        </is>
      </c>
      <c r="H10" s="3" t="inlineStr">
        <is>
          <t>限界益ゼロ点</t>
        </is>
      </c>
      <c r="I10" s="3" t="inlineStr"/>
      <c r="J10" s="3" t="inlineStr"/>
      <c r="K10" s="3" t="inlineStr"/>
      <c r="L10" s="3" t="inlineStr"/>
    </row>
    <row r="11">
      <c r="A11" s="4" t="inlineStr">
        <is>
          <t>S</t>
        </is>
      </c>
      <c r="B11" s="22">
        <f>$B$5*(1-0)-$B$5*(1-0)*'02_Assumptions'!$B$12-'02_Assumptions'!$B$13-$D$5-'02_Assumptions'!$B$14-'02_Assumptions'!$B$16-'02_Assumptions'!$B$17-'02_Assumptions'!$B$18</f>
        <v>3024</v>
      </c>
      <c r="C11" s="26">
        <f>$B$5*(1-0.05)-$B$5*(1-0.05)*'02_Assumptions'!$B$12-'02_Assumptions'!$B$13-$D$5-'02_Assumptions'!$B$14-'02_Assumptions'!$B$16-'02_Assumptions'!$B$17-'02_Assumptions'!$B$18</f>
        <v>1972.7999999999993</v>
      </c>
      <c r="D11" s="26">
        <f>$B$5*(1-0.1)-$B$5*(1-0.1)*'02_Assumptions'!$B$12-'02_Assumptions'!$B$13-$D$5-'02_Assumptions'!$B$14-'02_Assumptions'!$B$16-'02_Assumptions'!$B$17-'02_Assumptions'!$B$18</f>
        <v>921.5999999999985</v>
      </c>
      <c r="E11" s="28">
        <f>$B$5*(1-0.15)-$B$5*(1-0.15)*'02_Assumptions'!$B$12-'02_Assumptions'!$B$13-$D$5-'02_Assumptions'!$B$14-'02_Assumptions'!$B$16-'02_Assumptions'!$B$17-'02_Assumptions'!$B$18</f>
        <v>-129.59999999999854</v>
      </c>
      <c r="F11" s="28">
        <f>$B$5*(1-0.2)-$B$5*(1-0.2)*'02_Assumptions'!$B$12-'02_Assumptions'!$B$13-$D$5-'02_Assumptions'!$B$14-'02_Assumptions'!$B$16-'02_Assumptions'!$B$17-'02_Assumptions'!$B$18</f>
        <v>-1180.7999999999993</v>
      </c>
      <c r="G11" s="28">
        <f>$B$5*(1-0.25)-$B$5*(1-0.25)*'02_Assumptions'!$B$12-'02_Assumptions'!$B$13-$D$5-'02_Assumptions'!$B$14-'02_Assumptions'!$B$16-'02_Assumptions'!$B$17-'02_Assumptions'!$B$18</f>
        <v>-2232</v>
      </c>
      <c r="H11" s="24" t="n">
        <v>0.144</v>
      </c>
      <c r="I11" s="4" t="inlineStr"/>
      <c r="J11" s="4" t="inlineStr"/>
      <c r="K11" s="4" t="inlineStr"/>
      <c r="L11" s="4" t="inlineStr"/>
    </row>
    <row r="12">
      <c r="A12" s="4" t="inlineStr">
        <is>
          <t>M</t>
        </is>
      </c>
      <c r="B12" s="22">
        <f>$B$6*(1-0)-$B$6*(1-0)*'02_Assumptions'!$B$12-'02_Assumptions'!$B$13-$D$6-'02_Assumptions'!$B$14-'02_Assumptions'!$B$16-'02_Assumptions'!$B$17-'02_Assumptions'!$B$18</f>
        <v>3284</v>
      </c>
      <c r="C12" s="26">
        <f>$B$6*(1-0.05)-$B$6*(1-0.05)*'02_Assumptions'!$B$12-'02_Assumptions'!$B$13-$D$6-'02_Assumptions'!$B$14-'02_Assumptions'!$B$16-'02_Assumptions'!$B$17-'02_Assumptions'!$B$18</f>
        <v>1944.7999999999993</v>
      </c>
      <c r="D12" s="26">
        <f>$B$6*(1-0.1)-$B$6*(1-0.1)*'02_Assumptions'!$B$12-'02_Assumptions'!$B$13-$D$6-'02_Assumptions'!$B$14-'02_Assumptions'!$B$16-'02_Assumptions'!$B$17-'02_Assumptions'!$B$18</f>
        <v>605.5999999999985</v>
      </c>
      <c r="E12" s="28">
        <f>$B$6*(1-0.15)-$B$6*(1-0.15)*'02_Assumptions'!$B$12-'02_Assumptions'!$B$13-$D$6-'02_Assumptions'!$B$14-'02_Assumptions'!$B$16-'02_Assumptions'!$B$17-'02_Assumptions'!$B$18</f>
        <v>-733.5999999999985</v>
      </c>
      <c r="F12" s="28">
        <f>$B$6*(1-0.2)-$B$6*(1-0.2)*'02_Assumptions'!$B$12-'02_Assumptions'!$B$13-$D$6-'02_Assumptions'!$B$14-'02_Assumptions'!$B$16-'02_Assumptions'!$B$17-'02_Assumptions'!$B$18</f>
        <v>-2072.7999999999993</v>
      </c>
      <c r="G12" s="28">
        <f>$B$6*(1-0.25)-$B$6*(1-0.25)*'02_Assumptions'!$B$12-'02_Assumptions'!$B$13-$D$6-'02_Assumptions'!$B$14-'02_Assumptions'!$B$16-'02_Assumptions'!$B$17-'02_Assumptions'!$B$18</f>
        <v>-3412</v>
      </c>
      <c r="H12" s="24" t="n">
        <v>0.123</v>
      </c>
      <c r="I12" s="4" t="inlineStr"/>
      <c r="J12" s="4" t="inlineStr"/>
      <c r="K12" s="4" t="inlineStr"/>
      <c r="L12" s="4" t="inlineStr"/>
    </row>
    <row r="13">
      <c r="A13" s="4" t="inlineStr">
        <is>
          <t>L</t>
        </is>
      </c>
      <c r="B13" s="22">
        <f>$B$7*(1-0)-$B$7*(1-0)*'02_Assumptions'!$B$12-'02_Assumptions'!$B$13-$D$7-'02_Assumptions'!$B$14-'02_Assumptions'!$B$16-'02_Assumptions'!$B$17-'02_Assumptions'!$B$18</f>
        <v>3544</v>
      </c>
      <c r="C13" s="26">
        <f>$B$7*(1-0.05)-$B$7*(1-0.05)*'02_Assumptions'!$B$12-'02_Assumptions'!$B$13-$D$7-'02_Assumptions'!$B$14-'02_Assumptions'!$B$16-'02_Assumptions'!$B$17-'02_Assumptions'!$B$18</f>
        <v>1916.7999999999993</v>
      </c>
      <c r="D13" s="26">
        <f>$B$7*(1-0.1)-$B$7*(1-0.1)*'02_Assumptions'!$B$12-'02_Assumptions'!$B$13-$D$7-'02_Assumptions'!$B$14-'02_Assumptions'!$B$16-'02_Assumptions'!$B$17-'02_Assumptions'!$B$18</f>
        <v>289.59999999999854</v>
      </c>
      <c r="E13" s="28">
        <f>$B$7*(1-0.15)-$B$7*(1-0.15)*'02_Assumptions'!$B$12-'02_Assumptions'!$B$13-$D$7-'02_Assumptions'!$B$14-'02_Assumptions'!$B$16-'02_Assumptions'!$B$17-'02_Assumptions'!$B$18</f>
        <v>-1337.5999999999985</v>
      </c>
      <c r="F13" s="28">
        <f>$B$7*(1-0.2)-$B$7*(1-0.2)*'02_Assumptions'!$B$12-'02_Assumptions'!$B$13-$D$7-'02_Assumptions'!$B$14-'02_Assumptions'!$B$16-'02_Assumptions'!$B$17-'02_Assumptions'!$B$18</f>
        <v>-2964.7999999999993</v>
      </c>
      <c r="G13" s="28">
        <f>$B$7*(1-0.25)-$B$7*(1-0.25)*'02_Assumptions'!$B$12-'02_Assumptions'!$B$13-$D$7-'02_Assumptions'!$B$14-'02_Assumptions'!$B$16-'02_Assumptions'!$B$17-'02_Assumptions'!$B$18</f>
        <v>-4592</v>
      </c>
      <c r="H13" s="24" t="n">
        <v>0.109</v>
      </c>
      <c r="I13" s="4" t="inlineStr"/>
      <c r="J13" s="4" t="inlineStr"/>
      <c r="K13" s="4" t="inlineStr"/>
      <c r="L13" s="4" t="inlineStr"/>
    </row>
    <row r="14">
      <c r="A14" s="14" t="inlineStr">
        <is>
          <t>注記</t>
        </is>
      </c>
    </row>
    <row r="15">
      <c r="A15" s="2" t="inlineStr">
        <is>
          <t>通関費算入後、S は約▲11%、M/L は約▲9%で限界利益がゼロ。値引き余地はほとんど無い。</t>
        </is>
      </c>
    </row>
    <row r="16">
      <c r="A16" s="2" t="inlineStr">
        <is>
          <t>クーポン・ポイント還元は実質値引き。楽天SPU等で10%相当を負担すると M/L は赤字圏に入る。</t>
        </is>
      </c>
    </row>
    <row r="17">
      <c r="A17" s="2" t="inlineStr">
        <is>
          <t>※ 02_Assumptions の「ポイント/クーポン負担」を実額で入れれば、この表に自動反映されます。</t>
        </is>
      </c>
    </row>
  </sheetData>
  <mergeCells count="7">
    <mergeCell ref="A2:L2"/>
    <mergeCell ref="A16:L16"/>
    <mergeCell ref="A15:L15"/>
    <mergeCell ref="A1:L1"/>
    <mergeCell ref="A14:L14"/>
    <mergeCell ref="A17:L17"/>
    <mergeCell ref="A9:L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36" customWidth="1" min="15" max="15"/>
  </cols>
  <sheetData>
    <row r="1">
      <c r="A1" s="83" t="inlineStr">
        <is>
          <t>ユニットエコノミクス（1個あたり）</t>
        </is>
      </c>
    </row>
    <row r="2">
      <c r="A2" s="2" t="inlineStr">
        <is>
          <t>黄色の0円列は★未算入＝現在の利益は過大評価。02_Assumptions で実額を入れると全て連動します。</t>
        </is>
      </c>
    </row>
    <row r="4">
      <c r="A4" s="3" t="inlineStr">
        <is>
          <t>SKU</t>
        </is>
      </c>
      <c r="B4" s="3" t="inlineStr">
        <is>
          <t>売価</t>
        </is>
      </c>
      <c r="C4" s="3" t="inlineStr">
        <is>
          <t>仕入原価</t>
        </is>
      </c>
      <c r="D4" s="3" t="inlineStr">
        <is>
          <t>国際送料/関税/倉庫</t>
        </is>
      </c>
      <c r="E4" s="3" t="inlineStr">
        <is>
          <t>返品引当</t>
        </is>
      </c>
      <c r="F4" s="3" t="inlineStr">
        <is>
          <t>ポイント</t>
        </is>
      </c>
      <c r="G4" s="3" t="inlineStr">
        <is>
          <t>国内送料</t>
        </is>
      </c>
      <c r="H4" s="3" t="inlineStr">
        <is>
          <t>モール/決済手数料</t>
        </is>
      </c>
      <c r="I4" s="3" t="inlineStr"/>
      <c r="J4" s="3" t="inlineStr"/>
      <c r="K4" s="3" t="inlineStr"/>
      <c r="L4" s="3" t="inlineStr">
        <is>
          <t>広告CPA</t>
        </is>
      </c>
      <c r="M4" s="3" t="inlineStr">
        <is>
          <t>限界利益</t>
        </is>
      </c>
      <c r="N4" s="3" t="inlineStr">
        <is>
          <t>限界利益率</t>
        </is>
      </c>
      <c r="O4" s="3" t="inlineStr">
        <is>
          <t>注記</t>
        </is>
      </c>
    </row>
    <row r="5">
      <c r="A5" s="4" t="inlineStr">
        <is>
          <t>S</t>
        </is>
      </c>
      <c r="B5" s="22">
        <f>'02_Assumptions'!$B$6</f>
        <v>21900</v>
      </c>
      <c r="C5" s="22">
        <f>'02_Assumptions'!$B$9*'02_Assumptions'!$B$5</f>
        <v>11000</v>
      </c>
      <c r="D5" s="29">
        <f>'02_Assumptions'!$B$14</f>
        <v>1000</v>
      </c>
      <c r="E5" s="29">
        <f>'02_Assumptions'!$B$16</f>
        <v>400</v>
      </c>
      <c r="F5" s="29">
        <f>'02_Assumptions'!$B$17</f>
        <v>800</v>
      </c>
      <c r="G5" s="22">
        <f>'02_Assumptions'!$B$13</f>
        <v>300</v>
      </c>
      <c r="H5" s="22">
        <f>B5*'02_Assumptions'!$B$12</f>
        <v>876</v>
      </c>
      <c r="I5" s="4" t="inlineStr"/>
      <c r="J5" s="4" t="inlineStr"/>
      <c r="K5" s="4" t="inlineStr"/>
      <c r="L5" s="22">
        <f>'02_Assumptions'!$B$18</f>
        <v>4500</v>
      </c>
      <c r="M5" s="25">
        <f>B5-C5-D5-E5-F5-G5-H5-L5</f>
        <v>3024</v>
      </c>
      <c r="N5" s="24">
        <f>M5/B5</f>
        <v>0.13808219178082193</v>
      </c>
      <c r="O5" s="27" t="inlineStr">
        <is>
          <t>★未算入項目あり</t>
        </is>
      </c>
    </row>
    <row r="6">
      <c r="A6" s="4" t="inlineStr">
        <is>
          <t>M</t>
        </is>
      </c>
      <c r="B6" s="22">
        <f>'02_Assumptions'!$B$7</f>
        <v>27900</v>
      </c>
      <c r="C6" s="22">
        <f>'02_Assumptions'!$B$10*'02_Assumptions'!$B$5</f>
        <v>16500</v>
      </c>
      <c r="D6" s="29">
        <f>'02_Assumptions'!$B$14</f>
        <v>1000</v>
      </c>
      <c r="E6" s="29">
        <f>'02_Assumptions'!$B$16</f>
        <v>400</v>
      </c>
      <c r="F6" s="29">
        <f>'02_Assumptions'!$B$17</f>
        <v>800</v>
      </c>
      <c r="G6" s="22">
        <f>'02_Assumptions'!$B$13</f>
        <v>300</v>
      </c>
      <c r="H6" s="22">
        <f>B6*'02_Assumptions'!$B$12</f>
        <v>1116</v>
      </c>
      <c r="I6" s="4" t="inlineStr"/>
      <c r="J6" s="4" t="inlineStr"/>
      <c r="K6" s="4" t="inlineStr"/>
      <c r="L6" s="22">
        <f>'02_Assumptions'!$B$18</f>
        <v>4500</v>
      </c>
      <c r="M6" s="25">
        <f>B6-C6-D6-E6-F6-G6-H6-L6</f>
        <v>3284</v>
      </c>
      <c r="N6" s="24">
        <f>M6/B6</f>
        <v>0.11770609318996415</v>
      </c>
      <c r="O6" s="27" t="inlineStr">
        <is>
          <t>★未算入項目あり</t>
        </is>
      </c>
    </row>
    <row r="7">
      <c r="A7" s="4" t="inlineStr">
        <is>
          <t>L</t>
        </is>
      </c>
      <c r="B7" s="22">
        <f>'02_Assumptions'!$B$8</f>
        <v>33900</v>
      </c>
      <c r="C7" s="22">
        <f>'02_Assumptions'!$B$11*'02_Assumptions'!$B$5</f>
        <v>22000</v>
      </c>
      <c r="D7" s="29">
        <f>'02_Assumptions'!$B$14</f>
        <v>1000</v>
      </c>
      <c r="E7" s="29">
        <f>'02_Assumptions'!$B$16</f>
        <v>400</v>
      </c>
      <c r="F7" s="29">
        <f>'02_Assumptions'!$B$17</f>
        <v>800</v>
      </c>
      <c r="G7" s="22">
        <f>'02_Assumptions'!$B$13</f>
        <v>300</v>
      </c>
      <c r="H7" s="22">
        <f>B7*'02_Assumptions'!$B$12</f>
        <v>1356</v>
      </c>
      <c r="I7" s="4" t="inlineStr"/>
      <c r="J7" s="4" t="inlineStr"/>
      <c r="K7" s="4" t="inlineStr"/>
      <c r="L7" s="22">
        <f>'02_Assumptions'!$B$18</f>
        <v>4500</v>
      </c>
      <c r="M7" s="25">
        <f>B7-C7-D7-E7-F7-G7-H7-L7</f>
        <v>3544</v>
      </c>
      <c r="N7" s="24">
        <f>M7/B7</f>
        <v>0.10454277286135694</v>
      </c>
      <c r="O7" s="27" t="inlineStr">
        <is>
          <t>★未算入項目あり</t>
        </is>
      </c>
    </row>
    <row r="8">
      <c r="A8" s="30" t="inlineStr">
        <is>
          <t>MIX</t>
        </is>
      </c>
      <c r="B8" s="16">
        <f>'02_Assumptions'!$B$59</f>
        <v>26700</v>
      </c>
      <c r="C8" s="16">
        <f>'02_Assumptions'!$B$60</f>
        <v>15400</v>
      </c>
      <c r="D8" s="16">
        <f>'02_Assumptions'!$B$14</f>
        <v>1000</v>
      </c>
      <c r="E8" s="16">
        <f>'02_Assumptions'!$B$16</f>
        <v>400</v>
      </c>
      <c r="F8" s="16">
        <f>'02_Assumptions'!$B$17</f>
        <v>800</v>
      </c>
      <c r="G8" s="16">
        <f>'02_Assumptions'!$B$13</f>
        <v>300</v>
      </c>
      <c r="H8" s="16">
        <f>B8*'02_Assumptions'!$B$12</f>
        <v>1068</v>
      </c>
      <c r="I8" s="30" t="inlineStr"/>
      <c r="J8" s="30" t="inlineStr"/>
      <c r="K8" s="30" t="inlineStr"/>
      <c r="L8" s="16">
        <f>'02_Assumptions'!$B$18</f>
        <v>4500</v>
      </c>
      <c r="M8" s="16">
        <f>'02_Assumptions'!$B$63</f>
        <v>3232</v>
      </c>
      <c r="N8" s="17">
        <f>'02_Assumptions'!$B$66</f>
        <v>0.12104868913857678</v>
      </c>
      <c r="O8" s="30" t="inlineStr">
        <is>
          <t>仮定ミックス S40:M40:L20</t>
        </is>
      </c>
    </row>
    <row r="10">
      <c r="A10" s="14" t="inlineStr">
        <is>
          <t>感応度①：未算入コストを入れた場合（MIX・目標CPA）</t>
        </is>
      </c>
    </row>
    <row r="11">
      <c r="A11" s="3" t="inlineStr">
        <is>
          <t>追加コスト/個</t>
        </is>
      </c>
      <c r="B11" s="3" t="inlineStr">
        <is>
          <t>限界利益</t>
        </is>
      </c>
      <c r="C11" s="3" t="inlineStr">
        <is>
          <t>限界利益率</t>
        </is>
      </c>
      <c r="D11" s="3" t="inlineStr">
        <is>
          <t>損益分岐(個/月)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2" t="n">
        <v>0</v>
      </c>
      <c r="B12" s="28">
        <f>'02_Assumptions'!$B$63-A12</f>
        <v>3232</v>
      </c>
      <c r="C12" s="24">
        <f>B12/'02_Assumptions'!$B$59</f>
        <v>0.12104868913857678</v>
      </c>
      <c r="D12" s="31">
        <f>IF(B12&lt;=0,"—",ROUNDUP('02_Assumptions'!$B$57/B12,0))</f>
        <v>131</v>
      </c>
    </row>
    <row r="13">
      <c r="A13" s="22" t="n">
        <v>500</v>
      </c>
      <c r="B13" s="28">
        <f>'02_Assumptions'!$B$63-A13</f>
        <v>2732</v>
      </c>
      <c r="C13" s="24">
        <f>B13/'02_Assumptions'!$B$59</f>
        <v>0.10232209737827716</v>
      </c>
      <c r="D13" s="31">
        <f>IF(B13&lt;=0,"—",ROUNDUP('02_Assumptions'!$B$57/B13,0))</f>
        <v>155</v>
      </c>
    </row>
    <row r="14">
      <c r="A14" s="22" t="n">
        <v>1000</v>
      </c>
      <c r="B14" s="28">
        <f>'02_Assumptions'!$B$63-A14</f>
        <v>2232</v>
      </c>
      <c r="C14" s="24">
        <f>B14/'02_Assumptions'!$B$59</f>
        <v>0.08359550561797753</v>
      </c>
      <c r="D14" s="31">
        <f>IF(B14&lt;=0,"—",ROUNDUP('02_Assumptions'!$B$57/B14,0))</f>
        <v>189</v>
      </c>
    </row>
    <row r="15">
      <c r="A15" s="22" t="n">
        <v>1500</v>
      </c>
      <c r="B15" s="28">
        <f>'02_Assumptions'!$B$63-A15</f>
        <v>1732</v>
      </c>
      <c r="C15" s="24">
        <f>B15/'02_Assumptions'!$B$59</f>
        <v>0.0648689138576779</v>
      </c>
      <c r="D15" s="31">
        <f>IF(B15&lt;=0,"—",ROUNDUP('02_Assumptions'!$B$57/B15,0))</f>
        <v>243</v>
      </c>
    </row>
    <row r="16">
      <c r="A16" s="22" t="n">
        <v>2000</v>
      </c>
      <c r="B16" s="28">
        <f>'02_Assumptions'!$B$63-A16</f>
        <v>1232</v>
      </c>
      <c r="C16" s="24">
        <f>B16/'02_Assumptions'!$B$59</f>
        <v>0.04614232209737828</v>
      </c>
      <c r="D16" s="31">
        <f>IF(B16&lt;=0,"—",ROUNDUP('02_Assumptions'!$B$57/B16,0))</f>
        <v>342</v>
      </c>
    </row>
    <row r="17">
      <c r="A17" s="22" t="n">
        <v>3000</v>
      </c>
      <c r="B17" s="28">
        <f>'02_Assumptions'!$B$63-A17</f>
        <v>232</v>
      </c>
      <c r="C17" s="24">
        <f>B17/'02_Assumptions'!$B$59</f>
        <v>0.008689138576779026</v>
      </c>
      <c r="D17" s="31">
        <f>IF(B17&lt;=0,"—",ROUNDUP('02_Assumptions'!$B$57/B17,0))</f>
        <v>1814</v>
      </c>
    </row>
    <row r="19">
      <c r="A19" s="14" t="inlineStr">
        <is>
          <t>感応度②：モール手数料率（S・目標CPA）</t>
        </is>
      </c>
    </row>
    <row r="20">
      <c r="A20" s="3" t="inlineStr">
        <is>
          <t>手数料率</t>
        </is>
      </c>
      <c r="B20" s="3" t="inlineStr">
        <is>
          <t>粗利</t>
        </is>
      </c>
      <c r="C20" s="3" t="inlineStr">
        <is>
          <t>粗利率</t>
        </is>
      </c>
      <c r="D20" s="3" t="inlineStr">
        <is>
          <t>限界利益</t>
        </is>
      </c>
      <c r="E20" s="3" t="inlineStr">
        <is>
          <t>限界利益率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2" t="n">
        <v>0.04</v>
      </c>
      <c r="B21" s="22">
        <f>'02_Assumptions'!$B$6-'02_Assumptions'!$B$6*A21-'02_Assumptions'!$B$13-'02_Assumptions'!$B$9*'02_Assumptions'!$B$5-'02_Assumptions'!$B$14-'02_Assumptions'!$B$16-'02_Assumptions'!$B$17</f>
        <v>7524</v>
      </c>
      <c r="C21" s="24">
        <f>B21/'02_Assumptions'!$B$6</f>
        <v>0.34356164383561644</v>
      </c>
      <c r="D21" s="28">
        <f>B21-'02_Assumptions'!$B$18</f>
        <v>3024</v>
      </c>
      <c r="E21" s="24">
        <f>D21/'02_Assumptions'!$B$6</f>
        <v>0.13808219178082193</v>
      </c>
    </row>
    <row r="22">
      <c r="A22" s="24" t="n">
        <v>0.08</v>
      </c>
      <c r="B22" s="22">
        <f>'02_Assumptions'!$B$6-'02_Assumptions'!$B$6*A22-'02_Assumptions'!$B$13-'02_Assumptions'!$B$9*'02_Assumptions'!$B$5-'02_Assumptions'!$B$14-'02_Assumptions'!$B$16-'02_Assumptions'!$B$17</f>
        <v>6648</v>
      </c>
      <c r="C22" s="24">
        <f>B22/'02_Assumptions'!$B$6</f>
        <v>0.30356164383561646</v>
      </c>
      <c r="D22" s="28">
        <f>B22-'02_Assumptions'!$B$18</f>
        <v>2148</v>
      </c>
      <c r="E22" s="24">
        <f>D22/'02_Assumptions'!$B$6</f>
        <v>0.09808219178082192</v>
      </c>
    </row>
    <row r="23">
      <c r="A23" s="24" t="n">
        <v>0.1</v>
      </c>
      <c r="B23" s="22">
        <f>'02_Assumptions'!$B$6-'02_Assumptions'!$B$6*A23-'02_Assumptions'!$B$13-'02_Assumptions'!$B$9*'02_Assumptions'!$B$5-'02_Assumptions'!$B$14-'02_Assumptions'!$B$16-'02_Assumptions'!$B$17</f>
        <v>6210</v>
      </c>
      <c r="C23" s="24">
        <f>B23/'02_Assumptions'!$B$6</f>
        <v>0.28356164383561644</v>
      </c>
      <c r="D23" s="28">
        <f>B23-'02_Assumptions'!$B$18</f>
        <v>1710</v>
      </c>
      <c r="E23" s="24">
        <f>D23/'02_Assumptions'!$B$6</f>
        <v>0.07808219178082192</v>
      </c>
    </row>
    <row r="24">
      <c r="A24" s="24" t="n">
        <v>0.12</v>
      </c>
      <c r="B24" s="22">
        <f>'02_Assumptions'!$B$6-'02_Assumptions'!$B$6*A24-'02_Assumptions'!$B$13-'02_Assumptions'!$B$9*'02_Assumptions'!$B$5-'02_Assumptions'!$B$14-'02_Assumptions'!$B$16-'02_Assumptions'!$B$17</f>
        <v>5772</v>
      </c>
      <c r="C24" s="24">
        <f>B24/'02_Assumptions'!$B$6</f>
        <v>0.2635616438356164</v>
      </c>
      <c r="D24" s="28">
        <f>B24-'02_Assumptions'!$B$18</f>
        <v>1272</v>
      </c>
      <c r="E24" s="24">
        <f>D24/'02_Assumptions'!$B$6</f>
        <v>0.05808219178082192</v>
      </c>
    </row>
    <row r="25">
      <c r="A25" s="24" t="n">
        <v>0.15</v>
      </c>
      <c r="B25" s="22">
        <f>'02_Assumptions'!$B$6-'02_Assumptions'!$B$6*A25-'02_Assumptions'!$B$13-'02_Assumptions'!$B$9*'02_Assumptions'!$B$5-'02_Assumptions'!$B$14-'02_Assumptions'!$B$16-'02_Assumptions'!$B$17</f>
        <v>5115</v>
      </c>
      <c r="C25" s="24">
        <f>B25/'02_Assumptions'!$B$6</f>
        <v>0.23356164383561645</v>
      </c>
      <c r="D25" s="28">
        <f>B25-'02_Assumptions'!$B$18</f>
        <v>615</v>
      </c>
      <c r="E25" s="24">
        <f>D25/'02_Assumptions'!$B$6</f>
        <v>0.028082191780821917</v>
      </c>
    </row>
    <row r="26">
      <c r="A26" s="14" t="inlineStr">
        <is>
          <t>注記</t>
        </is>
      </c>
    </row>
    <row r="27">
      <c r="A27" s="2" t="inlineStr">
        <is>
          <t>LTV/CAC：スーツケースは買替サイクル5〜10年の低頻度商材。LTV≒初回購入額として評価する。</t>
        </is>
      </c>
    </row>
    <row r="28">
      <c r="A28" s="2" t="inlineStr">
        <is>
          <t>売上ベース LTV/CAC＝26,700÷4,500＝5.9倍。ただし限界利益ベースでは 2,513÷4,500＝0.56倍。1を下回る＝広告費を回収できていない。</t>
        </is>
      </c>
    </row>
    <row r="29">
      <c r="A29" s="2" t="inlineStr">
        <is>
          <t>回収期間：1個単位では即時。ただし800個ロットでは全量販売完了まで12ヶ月以上（12_Inventory参照）。</t>
        </is>
      </c>
    </row>
    <row r="30">
      <c r="A30" s="2" t="inlineStr">
        <is>
          <t>★通関費2,919円/個（9/10実績）を算入した結果、損益分岐は78→168個/月に悪化した。返品引当・ポイント負担はまだ未算入。</t>
        </is>
      </c>
    </row>
  </sheetData>
  <mergeCells count="9">
    <mergeCell ref="A29:O29"/>
    <mergeCell ref="A26:O26"/>
    <mergeCell ref="A2:O2"/>
    <mergeCell ref="A10:O10"/>
    <mergeCell ref="A28:O28"/>
    <mergeCell ref="A19:O19"/>
    <mergeCell ref="A1:O1"/>
    <mergeCell ref="A27:O27"/>
    <mergeCell ref="A30:O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3" customWidth="1" min="9" max="9"/>
    <col width="14" customWidth="1" min="10" max="10"/>
    <col width="32" customWidth="1" min="11" max="11"/>
  </cols>
  <sheetData>
    <row r="1">
      <c r="A1" s="83" t="inlineStr">
        <is>
          <t>販売計画（12ヶ月・標準ケース）</t>
        </is>
      </c>
    </row>
    <row r="2">
      <c r="A2" s="2" t="inlineStr">
        <is>
          <t>★販売実績が未提出のため、「800個を12ヶ月で消化」＝月58個を標準として置いた計画値。実績ではない。</t>
        </is>
      </c>
    </row>
    <row r="4">
      <c r="A4" s="3" t="inlineStr">
        <is>
          <t>月</t>
        </is>
      </c>
      <c r="B4" s="3" t="inlineStr">
        <is>
          <t>販売数</t>
        </is>
      </c>
      <c r="C4" s="3" t="inlineStr">
        <is>
          <t>平均単価</t>
        </is>
      </c>
      <c r="D4" s="3" t="inlineStr">
        <is>
          <t>売上</t>
        </is>
      </c>
      <c r="E4" s="3" t="inlineStr">
        <is>
          <t>原価計</t>
        </is>
      </c>
      <c r="F4" s="3" t="inlineStr">
        <is>
          <t>粗利</t>
        </is>
      </c>
      <c r="G4" s="3" t="inlineStr">
        <is>
          <t>広告費</t>
        </is>
      </c>
      <c r="H4" s="3" t="inlineStr">
        <is>
          <t>限界利益</t>
        </is>
      </c>
      <c r="I4" s="3" t="inlineStr">
        <is>
          <t>固定費</t>
        </is>
      </c>
      <c r="J4" s="3" t="inlineStr">
        <is>
          <t>営業利益</t>
        </is>
      </c>
      <c r="K4" s="3" t="inlineStr">
        <is>
          <t>注記</t>
        </is>
      </c>
    </row>
    <row r="5">
      <c r="A5" s="4" t="inlineStr">
        <is>
          <t>M1</t>
        </is>
      </c>
      <c r="B5" s="23">
        <f>'02_Assumptions'!$B$70</f>
        <v>67</v>
      </c>
      <c r="C5" s="22">
        <f>'02_Assumptions'!$B$59</f>
        <v>26700</v>
      </c>
      <c r="D5" s="22">
        <f>B5*C5</f>
        <v>1788900</v>
      </c>
      <c r="E5" s="22">
        <f>B5*('02_Assumptions'!$B$60+'02_Assumptions'!$B$13+'02_Assumptions'!$B$59*'02_Assumptions'!$B$12+'02_Assumptions'!$B$14+'02_Assumptions'!$B$16+'02_Assumptions'!$B$17)</f>
        <v>1270856</v>
      </c>
      <c r="F5" s="22">
        <f>D5-E5</f>
        <v>518044</v>
      </c>
      <c r="G5" s="22">
        <f>B5*'02_Assumptions'!$B$18</f>
        <v>301500</v>
      </c>
      <c r="H5" s="22">
        <f>F5-G5</f>
        <v>216544</v>
      </c>
      <c r="I5" s="22">
        <f>'02_Assumptions'!$B$57</f>
        <v>420750</v>
      </c>
      <c r="J5" s="28">
        <f>H5-I5</f>
        <v>-204206</v>
      </c>
      <c r="K5" s="4" t="inlineStr">
        <is>
          <t>月58個＝800個÷12ヶ月</t>
        </is>
      </c>
    </row>
    <row r="6">
      <c r="A6" s="4" t="inlineStr">
        <is>
          <t>M2</t>
        </is>
      </c>
      <c r="B6" s="23">
        <f>'02_Assumptions'!$B$70</f>
        <v>67</v>
      </c>
      <c r="C6" s="22">
        <f>'02_Assumptions'!$B$59</f>
        <v>26700</v>
      </c>
      <c r="D6" s="22">
        <f>B6*C6</f>
        <v>1788900</v>
      </c>
      <c r="E6" s="22">
        <f>B6*('02_Assumptions'!$B$60+'02_Assumptions'!$B$13+'02_Assumptions'!$B$59*'02_Assumptions'!$B$12+'02_Assumptions'!$B$14+'02_Assumptions'!$B$16+'02_Assumptions'!$B$17)</f>
        <v>1270856</v>
      </c>
      <c r="F6" s="22">
        <f>D6-E6</f>
        <v>518044</v>
      </c>
      <c r="G6" s="22">
        <f>B6*'02_Assumptions'!$B$18</f>
        <v>301500</v>
      </c>
      <c r="H6" s="22">
        <f>F6-G6</f>
        <v>216544</v>
      </c>
      <c r="I6" s="22">
        <f>'02_Assumptions'!$B$57</f>
        <v>420750</v>
      </c>
      <c r="J6" s="28">
        <f>H6-I6</f>
        <v>-204206</v>
      </c>
      <c r="K6" s="4" t="inlineStr"/>
    </row>
    <row r="7">
      <c r="A7" s="4" t="inlineStr">
        <is>
          <t>M3</t>
        </is>
      </c>
      <c r="B7" s="23">
        <f>'02_Assumptions'!$B$70</f>
        <v>67</v>
      </c>
      <c r="C7" s="22">
        <f>'02_Assumptions'!$B$59</f>
        <v>26700</v>
      </c>
      <c r="D7" s="22">
        <f>B7*C7</f>
        <v>1788900</v>
      </c>
      <c r="E7" s="22">
        <f>B7*('02_Assumptions'!$B$60+'02_Assumptions'!$B$13+'02_Assumptions'!$B$59*'02_Assumptions'!$B$12+'02_Assumptions'!$B$14+'02_Assumptions'!$B$16+'02_Assumptions'!$B$17)</f>
        <v>1270856</v>
      </c>
      <c r="F7" s="22">
        <f>D7-E7</f>
        <v>518044</v>
      </c>
      <c r="G7" s="22">
        <f>B7*'02_Assumptions'!$B$18</f>
        <v>301500</v>
      </c>
      <c r="H7" s="22">
        <f>F7-G7</f>
        <v>216544</v>
      </c>
      <c r="I7" s="22">
        <f>'02_Assumptions'!$B$57</f>
        <v>420750</v>
      </c>
      <c r="J7" s="28">
        <f>H7-I7</f>
        <v>-204206</v>
      </c>
      <c r="K7" s="4" t="inlineStr"/>
    </row>
    <row r="8">
      <c r="A8" s="4" t="inlineStr">
        <is>
          <t>M4</t>
        </is>
      </c>
      <c r="B8" s="23">
        <f>'02_Assumptions'!$B$70</f>
        <v>67</v>
      </c>
      <c r="C8" s="22">
        <f>'02_Assumptions'!$B$59</f>
        <v>26700</v>
      </c>
      <c r="D8" s="22">
        <f>B8*C8</f>
        <v>1788900</v>
      </c>
      <c r="E8" s="22">
        <f>B8*('02_Assumptions'!$B$60+'02_Assumptions'!$B$13+'02_Assumptions'!$B$59*'02_Assumptions'!$B$12+'02_Assumptions'!$B$14+'02_Assumptions'!$B$16+'02_Assumptions'!$B$17)</f>
        <v>1270856</v>
      </c>
      <c r="F8" s="22">
        <f>D8-E8</f>
        <v>518044</v>
      </c>
      <c r="G8" s="22">
        <f>B8*'02_Assumptions'!$B$18</f>
        <v>301500</v>
      </c>
      <c r="H8" s="22">
        <f>F8-G8</f>
        <v>216544</v>
      </c>
      <c r="I8" s="22">
        <f>'02_Assumptions'!$B$57</f>
        <v>420750</v>
      </c>
      <c r="J8" s="28">
        <f>H8-I8</f>
        <v>-204206</v>
      </c>
      <c r="K8" s="4" t="inlineStr"/>
    </row>
    <row r="9">
      <c r="A9" s="4" t="inlineStr">
        <is>
          <t>M5</t>
        </is>
      </c>
      <c r="B9" s="23">
        <f>'02_Assumptions'!$B$70</f>
        <v>67</v>
      </c>
      <c r="C9" s="22">
        <f>'02_Assumptions'!$B$59</f>
        <v>26700</v>
      </c>
      <c r="D9" s="22">
        <f>B9*C9</f>
        <v>1788900</v>
      </c>
      <c r="E9" s="22">
        <f>B9*('02_Assumptions'!$B$60+'02_Assumptions'!$B$13+'02_Assumptions'!$B$59*'02_Assumptions'!$B$12+'02_Assumptions'!$B$14+'02_Assumptions'!$B$16+'02_Assumptions'!$B$17)</f>
        <v>1270856</v>
      </c>
      <c r="F9" s="22">
        <f>D9-E9</f>
        <v>518044</v>
      </c>
      <c r="G9" s="22">
        <f>B9*'02_Assumptions'!$B$18</f>
        <v>301500</v>
      </c>
      <c r="H9" s="22">
        <f>F9-G9</f>
        <v>216544</v>
      </c>
      <c r="I9" s="22">
        <f>'02_Assumptions'!$B$57</f>
        <v>420750</v>
      </c>
      <c r="J9" s="28">
        <f>H9-I9</f>
        <v>-204206</v>
      </c>
      <c r="K9" s="4" t="inlineStr"/>
    </row>
    <row r="10">
      <c r="A10" s="4" t="inlineStr">
        <is>
          <t>M6</t>
        </is>
      </c>
      <c r="B10" s="23">
        <f>'02_Assumptions'!$B$70</f>
        <v>67</v>
      </c>
      <c r="C10" s="22">
        <f>'02_Assumptions'!$B$59</f>
        <v>26700</v>
      </c>
      <c r="D10" s="22">
        <f>B10*C10</f>
        <v>1788900</v>
      </c>
      <c r="E10" s="22">
        <f>B10*('02_Assumptions'!$B$60+'02_Assumptions'!$B$13+'02_Assumptions'!$B$59*'02_Assumptions'!$B$12+'02_Assumptions'!$B$14+'02_Assumptions'!$B$16+'02_Assumptions'!$B$17)</f>
        <v>1270856</v>
      </c>
      <c r="F10" s="22">
        <f>D10-E10</f>
        <v>518044</v>
      </c>
      <c r="G10" s="22">
        <f>B10*'02_Assumptions'!$B$18</f>
        <v>301500</v>
      </c>
      <c r="H10" s="22">
        <f>F10-G10</f>
        <v>216544</v>
      </c>
      <c r="I10" s="22">
        <f>'02_Assumptions'!$B$57</f>
        <v>420750</v>
      </c>
      <c r="J10" s="28">
        <f>H10-I10</f>
        <v>-204206</v>
      </c>
      <c r="K10" s="4" t="inlineStr"/>
    </row>
    <row r="11">
      <c r="A11" s="4" t="inlineStr">
        <is>
          <t>M7</t>
        </is>
      </c>
      <c r="B11" s="23">
        <f>'02_Assumptions'!$B$70</f>
        <v>67</v>
      </c>
      <c r="C11" s="22">
        <f>'02_Assumptions'!$B$59</f>
        <v>26700</v>
      </c>
      <c r="D11" s="22">
        <f>B11*C11</f>
        <v>1788900</v>
      </c>
      <c r="E11" s="22">
        <f>B11*('02_Assumptions'!$B$60+'02_Assumptions'!$B$13+'02_Assumptions'!$B$59*'02_Assumptions'!$B$12+'02_Assumptions'!$B$14+'02_Assumptions'!$B$16+'02_Assumptions'!$B$17)</f>
        <v>1270856</v>
      </c>
      <c r="F11" s="22">
        <f>D11-E11</f>
        <v>518044</v>
      </c>
      <c r="G11" s="22">
        <f>B11*'02_Assumptions'!$B$18</f>
        <v>301500</v>
      </c>
      <c r="H11" s="22">
        <f>F11-G11</f>
        <v>216544</v>
      </c>
      <c r="I11" s="22">
        <f>'02_Assumptions'!$B$57</f>
        <v>420750</v>
      </c>
      <c r="J11" s="28">
        <f>H11-I11</f>
        <v>-204206</v>
      </c>
      <c r="K11" s="4" t="inlineStr"/>
    </row>
    <row r="12">
      <c r="A12" s="4" t="inlineStr">
        <is>
          <t>M8</t>
        </is>
      </c>
      <c r="B12" s="23">
        <f>'02_Assumptions'!$B$70</f>
        <v>67</v>
      </c>
      <c r="C12" s="22">
        <f>'02_Assumptions'!$B$59</f>
        <v>26700</v>
      </c>
      <c r="D12" s="22">
        <f>B12*C12</f>
        <v>1788900</v>
      </c>
      <c r="E12" s="22">
        <f>B12*('02_Assumptions'!$B$60+'02_Assumptions'!$B$13+'02_Assumptions'!$B$59*'02_Assumptions'!$B$12+'02_Assumptions'!$B$14+'02_Assumptions'!$B$16+'02_Assumptions'!$B$17)</f>
        <v>1270856</v>
      </c>
      <c r="F12" s="22">
        <f>D12-E12</f>
        <v>518044</v>
      </c>
      <c r="G12" s="22">
        <f>B12*'02_Assumptions'!$B$18</f>
        <v>301500</v>
      </c>
      <c r="H12" s="22">
        <f>F12-G12</f>
        <v>216544</v>
      </c>
      <c r="I12" s="22">
        <f>'02_Assumptions'!$B$57</f>
        <v>420750</v>
      </c>
      <c r="J12" s="28">
        <f>H12-I12</f>
        <v>-204206</v>
      </c>
      <c r="K12" s="4" t="inlineStr"/>
    </row>
    <row r="13">
      <c r="A13" s="4" t="inlineStr">
        <is>
          <t>M9</t>
        </is>
      </c>
      <c r="B13" s="23">
        <f>'02_Assumptions'!$B$70</f>
        <v>67</v>
      </c>
      <c r="C13" s="22">
        <f>'02_Assumptions'!$B$59</f>
        <v>26700</v>
      </c>
      <c r="D13" s="22">
        <f>B13*C13</f>
        <v>1788900</v>
      </c>
      <c r="E13" s="22">
        <f>B13*('02_Assumptions'!$B$60+'02_Assumptions'!$B$13+'02_Assumptions'!$B$59*'02_Assumptions'!$B$12+'02_Assumptions'!$B$14+'02_Assumptions'!$B$16+'02_Assumptions'!$B$17)</f>
        <v>1270856</v>
      </c>
      <c r="F13" s="22">
        <f>D13-E13</f>
        <v>518044</v>
      </c>
      <c r="G13" s="22">
        <f>B13*'02_Assumptions'!$B$18</f>
        <v>301500</v>
      </c>
      <c r="H13" s="22">
        <f>F13-G13</f>
        <v>216544</v>
      </c>
      <c r="I13" s="22">
        <f>'02_Assumptions'!$B$57</f>
        <v>420750</v>
      </c>
      <c r="J13" s="28">
        <f>H13-I13</f>
        <v>-204206</v>
      </c>
      <c r="K13" s="4" t="inlineStr"/>
    </row>
    <row r="14">
      <c r="A14" s="4" t="inlineStr">
        <is>
          <t>M10</t>
        </is>
      </c>
      <c r="B14" s="23">
        <f>'02_Assumptions'!$B$70</f>
        <v>67</v>
      </c>
      <c r="C14" s="22">
        <f>'02_Assumptions'!$B$59</f>
        <v>26700</v>
      </c>
      <c r="D14" s="22">
        <f>B14*C14</f>
        <v>1788900</v>
      </c>
      <c r="E14" s="22">
        <f>B14*('02_Assumptions'!$B$60+'02_Assumptions'!$B$13+'02_Assumptions'!$B$59*'02_Assumptions'!$B$12+'02_Assumptions'!$B$14+'02_Assumptions'!$B$16+'02_Assumptions'!$B$17)</f>
        <v>1270856</v>
      </c>
      <c r="F14" s="22">
        <f>D14-E14</f>
        <v>518044</v>
      </c>
      <c r="G14" s="22">
        <f>B14*'02_Assumptions'!$B$18</f>
        <v>301500</v>
      </c>
      <c r="H14" s="22">
        <f>F14-G14</f>
        <v>216544</v>
      </c>
      <c r="I14" s="22">
        <f>'02_Assumptions'!$B$57</f>
        <v>420750</v>
      </c>
      <c r="J14" s="28">
        <f>H14-I14</f>
        <v>-204206</v>
      </c>
      <c r="K14" s="4" t="inlineStr"/>
    </row>
    <row r="15">
      <c r="A15" s="4" t="inlineStr">
        <is>
          <t>M11</t>
        </is>
      </c>
      <c r="B15" s="23">
        <f>'02_Assumptions'!$B$70</f>
        <v>67</v>
      </c>
      <c r="C15" s="22">
        <f>'02_Assumptions'!$B$59</f>
        <v>26700</v>
      </c>
      <c r="D15" s="22">
        <f>B15*C15</f>
        <v>1788900</v>
      </c>
      <c r="E15" s="22">
        <f>B15*('02_Assumptions'!$B$60+'02_Assumptions'!$B$13+'02_Assumptions'!$B$59*'02_Assumptions'!$B$12+'02_Assumptions'!$B$14+'02_Assumptions'!$B$16+'02_Assumptions'!$B$17)</f>
        <v>1270856</v>
      </c>
      <c r="F15" s="22">
        <f>D15-E15</f>
        <v>518044</v>
      </c>
      <c r="G15" s="22">
        <f>B15*'02_Assumptions'!$B$18</f>
        <v>301500</v>
      </c>
      <c r="H15" s="22">
        <f>F15-G15</f>
        <v>216544</v>
      </c>
      <c r="I15" s="22">
        <f>'02_Assumptions'!$B$57</f>
        <v>420750</v>
      </c>
      <c r="J15" s="28">
        <f>H15-I15</f>
        <v>-204206</v>
      </c>
      <c r="K15" s="4" t="inlineStr"/>
    </row>
    <row r="16">
      <c r="A16" s="4" t="inlineStr">
        <is>
          <t>M12</t>
        </is>
      </c>
      <c r="B16" s="23">
        <f>'02_Assumptions'!$B$70</f>
        <v>67</v>
      </c>
      <c r="C16" s="22">
        <f>'02_Assumptions'!$B$59</f>
        <v>26700</v>
      </c>
      <c r="D16" s="22">
        <f>B16*C16</f>
        <v>1788900</v>
      </c>
      <c r="E16" s="22">
        <f>B16*('02_Assumptions'!$B$60+'02_Assumptions'!$B$13+'02_Assumptions'!$B$59*'02_Assumptions'!$B$12+'02_Assumptions'!$B$14+'02_Assumptions'!$B$16+'02_Assumptions'!$B$17)</f>
        <v>1270856</v>
      </c>
      <c r="F16" s="22">
        <f>D16-E16</f>
        <v>518044</v>
      </c>
      <c r="G16" s="22">
        <f>B16*'02_Assumptions'!$B$18</f>
        <v>301500</v>
      </c>
      <c r="H16" s="22">
        <f>F16-G16</f>
        <v>216544</v>
      </c>
      <c r="I16" s="22">
        <f>'02_Assumptions'!$B$57</f>
        <v>420750</v>
      </c>
      <c r="J16" s="28">
        <f>H16-I16</f>
        <v>-204206</v>
      </c>
      <c r="K16" s="4" t="inlineStr"/>
    </row>
    <row r="17">
      <c r="A17" s="30" t="inlineStr">
        <is>
          <t>年計</t>
        </is>
      </c>
      <c r="B17" s="18">
        <f>SUM(B5:B16)</f>
        <v>804</v>
      </c>
      <c r="C17" s="16">
        <f>'02_Assumptions'!$B$59</f>
        <v>26700</v>
      </c>
      <c r="D17" s="16">
        <f>SUM(D5:D16)</f>
        <v>21466800</v>
      </c>
      <c r="E17" s="16">
        <f>SUM(E5:E16)</f>
        <v>15250272</v>
      </c>
      <c r="F17" s="16">
        <f>SUM(F5:F16)</f>
        <v>6216528</v>
      </c>
      <c r="G17" s="16">
        <f>SUM(G5:G16)</f>
        <v>3618000</v>
      </c>
      <c r="H17" s="16">
        <f>SUM(H5:H16)</f>
        <v>2598528</v>
      </c>
      <c r="I17" s="16">
        <f>SUM(I5:I16)</f>
        <v>5049000</v>
      </c>
      <c r="J17" s="16">
        <f>SUM(J5:J16)</f>
        <v>-2450472</v>
      </c>
      <c r="K17" s="34" t="inlineStr">
        <is>
          <t>完売しても年間営業赤字</t>
        </is>
      </c>
    </row>
    <row r="18">
      <c r="A18" s="14" t="inlineStr">
        <is>
          <t>注記</t>
        </is>
      </c>
    </row>
    <row r="19">
      <c r="A19" s="2" t="inlineStr">
        <is>
          <t>この計画は「800個を全て売り切った」最良の消化ケース。それでも営業利益は年 −3,299,952円（通関費2,919円/個を算入後）。</t>
        </is>
      </c>
    </row>
    <row r="20">
      <c r="A20" s="2" t="inlineStr">
        <is>
          <t>黒字化には月168個（年2,016個）が必要。800個/年では数量が約3分の1しかない。</t>
        </is>
      </c>
    </row>
    <row r="21">
      <c r="A21" s="2" t="inlineStr">
        <is>
          <t>★実績販売数が判明次第、B列を実績で置き換えること。</t>
        </is>
      </c>
    </row>
  </sheetData>
  <mergeCells count="6">
    <mergeCell ref="A18:K18"/>
    <mergeCell ref="A20:K20"/>
    <mergeCell ref="A21:K21"/>
    <mergeCell ref="A19:K19"/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54" customWidth="1" min="14" max="14"/>
  </cols>
  <sheetData>
    <row r="1">
      <c r="A1" s="83" t="inlineStr">
        <is>
          <t>広告計画（仮）</t>
        </is>
      </c>
    </row>
    <row r="2">
      <c r="A2" s="2" t="inlineStr">
        <is>
          <t>★実績データ未提出のため、CPC60円・CVR1.0%を仮置きした媒体別の計画値です。各媒体の管理画面の実績で差し替えてください。</t>
        </is>
      </c>
    </row>
    <row r="4">
      <c r="A4" s="14" t="inlineStr">
        <is>
          <t>① 媒体別 計画（月次・仮）</t>
        </is>
      </c>
    </row>
    <row r="5">
      <c r="A5" s="3" t="inlineStr">
        <is>
          <t>媒体</t>
        </is>
      </c>
      <c r="B5" s="3" t="inlineStr">
        <is>
          <t>予算配分</t>
        </is>
      </c>
      <c r="C5" s="3" t="inlineStr">
        <is>
          <t>広告費(円)</t>
        </is>
      </c>
      <c r="D5" s="3" t="inlineStr">
        <is>
          <t>CPM(円)</t>
        </is>
      </c>
      <c r="E5" s="3" t="inlineStr">
        <is>
          <t>Imp</t>
        </is>
      </c>
      <c r="F5" s="3" t="inlineStr">
        <is>
          <t>CTR</t>
        </is>
      </c>
      <c r="G5" s="3" t="inlineStr">
        <is>
          <t>Click</t>
        </is>
      </c>
      <c r="H5" s="3" t="inlineStr">
        <is>
          <t>CPC(円)</t>
        </is>
      </c>
      <c r="I5" s="3" t="inlineStr">
        <is>
          <t>LP到達率</t>
        </is>
      </c>
      <c r="J5" s="3" t="inlineStr">
        <is>
          <t>LP View</t>
        </is>
      </c>
      <c r="K5" s="3" t="inlineStr">
        <is>
          <t>CVR</t>
        </is>
      </c>
      <c r="L5" s="3" t="inlineStr">
        <is>
          <t>CV</t>
        </is>
      </c>
      <c r="M5" s="3" t="inlineStr">
        <is>
          <t>CPA(円)</t>
        </is>
      </c>
      <c r="N5" s="3" t="inlineStr">
        <is>
          <t>注記</t>
        </is>
      </c>
    </row>
    <row r="6">
      <c r="A6" s="4" t="inlineStr">
        <is>
          <t>Meta</t>
        </is>
      </c>
      <c r="B6" s="32" t="n">
        <v>0.45</v>
      </c>
      <c r="C6" s="22">
        <f>'02_Assumptions'!$B$46*'02_Assumptions'!$B$5*B6</f>
        <v>196020</v>
      </c>
      <c r="D6" s="29" t="n">
        <v>1500</v>
      </c>
      <c r="E6" s="23">
        <f>C6/D6*1000</f>
        <v>130680</v>
      </c>
      <c r="F6" s="32" t="n">
        <v>0.012</v>
      </c>
      <c r="G6" s="23">
        <f>E6*F6</f>
        <v>1568.16</v>
      </c>
      <c r="H6" s="22">
        <f>C6/G6</f>
        <v>125</v>
      </c>
      <c r="I6" s="32" t="n">
        <v>0.9</v>
      </c>
      <c r="J6" s="23">
        <f>G6*I6</f>
        <v>1411.344</v>
      </c>
      <c r="K6" s="32" t="n">
        <v>0.01</v>
      </c>
      <c r="L6" s="42">
        <f>J6*K6</f>
        <v>14.11344</v>
      </c>
      <c r="M6" s="26">
        <f>IF(L6=0,0,C6/L6)</f>
        <v>13888.888888888889</v>
      </c>
      <c r="N6" s="4" t="inlineStr">
        <is>
          <t>韓国Meta。最も配信量が取れる想定</t>
        </is>
      </c>
    </row>
    <row r="7">
      <c r="A7" s="4" t="inlineStr">
        <is>
          <t>Google（検索+P-MAX）</t>
        </is>
      </c>
      <c r="B7" s="32" t="n">
        <v>0.2</v>
      </c>
      <c r="C7" s="22">
        <f>'02_Assumptions'!$B$46*'02_Assumptions'!$B$5*B7</f>
        <v>87120</v>
      </c>
      <c r="D7" s="29" t="n">
        <v>2000</v>
      </c>
      <c r="E7" s="23">
        <f>C7/D7*1000</f>
        <v>43560</v>
      </c>
      <c r="F7" s="32" t="n">
        <v>0.02</v>
      </c>
      <c r="G7" s="23">
        <f>E7*F7</f>
        <v>871.2</v>
      </c>
      <c r="H7" s="22">
        <f>C7/G7</f>
        <v>100</v>
      </c>
      <c r="I7" s="32" t="n">
        <v>0.9</v>
      </c>
      <c r="J7" s="23">
        <f>G7*I7</f>
        <v>784.08</v>
      </c>
      <c r="K7" s="32" t="n">
        <v>0.015</v>
      </c>
      <c r="L7" s="42">
        <f>J7*K7</f>
        <v>11.7612</v>
      </c>
      <c r="M7" s="26">
        <f>IF(L7=0,0,C7/L7)</f>
        <v>7407.407407407407</v>
      </c>
      <c r="N7" s="4" t="inlineStr">
        <is>
          <t>指名+一般キーワード。CVRは高めだが量が出にくい</t>
        </is>
      </c>
    </row>
    <row r="8">
      <c r="A8" s="4" t="inlineStr">
        <is>
          <t>ネイバーGFA/検索</t>
        </is>
      </c>
      <c r="B8" s="32" t="n">
        <v>0.2</v>
      </c>
      <c r="C8" s="22">
        <f>'02_Assumptions'!$B$46*'02_Assumptions'!$B$5*B8</f>
        <v>87120</v>
      </c>
      <c r="D8" s="29" t="n">
        <v>1200</v>
      </c>
      <c r="E8" s="23">
        <f>C8/D8*1000</f>
        <v>72600</v>
      </c>
      <c r="F8" s="32" t="n">
        <v>0.01</v>
      </c>
      <c r="G8" s="23">
        <f>E8*F8</f>
        <v>726</v>
      </c>
      <c r="H8" s="22">
        <f>C8/G8</f>
        <v>120</v>
      </c>
      <c r="I8" s="32" t="n">
        <v>0.95</v>
      </c>
      <c r="J8" s="23">
        <f>G8*I8</f>
        <v>689.6999999999999</v>
      </c>
      <c r="K8" s="32" t="n">
        <v>0.012</v>
      </c>
      <c r="L8" s="42">
        <f>J8*K8</f>
        <v>8.276399999999999</v>
      </c>
      <c r="M8" s="26">
        <f>IF(L8=0,0,C8/L8)</f>
        <v>10526.315789473685</v>
      </c>
      <c r="N8" s="4" t="inlineStr">
        <is>
          <t>モール内導線が短くCVRは高め</t>
        </is>
      </c>
    </row>
    <row r="9">
      <c r="A9" s="4" t="inlineStr">
        <is>
          <t>クーパン広告</t>
        </is>
      </c>
      <c r="B9" s="32" t="n">
        <v>0.1</v>
      </c>
      <c r="C9" s="22">
        <f>'02_Assumptions'!$B$46*'02_Assumptions'!$B$5*B9</f>
        <v>43560</v>
      </c>
      <c r="D9" s="29" t="n">
        <v>1000</v>
      </c>
      <c r="E9" s="23">
        <f>C9/D9*1000</f>
        <v>43560</v>
      </c>
      <c r="F9" s="32" t="n">
        <v>0.015</v>
      </c>
      <c r="G9" s="23">
        <f>E9*F9</f>
        <v>653.4</v>
      </c>
      <c r="H9" s="22">
        <f>C9/G9</f>
        <v>66.66666666666667</v>
      </c>
      <c r="I9" s="32" t="n">
        <v>1</v>
      </c>
      <c r="J9" s="23">
        <f>G9*I9</f>
        <v>653.4</v>
      </c>
      <c r="K9" s="32" t="n">
        <v>0.008</v>
      </c>
      <c r="L9" s="42">
        <f>J9*K9</f>
        <v>5.2272</v>
      </c>
      <c r="M9" s="26">
        <f>IF(L9=0,0,C9/L9)</f>
        <v>8333.333333333334</v>
      </c>
      <c r="N9" s="4" t="inlineStr">
        <is>
          <t>モール内広告。在庫再登録後に開始</t>
        </is>
      </c>
    </row>
    <row r="10">
      <c r="A10" s="4" t="inlineStr">
        <is>
          <t>インフルエンサー/PR</t>
        </is>
      </c>
      <c r="B10" s="32" t="n">
        <v>0.05</v>
      </c>
      <c r="C10" s="22">
        <f>'02_Assumptions'!$B$46*'02_Assumptions'!$B$5*B10</f>
        <v>21780</v>
      </c>
      <c r="D10" s="29" t="n"/>
      <c r="E10" s="23" t="n"/>
      <c r="F10" s="32" t="n"/>
      <c r="G10" s="23" t="n"/>
      <c r="H10" s="22" t="n"/>
      <c r="I10" s="32" t="n"/>
      <c r="J10" s="23" t="n"/>
      <c r="K10" s="32" t="n"/>
      <c r="L10" s="42" t="n"/>
      <c r="M10" s="26" t="n"/>
      <c r="N10" s="4" t="inlineStr">
        <is>
          <t>CPA計測が難しい。認知目的</t>
        </is>
      </c>
    </row>
    <row r="11">
      <c r="A11" s="30" t="inlineStr">
        <is>
          <t>合計</t>
        </is>
      </c>
      <c r="B11" s="17">
        <f>SUM(B6:B10)</f>
        <v>1</v>
      </c>
      <c r="C11" s="16">
        <f>SUM(C6:C10)</f>
        <v>435600</v>
      </c>
      <c r="D11" s="30" t="inlineStr"/>
      <c r="E11" s="30" t="inlineStr"/>
      <c r="F11" s="30" t="inlineStr"/>
      <c r="G11" s="30" t="inlineStr"/>
      <c r="H11" s="30" t="inlineStr"/>
      <c r="I11" s="30" t="inlineStr"/>
      <c r="J11" s="30" t="inlineStr"/>
      <c r="K11" s="30" t="inlineStr"/>
      <c r="L11" s="20">
        <f>SUM(L6:L10)</f>
        <v>39.37823999999999</v>
      </c>
      <c r="M11" s="16">
        <f>C11/L11</f>
        <v>11061.94690265487</v>
      </c>
      <c r="N11" s="34" t="inlineStr">
        <is>
          <t>★広告のみでの獲得</t>
        </is>
      </c>
    </row>
    <row r="13">
      <c r="A13" s="14" t="inlineStr">
        <is>
          <t>② 判定：この計画は成立するか</t>
        </is>
      </c>
    </row>
    <row r="14">
      <c r="A14" s="3" t="inlineStr">
        <is>
          <t>指標</t>
        </is>
      </c>
      <c r="B14" s="3" t="inlineStr">
        <is>
          <t>計画値</t>
        </is>
      </c>
      <c r="C14" s="3" t="inlineStr">
        <is>
          <t>社内基準</t>
        </is>
      </c>
      <c r="D14" s="3" t="inlineStr">
        <is>
          <t>判定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4" t="inlineStr">
        <is>
          <t>加重平均CPA</t>
        </is>
      </c>
      <c r="B15" s="28" t="n">
        <v>11061.94690265487</v>
      </c>
      <c r="C15" s="4" t="inlineStr">
        <is>
          <t>目標¥4,500 / 許容¥6,000</t>
        </is>
      </c>
      <c r="D15" s="27" t="inlineStr">
        <is>
          <t>✕ 未達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>
        <is>
          <t>MIX限界利益（@計画CPA）</t>
        </is>
      </c>
      <c r="B16" s="28" t="n">
        <v>-3329.94690265487</v>
      </c>
      <c r="C16" s="4" t="inlineStr">
        <is>
          <t>プラスであること</t>
        </is>
      </c>
      <c r="D16" s="27" t="inlineStr">
        <is>
          <t>✕ 未達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>
        <is>
          <t>限界利益ROAS</t>
        </is>
      </c>
      <c r="B17" s="40" t="n">
        <v>0.6989727999999998</v>
      </c>
      <c r="C17" s="4" t="inlineStr">
        <is>
          <t>1.0超</t>
        </is>
      </c>
      <c r="D17" s="27" t="inlineStr">
        <is>
          <t>✕ 未達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>
        <is>
          <t>月間CV数</t>
        </is>
      </c>
      <c r="B18" s="40" t="n">
        <v>39.37823999999999</v>
      </c>
      <c r="C18" s="4" t="inlineStr">
        <is>
          <t>損益分岐 131個/月</t>
        </is>
      </c>
      <c r="D18" s="27" t="inlineStr">
        <is>
          <t>✕ 未達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>
        <is>
          <t>広告費率（広告費÷売上）</t>
        </is>
      </c>
      <c r="B19" s="63" t="n">
        <v>0.4143051274402573</v>
      </c>
      <c r="C19" s="4" t="inlineStr">
        <is>
          <t>目標15% / 許容20%</t>
        </is>
      </c>
      <c r="D19" s="27" t="inlineStr">
        <is>
          <t>✕ 未達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1">
      <c r="A21" s="14" t="inlineStr">
        <is>
          <t>③ 実績入力欄（日次・差し替え用）</t>
        </is>
      </c>
    </row>
    <row r="22">
      <c r="A22" s="3" t="inlineStr">
        <is>
          <t>日付</t>
        </is>
      </c>
      <c r="B22" s="3" t="inlineStr">
        <is>
          <t>媒体</t>
        </is>
      </c>
      <c r="C22" s="3" t="inlineStr">
        <is>
          <t>広告費</t>
        </is>
      </c>
      <c r="D22" s="3" t="inlineStr">
        <is>
          <t>Imp</t>
        </is>
      </c>
      <c r="E22" s="3" t="inlineStr">
        <is>
          <t>CPM</t>
        </is>
      </c>
      <c r="F22" s="3" t="inlineStr">
        <is>
          <t>Click</t>
        </is>
      </c>
      <c r="G22" s="3" t="inlineStr">
        <is>
          <t>CTR</t>
        </is>
      </c>
      <c r="H22" s="3" t="inlineStr">
        <is>
          <t>CPC</t>
        </is>
      </c>
      <c r="I22" s="3" t="inlineStr">
        <is>
          <t>LP View</t>
        </is>
      </c>
      <c r="J22" s="3" t="inlineStr">
        <is>
          <t>CVR</t>
        </is>
      </c>
      <c r="K22" s="3" t="inlineStr">
        <is>
          <t>CV</t>
        </is>
      </c>
      <c r="L22" s="3" t="inlineStr">
        <is>
          <t>CPA</t>
        </is>
      </c>
      <c r="M22" s="3" t="inlineStr">
        <is>
          <t>売上</t>
        </is>
      </c>
      <c r="N22" s="3" t="inlineStr">
        <is>
          <t>限界利益ROAS</t>
        </is>
      </c>
    </row>
    <row r="23">
      <c r="A23" s="53" t="inlineStr"/>
      <c r="B23" s="53" t="inlineStr"/>
      <c r="C23" s="29" t="n"/>
      <c r="D23" s="50" t="n"/>
      <c r="E23" s="29" t="n"/>
      <c r="F23" s="50" t="n"/>
      <c r="G23" s="32" t="n"/>
      <c r="H23" s="29" t="n"/>
      <c r="I23" s="50" t="n"/>
      <c r="J23" s="32" t="n"/>
      <c r="K23" s="50" t="n"/>
      <c r="L23" s="29" t="n"/>
      <c r="M23" s="29" t="n"/>
      <c r="N23" s="51" t="n"/>
    </row>
    <row r="24">
      <c r="A24" s="53" t="inlineStr"/>
      <c r="B24" s="53" t="inlineStr"/>
      <c r="C24" s="29" t="n"/>
      <c r="D24" s="50" t="n"/>
      <c r="E24" s="29" t="n"/>
      <c r="F24" s="50" t="n"/>
      <c r="G24" s="32" t="n"/>
      <c r="H24" s="29" t="n"/>
      <c r="I24" s="50" t="n"/>
      <c r="J24" s="32" t="n"/>
      <c r="K24" s="50" t="n"/>
      <c r="L24" s="29" t="n"/>
      <c r="M24" s="29" t="n"/>
      <c r="N24" s="51" t="n"/>
    </row>
    <row r="25">
      <c r="A25" s="53" t="inlineStr"/>
      <c r="B25" s="53" t="inlineStr"/>
      <c r="C25" s="29" t="n"/>
      <c r="D25" s="50" t="n"/>
      <c r="E25" s="29" t="n"/>
      <c r="F25" s="50" t="n"/>
      <c r="G25" s="32" t="n"/>
      <c r="H25" s="29" t="n"/>
      <c r="I25" s="50" t="n"/>
      <c r="J25" s="32" t="n"/>
      <c r="K25" s="50" t="n"/>
      <c r="L25" s="29" t="n"/>
      <c r="M25" s="29" t="n"/>
      <c r="N25" s="51" t="n"/>
    </row>
    <row r="26">
      <c r="A26" s="53" t="inlineStr"/>
      <c r="B26" s="53" t="inlineStr"/>
      <c r="C26" s="29" t="n"/>
      <c r="D26" s="50" t="n"/>
      <c r="E26" s="29" t="n"/>
      <c r="F26" s="50" t="n"/>
      <c r="G26" s="32" t="n"/>
      <c r="H26" s="29" t="n"/>
      <c r="I26" s="50" t="n"/>
      <c r="J26" s="32" t="n"/>
      <c r="K26" s="50" t="n"/>
      <c r="L26" s="29" t="n"/>
      <c r="M26" s="29" t="n"/>
      <c r="N26" s="51" t="n"/>
    </row>
    <row r="27">
      <c r="A27" s="53" t="inlineStr"/>
      <c r="B27" s="53" t="inlineStr"/>
      <c r="C27" s="29" t="n"/>
      <c r="D27" s="50" t="n"/>
      <c r="E27" s="29" t="n"/>
      <c r="F27" s="50" t="n"/>
      <c r="G27" s="32" t="n"/>
      <c r="H27" s="29" t="n"/>
      <c r="I27" s="50" t="n"/>
      <c r="J27" s="32" t="n"/>
      <c r="K27" s="50" t="n"/>
      <c r="L27" s="29" t="n"/>
      <c r="M27" s="29" t="n"/>
      <c r="N27" s="51" t="n"/>
    </row>
    <row r="28">
      <c r="A28" s="53" t="inlineStr"/>
      <c r="B28" s="53" t="inlineStr"/>
      <c r="C28" s="29" t="n"/>
      <c r="D28" s="50" t="n"/>
      <c r="E28" s="29" t="n"/>
      <c r="F28" s="50" t="n"/>
      <c r="G28" s="32" t="n"/>
      <c r="H28" s="29" t="n"/>
      <c r="I28" s="50" t="n"/>
      <c r="J28" s="32" t="n"/>
      <c r="K28" s="50" t="n"/>
      <c r="L28" s="29" t="n"/>
      <c r="M28" s="29" t="n"/>
      <c r="N28" s="51" t="n"/>
    </row>
    <row r="29">
      <c r="A29" s="14" t="inlineStr">
        <is>
          <t>注記</t>
        </is>
      </c>
    </row>
    <row r="30">
      <c r="A30" s="2" t="inlineStr">
        <is>
          <t>★計画CPA（加重平均 ¥11,062）は社内の許容上限¥6,000を超えています。CPC・CVRの仮値が楽観的すぎるか、目標CPAが高すぎるかのどちらかです。</t>
        </is>
      </c>
    </row>
    <row r="31">
      <c r="A31" s="2" t="inlineStr">
        <is>
          <t>★MIX限界利益 ¥7,732 に対しCPAが ¥11,062 のため、1個売るごとに ¥-3,330 の赤字です。</t>
        </is>
      </c>
    </row>
    <row r="32">
      <c r="A32" s="2" t="inlineStr">
        <is>
          <t>限界利益ROAS ＝ 粗利 ÷ 広告費。1.0を割ったら、売上が伸びていても赤字。ROAS（売上ベース）単独で黒字判断しないこと。</t>
        </is>
      </c>
    </row>
    <row r="33">
      <c r="A33" s="2" t="inlineStr">
        <is>
          <t>★差し替え先：Meta広告マネージャ／Google広告／ネイバー検索広告・GFA／クーパン広告 の各管理画面。</t>
        </is>
      </c>
    </row>
  </sheetData>
  <mergeCells count="10">
    <mergeCell ref="A31:N31"/>
    <mergeCell ref="A4:N4"/>
    <mergeCell ref="A30:N30"/>
    <mergeCell ref="A2:N2"/>
    <mergeCell ref="A21:N21"/>
    <mergeCell ref="A29:N29"/>
    <mergeCell ref="A33:N33"/>
    <mergeCell ref="A32:N32"/>
    <mergeCell ref="A13:N13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83" t="inlineStr">
        <is>
          <t>ファネル（仮）</t>
        </is>
      </c>
    </row>
    <row r="2">
      <c r="A2" s="2" t="inlineStr">
        <is>
          <t>★実数未提出。業界ベンチマークで仮置きした月次ファネルです。各媒体＋モール管理画面の実数で差し替えてください。</t>
        </is>
      </c>
    </row>
    <row r="4">
      <c r="A4" s="14" t="inlineStr">
        <is>
          <t>① 月次ファネル（仮・広告稼働時）</t>
        </is>
      </c>
    </row>
    <row r="5">
      <c r="A5" s="3" t="inlineStr">
        <is>
          <t>段階</t>
        </is>
      </c>
      <c r="B5" s="3" t="inlineStr">
        <is>
          <t>母数</t>
        </is>
      </c>
      <c r="C5" s="3" t="inlineStr">
        <is>
          <t>CV数</t>
        </is>
      </c>
      <c r="D5" s="3" t="inlineStr">
        <is>
          <t>CVR</t>
        </is>
      </c>
      <c r="E5" s="3" t="inlineStr">
        <is>
          <t>業界目安</t>
        </is>
      </c>
      <c r="F5" s="3" t="inlineStr">
        <is>
          <t>自社実績</t>
        </is>
      </c>
      <c r="G5" s="3" t="inlineStr">
        <is>
          <t>責任者</t>
        </is>
      </c>
      <c r="H5" s="3" t="inlineStr">
        <is>
          <t>ボトルネック判定</t>
        </is>
      </c>
    </row>
    <row r="6">
      <c r="A6" s="4" t="inlineStr">
        <is>
          <t>認知（Imp）</t>
        </is>
      </c>
      <c r="B6" s="23" t="n"/>
      <c r="C6" s="23" t="n">
        <v>290400</v>
      </c>
      <c r="D6" s="2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53" t="inlineStr">
        <is>
          <t>要任命</t>
        </is>
      </c>
      <c r="H6" s="4" t="inlineStr"/>
    </row>
    <row r="7">
      <c r="A7" s="4" t="inlineStr">
        <is>
          <t>クリック</t>
        </is>
      </c>
      <c r="B7" s="23" t="n">
        <v>290400</v>
      </c>
      <c r="C7" s="23" t="n">
        <v>3775.2</v>
      </c>
      <c r="D7" s="32" t="n">
        <v>0.013</v>
      </c>
      <c r="E7" s="4" t="inlineStr">
        <is>
          <t>1.0〜2.0%</t>
        </is>
      </c>
      <c r="F7" s="4" t="inlineStr">
        <is>
          <t>—</t>
        </is>
      </c>
      <c r="G7" s="53" t="inlineStr">
        <is>
          <t>要任命</t>
        </is>
      </c>
      <c r="H7" s="4" t="inlineStr"/>
    </row>
    <row r="8">
      <c r="A8" s="4" t="inlineStr">
        <is>
          <t>LP/商品ページ到達</t>
        </is>
      </c>
      <c r="B8" s="23" t="n">
        <v>3775.2</v>
      </c>
      <c r="C8" s="23" t="n">
        <v>3397.68</v>
      </c>
      <c r="D8" s="32" t="n">
        <v>0.9</v>
      </c>
      <c r="E8" s="4" t="inlineStr">
        <is>
          <t>85〜95%</t>
        </is>
      </c>
      <c r="F8" s="4" t="inlineStr">
        <is>
          <t>—</t>
        </is>
      </c>
      <c r="G8" s="53" t="inlineStr">
        <is>
          <t>要任命</t>
        </is>
      </c>
      <c r="H8" s="4" t="inlineStr"/>
    </row>
    <row r="9">
      <c r="A9" s="4" t="inlineStr">
        <is>
          <t>カート投入</t>
        </is>
      </c>
      <c r="B9" s="23" t="n">
        <v>3397.68</v>
      </c>
      <c r="C9" s="23" t="n">
        <v>169.884</v>
      </c>
      <c r="D9" s="32" t="n">
        <v>0.05</v>
      </c>
      <c r="E9" s="4" t="inlineStr">
        <is>
          <t>3〜8%</t>
        </is>
      </c>
      <c r="F9" s="4" t="inlineStr">
        <is>
          <t>—</t>
        </is>
      </c>
      <c r="G9" s="53" t="inlineStr">
        <is>
          <t>要任命</t>
        </is>
      </c>
      <c r="H9" s="4" t="inlineStr"/>
    </row>
    <row r="10">
      <c r="A10" s="4" t="inlineStr">
        <is>
          <t>購入・予約</t>
        </is>
      </c>
      <c r="B10" s="23" t="n">
        <v>169.884</v>
      </c>
      <c r="C10" s="23" t="n">
        <v>37.37448000000001</v>
      </c>
      <c r="D10" s="32" t="n">
        <v>0.22</v>
      </c>
      <c r="E10" s="4" t="inlineStr">
        <is>
          <t>20〜30%</t>
        </is>
      </c>
      <c r="F10" s="27" t="inlineStr">
        <is>
          <t>0.0%</t>
        </is>
      </c>
      <c r="G10" s="53" t="inlineStr">
        <is>
          <t>要任命</t>
        </is>
      </c>
      <c r="H10" s="27" t="inlineStr">
        <is>
          <t>★最大の落ち込み</t>
        </is>
      </c>
    </row>
    <row r="11">
      <c r="A11" s="4" t="inlineStr">
        <is>
          <t>入金完了</t>
        </is>
      </c>
      <c r="B11" s="23" t="n">
        <v>37.37448000000001</v>
      </c>
      <c r="C11" s="23" t="n">
        <v>35.50575600000001</v>
      </c>
      <c r="D11" s="32" t="n">
        <v>0.95</v>
      </c>
      <c r="E11" s="4" t="inlineStr">
        <is>
          <t>93〜98%</t>
        </is>
      </c>
      <c r="F11" s="4" t="inlineStr">
        <is>
          <t>—</t>
        </is>
      </c>
      <c r="G11" s="53" t="inlineStr">
        <is>
          <t>要任命</t>
        </is>
      </c>
      <c r="H11" s="4" t="inlineStr"/>
    </row>
    <row r="12">
      <c r="A12" s="4" t="inlineStr">
        <is>
          <t>レビュー投稿</t>
        </is>
      </c>
      <c r="B12" s="23" t="n">
        <v>35.50575600000001</v>
      </c>
      <c r="C12" s="23" t="n">
        <v>8.876439000000001</v>
      </c>
      <c r="D12" s="32" t="n">
        <v>0.25</v>
      </c>
      <c r="E12" s="4" t="inlineStr">
        <is>
          <t>15〜30%</t>
        </is>
      </c>
      <c r="F12" s="4" t="inlineStr">
        <is>
          <t>—</t>
        </is>
      </c>
      <c r="G12" s="53" t="inlineStr">
        <is>
          <t>要任命</t>
        </is>
      </c>
      <c r="H12" s="4" t="inlineStr">
        <is>
          <t>累計25件</t>
        </is>
      </c>
    </row>
    <row r="13">
      <c r="A13" s="4" t="inlineStr">
        <is>
          <t>12ヶ月内リピート</t>
        </is>
      </c>
      <c r="B13" s="23" t="inlineStr">
        <is>
          <t>—</t>
        </is>
      </c>
      <c r="C13" s="23" t="inlineStr">
        <is>
          <t>—</t>
        </is>
      </c>
      <c r="D13" s="32" t="n">
        <v>0.03</v>
      </c>
      <c r="E13" s="4" t="inlineStr">
        <is>
          <t>低頻度商材</t>
        </is>
      </c>
      <c r="F13" s="4" t="inlineStr">
        <is>
          <t>—</t>
        </is>
      </c>
      <c r="G13" s="53" t="inlineStr">
        <is>
          <t>要任命</t>
        </is>
      </c>
      <c r="H13" s="4" t="inlineStr">
        <is>
          <t>買替7年</t>
        </is>
      </c>
    </row>
    <row r="14">
      <c r="A14" s="4" t="inlineStr">
        <is>
          <t>紹介</t>
        </is>
      </c>
      <c r="B14" s="23" t="inlineStr">
        <is>
          <t>—</t>
        </is>
      </c>
      <c r="C14" s="23" t="inlineStr">
        <is>
          <t>—</t>
        </is>
      </c>
      <c r="D14" s="32" t="n">
        <v>0.01</v>
      </c>
      <c r="E14" s="4" t="inlineStr">
        <is>
          <t>—</t>
        </is>
      </c>
      <c r="F14" s="4" t="inlineStr">
        <is>
          <t>—</t>
        </is>
      </c>
      <c r="G14" s="53" t="inlineStr">
        <is>
          <t>要任命</t>
        </is>
      </c>
      <c r="H14" s="4" t="inlineStr"/>
    </row>
    <row r="16">
      <c r="A16" s="14" t="inlineStr">
        <is>
          <t>② ボトルネックと打ち手</t>
        </is>
      </c>
    </row>
    <row r="17">
      <c r="A17" s="3" t="inlineStr">
        <is>
          <t>順位</t>
        </is>
      </c>
      <c r="B17" s="3" t="inlineStr">
        <is>
          <t>段階</t>
        </is>
      </c>
      <c r="C17" s="3" t="inlineStr">
        <is>
          <t>現状（仮）</t>
        </is>
      </c>
      <c r="D17" s="3" t="inlineStr">
        <is>
          <t>目標</t>
        </is>
      </c>
      <c r="E17" s="3" t="inlineStr">
        <is>
          <t>改善余地</t>
        </is>
      </c>
      <c r="F17" s="3" t="inlineStr">
        <is>
          <t>打ち手</t>
        </is>
      </c>
      <c r="G17" s="3" t="inlineStr">
        <is>
          <t>担当</t>
        </is>
      </c>
      <c r="H17" s="3" t="inlineStr">
        <is>
          <t>期限</t>
        </is>
      </c>
    </row>
    <row r="18">
      <c r="A18" s="15" t="n">
        <v>1</v>
      </c>
      <c r="B18" s="15" t="inlineStr">
        <is>
          <t>LP→カート投入</t>
        </is>
      </c>
      <c r="C18" s="71" t="inlineStr">
        <is>
          <t>5.0%</t>
        </is>
      </c>
      <c r="D18" s="71" t="inlineStr">
        <is>
          <t>8.0%</t>
        </is>
      </c>
      <c r="E18" s="15" t="inlineStr">
        <is>
          <t>+60%</t>
        </is>
      </c>
      <c r="F18" s="15" t="inlineStr">
        <is>
          <t>サイズ比較動画・実測重量・容量の見える化・返品ポリシー明記</t>
        </is>
      </c>
      <c r="G18" s="71" t="inlineStr">
        <is>
          <t>要任命</t>
        </is>
      </c>
      <c r="H18" s="15" t="inlineStr">
        <is>
          <t>10/10</t>
        </is>
      </c>
    </row>
    <row r="19">
      <c r="A19" s="4" t="n">
        <v>2</v>
      </c>
      <c r="B19" s="4" t="inlineStr">
        <is>
          <t>カート→購入</t>
        </is>
      </c>
      <c r="C19" s="53" t="inlineStr">
        <is>
          <t>22%</t>
        </is>
      </c>
      <c r="D19" s="53" t="inlineStr">
        <is>
          <t>30%</t>
        </is>
      </c>
      <c r="E19" s="4" t="inlineStr">
        <is>
          <t>+36%</t>
        </is>
      </c>
      <c r="F19" s="4" t="inlineStr">
        <is>
          <t>カート離脱リマインド・送料無料ライン・分割払い表示</t>
        </is>
      </c>
      <c r="G19" s="53" t="inlineStr">
        <is>
          <t>要任命</t>
        </is>
      </c>
      <c r="H19" s="4" t="inlineStr">
        <is>
          <t>10/20</t>
        </is>
      </c>
    </row>
    <row r="20">
      <c r="A20" s="4" t="n">
        <v>3</v>
      </c>
      <c r="B20" s="4" t="inlineStr">
        <is>
          <t>クリック→LP</t>
        </is>
      </c>
      <c r="C20" s="53" t="inlineStr">
        <is>
          <t>90%</t>
        </is>
      </c>
      <c r="D20" s="53" t="inlineStr">
        <is>
          <t>95%</t>
        </is>
      </c>
      <c r="E20" s="4" t="inlineStr">
        <is>
          <t>+6%</t>
        </is>
      </c>
      <c r="F20" s="4" t="inlineStr">
        <is>
          <t>表示速度改善・遷移先の一致</t>
        </is>
      </c>
      <c r="G20" s="53" t="inlineStr">
        <is>
          <t>要任命</t>
        </is>
      </c>
      <c r="H20" s="4" t="inlineStr">
        <is>
          <t>10/31</t>
        </is>
      </c>
    </row>
    <row r="21">
      <c r="A21" s="4" t="n">
        <v>4</v>
      </c>
      <c r="B21" s="4" t="inlineStr">
        <is>
          <t>Imp→クリック</t>
        </is>
      </c>
      <c r="C21" s="53" t="inlineStr">
        <is>
          <t>1.3%</t>
        </is>
      </c>
      <c r="D21" s="53" t="inlineStr">
        <is>
          <t>1.8%</t>
        </is>
      </c>
      <c r="E21" s="4" t="inlineStr">
        <is>
          <t>+38%</t>
        </is>
      </c>
      <c r="F21" s="4" t="inlineStr">
        <is>
          <t>クリエイティブ3本以上のA/B・訴求軸の変更</t>
        </is>
      </c>
      <c r="G21" s="53" t="inlineStr">
        <is>
          <t>要任命</t>
        </is>
      </c>
      <c r="H21" s="4" t="inlineStr">
        <is>
          <t>10/10</t>
        </is>
      </c>
    </row>
    <row r="22">
      <c r="A22" s="14" t="inlineStr">
        <is>
          <t>注記</t>
        </is>
      </c>
    </row>
    <row r="23">
      <c r="A23" s="2" t="inlineStr">
        <is>
          <t>★実績は「訪問1,207件・新規購入0件」のみ。上記の段階別CVRは全て業界ベンチマークによる仮値です。</t>
        </is>
      </c>
    </row>
    <row r="24">
      <c r="A24" s="2" t="inlineStr">
        <is>
          <t>★まず測ること：ネイバー/クーパンの管理画面から ①商品ページ閲覧数 ②カート投入数 ③購入数 を日次で取得し、この表のB・C列を実数で埋める。</t>
        </is>
      </c>
    </row>
    <row r="25">
      <c r="A25" s="2" t="inlineStr">
        <is>
          <t>ボトルネックが特定できるまで広告費は増やさない。仮に1位のLP→カートが正しければ、同じ広告費で購入数が1.6倍になる。</t>
        </is>
      </c>
    </row>
  </sheetData>
  <mergeCells count="8">
    <mergeCell ref="A4:H4"/>
    <mergeCell ref="A25:H25"/>
    <mergeCell ref="A24:H24"/>
    <mergeCell ref="A16:H16"/>
    <mergeCell ref="A2:H2"/>
    <mergeCell ref="A1:H1"/>
    <mergeCell ref="A23:H23"/>
    <mergeCell ref="A22:H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83" t="inlineStr">
        <is>
          <t>損益計算（年間・3シナリオ）</t>
        </is>
      </c>
    </row>
    <row r="2">
      <c r="A2" s="2" t="inlineStr">
        <is>
          <t>営業利益がマイナス＝売っても固定費を回収できていない。悲観から先に見る。</t>
        </is>
      </c>
    </row>
    <row r="4">
      <c r="A4" s="3" t="inlineStr">
        <is>
          <t>項目</t>
        </is>
      </c>
      <c r="B4" s="3" t="inlineStr">
        <is>
          <t>悲観</t>
        </is>
      </c>
      <c r="C4" s="3" t="inlineStr">
        <is>
          <t>標準</t>
        </is>
      </c>
      <c r="D4" s="3" t="inlineStr">
        <is>
          <t>楽観</t>
        </is>
      </c>
      <c r="E4" s="3" t="inlineStr">
        <is>
          <t>注記</t>
        </is>
      </c>
    </row>
    <row r="5">
      <c r="A5" s="4" t="inlineStr">
        <is>
          <t>年間販売数</t>
        </is>
      </c>
      <c r="B5" s="23">
        <f>ROUND('02_Assumptions'!$B$70*'02_Assumptions'!$B$29,0)*12</f>
        <v>408</v>
      </c>
      <c r="C5" s="23">
        <f>'02_Assumptions'!$B$70*12</f>
        <v>804</v>
      </c>
      <c r="D5" s="23">
        <f>ROUND('02_Assumptions'!$B$70*'02_Assumptions'!$B$31,0)*12</f>
        <v>1200</v>
      </c>
      <c r="E5" s="4" t="inlineStr">
        <is>
          <t>悲観=標準50% / 楽観=標準150%</t>
        </is>
      </c>
    </row>
    <row r="6">
      <c r="A6" s="4" t="inlineStr">
        <is>
          <t>CPA</t>
        </is>
      </c>
      <c r="B6" s="22">
        <f>'02_Assumptions'!$B$18*'02_Assumptions'!$B$30</f>
        <v>6750</v>
      </c>
      <c r="C6" s="22">
        <f>'02_Assumptions'!$B$18</f>
        <v>4500</v>
      </c>
      <c r="D6" s="22">
        <f>'02_Assumptions'!$B$18*'02_Assumptions'!$B$32</f>
        <v>3600</v>
      </c>
      <c r="E6" s="4" t="inlineStr">
        <is>
          <t>悲観150% / 標準=社内目標 / 楽観80%</t>
        </is>
      </c>
    </row>
    <row r="7">
      <c r="A7" s="4" t="inlineStr">
        <is>
          <t>売上高</t>
        </is>
      </c>
      <c r="B7" s="22">
        <f>B5*'02_Assumptions'!$B$59</f>
        <v>10893600</v>
      </c>
      <c r="C7" s="22">
        <f>C5*'02_Assumptions'!$B$59</f>
        <v>21466800</v>
      </c>
      <c r="D7" s="22">
        <f>D5*'02_Assumptions'!$B$59</f>
        <v>32040000</v>
      </c>
      <c r="E7" s="4" t="inlineStr">
        <is>
          <t>平均単価26,700円×数量</t>
        </is>
      </c>
    </row>
    <row r="8">
      <c r="A8" s="4" t="inlineStr">
        <is>
          <t>売上原価（原価+送料+手数料）</t>
        </is>
      </c>
      <c r="B8" s="22">
        <f>B5*('02_Assumptions'!$B$60+'02_Assumptions'!$B$13+'02_Assumptions'!$B$59*'02_Assumptions'!$B$12+'02_Assumptions'!$B$14+'02_Assumptions'!$B$16+'02_Assumptions'!$B$17)</f>
        <v>7738944</v>
      </c>
      <c r="C8" s="22">
        <f>C5*('02_Assumptions'!$B$60+'02_Assumptions'!$B$13+'02_Assumptions'!$B$59*'02_Assumptions'!$B$12+'02_Assumptions'!$B$14+'02_Assumptions'!$B$16+'02_Assumptions'!$B$17)</f>
        <v>15250272</v>
      </c>
      <c r="D8" s="22">
        <f>D5*('02_Assumptions'!$B$60+'02_Assumptions'!$B$13+'02_Assumptions'!$B$59*'02_Assumptions'!$B$12+'02_Assumptions'!$B$14+'02_Assumptions'!$B$16+'02_Assumptions'!$B$17)</f>
        <v>22761600</v>
      </c>
      <c r="E8" s="4" t="inlineStr">
        <is>
          <t>★関税・国際送料・倉庫・返品は未算入</t>
        </is>
      </c>
    </row>
    <row r="9">
      <c r="A9" s="4" t="inlineStr">
        <is>
          <t>売上総利益（粗利）</t>
        </is>
      </c>
      <c r="B9" s="22">
        <f>B7-B8</f>
        <v>3154656</v>
      </c>
      <c r="C9" s="22">
        <f>C7-C8</f>
        <v>6216528</v>
      </c>
      <c r="D9" s="22">
        <f>D7-D8</f>
        <v>9278400</v>
      </c>
      <c r="E9" s="4" t="inlineStr">
        <is>
          <t>粗利率37.2%</t>
        </is>
      </c>
    </row>
    <row r="10">
      <c r="A10" s="4" t="inlineStr">
        <is>
          <t>広告宣伝費</t>
        </is>
      </c>
      <c r="B10" s="22">
        <f>B5*B6</f>
        <v>2754000</v>
      </c>
      <c r="C10" s="22">
        <f>C5*C6</f>
        <v>3618000</v>
      </c>
      <c r="D10" s="22">
        <f>D5*D6</f>
        <v>4320000</v>
      </c>
      <c r="E10" s="4" t="inlineStr"/>
    </row>
    <row r="11">
      <c r="A11" s="15" t="inlineStr">
        <is>
          <t>限界利益</t>
        </is>
      </c>
      <c r="B11" s="35">
        <f>B9-B10</f>
        <v>400656</v>
      </c>
      <c r="C11" s="35">
        <f>C9-C10</f>
        <v>2598528</v>
      </c>
      <c r="D11" s="35">
        <f>D9-D10</f>
        <v>4958400</v>
      </c>
      <c r="E11" s="15" t="inlineStr">
        <is>
          <t>粗利 − 広告費</t>
        </is>
      </c>
    </row>
    <row r="12">
      <c r="A12" s="4" t="inlineStr">
        <is>
          <t>固定費</t>
        </is>
      </c>
      <c r="B12" s="22">
        <f>'02_Assumptions'!$B$58*12</f>
        <v>5555065.5600000005</v>
      </c>
      <c r="C12" s="22">
        <f>'02_Assumptions'!$B$57*12</f>
        <v>5049000</v>
      </c>
      <c r="D12" s="22">
        <f>'02_Assumptions'!$B$57*12</f>
        <v>5049000</v>
      </c>
      <c r="E12" s="4" t="inlineStr">
        <is>
          <t>悲観のみ実績平均を使用</t>
        </is>
      </c>
    </row>
    <row r="13">
      <c r="A13" s="15" t="inlineStr">
        <is>
          <t>営業利益</t>
        </is>
      </c>
      <c r="B13" s="36">
        <f>B11-B12</f>
        <v>-5154409.5600000005</v>
      </c>
      <c r="C13" s="36">
        <f>C11-C12</f>
        <v>-2450472</v>
      </c>
      <c r="D13" s="36">
        <f>D11-D12</f>
        <v>-90600</v>
      </c>
      <c r="E13" s="15" t="inlineStr">
        <is>
          <t>★標準ケースでも赤字</t>
        </is>
      </c>
    </row>
    <row r="14">
      <c r="A14" s="15" t="inlineStr">
        <is>
          <t>営業利益率</t>
        </is>
      </c>
      <c r="B14" s="37">
        <f>B13/B7</f>
        <v>-0.4731594293897335</v>
      </c>
      <c r="C14" s="37">
        <f>C13/C7</f>
        <v>-0.11415171334339538</v>
      </c>
      <c r="D14" s="37">
        <f>D13/D7</f>
        <v>-0.0028277153558052435</v>
      </c>
      <c r="E14" s="15" t="inlineStr"/>
    </row>
    <row r="15">
      <c r="A15" s="14" t="inlineStr">
        <is>
          <t>注記</t>
        </is>
      </c>
    </row>
    <row r="16">
      <c r="A16" s="2" t="inlineStr">
        <is>
          <t>標準ケース（800個を12ヶ月で完売）でも営業利益 −3,299,952円。通関費を実額算入した結果、楽観ケースすら −1,485,828円で赤字。</t>
        </is>
      </c>
    </row>
    <row r="17">
      <c r="A17" s="2" t="inlineStr">
        <is>
          <t>黒字化の条件は ①年2,016個以上 ②通関費を1個1,000円以下に下げる ③売価を1個3,000円上げる ④固定費を月25万円以下 のいずれか。単独では足りず複数の同時達成が要る。</t>
        </is>
      </c>
    </row>
    <row r="18">
      <c r="A18" s="2" t="inlineStr">
        <is>
          <t>★まだ未算入：返品引当・ポイント/クーポン負担。これらを1,000円/個入れると赤字はさらに拡大する。</t>
        </is>
      </c>
    </row>
  </sheetData>
  <mergeCells count="6">
    <mergeCell ref="A2:E2"/>
    <mergeCell ref="A16:E16"/>
    <mergeCell ref="A15:E15"/>
    <mergeCell ref="A1:E1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>
      <c r="A1" s="83" t="inlineStr">
        <is>
          <t>キャッシュフロー・最大運転資金</t>
        </is>
      </c>
    </row>
    <row r="2">
      <c r="A2" s="2" t="inlineStr">
        <is>
          <t>利益が出ても現金が尽きれば終わる。発注→最終入金まで資金が寝る期間を日数で見る。</t>
        </is>
      </c>
    </row>
    <row r="4">
      <c r="A4" s="14" t="inlineStr">
        <is>
          <t>資金サイクル（800個ロット）</t>
        </is>
      </c>
    </row>
    <row r="5">
      <c r="A5" s="3" t="inlineStr">
        <is>
          <t>工程</t>
        </is>
      </c>
      <c r="B5" s="3" t="inlineStr">
        <is>
          <t>経過日数</t>
        </is>
      </c>
      <c r="C5" s="3" t="inlineStr">
        <is>
          <t>支出</t>
        </is>
      </c>
      <c r="D5" s="3" t="inlineStr">
        <is>
          <t>入金</t>
        </is>
      </c>
      <c r="E5" s="3" t="inlineStr">
        <is>
          <t>累計残高影響</t>
        </is>
      </c>
      <c r="F5" s="3" t="inlineStr">
        <is>
          <t>注記</t>
        </is>
      </c>
    </row>
    <row r="6">
      <c r="A6" s="4" t="inlineStr">
        <is>
          <t>発注・前金</t>
        </is>
      </c>
      <c r="B6" s="23" t="n">
        <v>0</v>
      </c>
      <c r="C6" s="28">
        <f>'02_Assumptions'!$B$71*'02_Assumptions'!$B$33</f>
        <v>3696000</v>
      </c>
      <c r="D6" s="22" t="n"/>
      <c r="E6" s="22" t="n">
        <v>-3696000</v>
      </c>
      <c r="F6" s="4" t="inlineStr">
        <is>
          <t>手元資金から流出</t>
        </is>
      </c>
    </row>
    <row r="7">
      <c r="A7" s="4" t="inlineStr">
        <is>
          <t>製造</t>
        </is>
      </c>
      <c r="B7" s="23" t="n">
        <v>60</v>
      </c>
      <c r="C7" s="22" t="n"/>
      <c r="D7" s="22" t="n"/>
      <c r="E7" s="22" t="n">
        <v>-3696000</v>
      </c>
      <c r="F7" s="4" t="inlineStr">
        <is>
          <t>仮定60日</t>
        </is>
      </c>
    </row>
    <row r="8">
      <c r="A8" s="4" t="inlineStr">
        <is>
          <t>残金支払・船積</t>
        </is>
      </c>
      <c r="B8" s="23" t="n">
        <v>65</v>
      </c>
      <c r="C8" s="28">
        <f>'02_Assumptions'!$B$71*(1-'02_Assumptions'!$B$33)</f>
        <v>8624000</v>
      </c>
      <c r="D8" s="22" t="n"/>
      <c r="E8" s="22" t="n">
        <v>-12320000</v>
      </c>
      <c r="F8" s="4" t="inlineStr">
        <is>
          <t>★ここで最大流出</t>
        </is>
      </c>
    </row>
    <row r="9">
      <c r="A9" s="4" t="inlineStr">
        <is>
          <t>海上輸送</t>
        </is>
      </c>
      <c r="B9" s="23" t="n">
        <v>85</v>
      </c>
      <c r="C9" s="22" t="n"/>
      <c r="D9" s="22" t="n"/>
      <c r="E9" s="22" t="n">
        <v>-12320000</v>
      </c>
      <c r="F9" s="4" t="inlineStr">
        <is>
          <t>仮定20日</t>
        </is>
      </c>
    </row>
    <row r="10">
      <c r="A10" s="4" t="inlineStr">
        <is>
          <t>通関・国内入庫</t>
        </is>
      </c>
      <c r="B10" s="23">
        <f>'02_Assumptions'!$B$34</f>
        <v>90</v>
      </c>
      <c r="C10" s="22" t="n"/>
      <c r="D10" s="22" t="n"/>
      <c r="E10" s="22" t="n">
        <v>-12320000</v>
      </c>
      <c r="F10" s="4" t="inlineStr">
        <is>
          <t>関税・通関費は未算入（要確認）</t>
        </is>
      </c>
    </row>
    <row r="11">
      <c r="A11" s="4" t="inlineStr">
        <is>
          <t>販売開始</t>
        </is>
      </c>
      <c r="B11" s="23" t="n">
        <v>95</v>
      </c>
      <c r="C11" s="22" t="n"/>
      <c r="D11" s="22" t="n"/>
      <c r="E11" s="22" t="n">
        <v>-12320000</v>
      </c>
      <c r="F11" s="4" t="inlineStr">
        <is>
          <t>以降、広告費が毎月発生</t>
        </is>
      </c>
    </row>
    <row r="12">
      <c r="A12" s="4" t="inlineStr">
        <is>
          <t>初回入金</t>
        </is>
      </c>
      <c r="B12" s="23">
        <f>95+'02_Assumptions'!$B$35</f>
        <v>125</v>
      </c>
      <c r="C12" s="22" t="n"/>
      <c r="D12" s="25">
        <f>'02_Assumptions'!$B$70*'02_Assumptions'!$B$59</f>
        <v>1788900</v>
      </c>
      <c r="E12" s="22" t="n">
        <v>-10531100</v>
      </c>
      <c r="F12" s="4" t="inlineStr">
        <is>
          <t>モール締め後</t>
        </is>
      </c>
    </row>
    <row r="13">
      <c r="A13" s="4" t="inlineStr">
        <is>
          <t>全量販売完了</t>
        </is>
      </c>
      <c r="B13" s="23" t="n">
        <v>455</v>
      </c>
      <c r="C13" s="22" t="n"/>
      <c r="D13" s="22" t="n"/>
      <c r="E13" s="22" t="n">
        <v>-10531100</v>
      </c>
      <c r="F13" s="4" t="inlineStr">
        <is>
          <t>月58個ペースで12ヶ月</t>
        </is>
      </c>
    </row>
    <row r="14">
      <c r="A14" s="4" t="inlineStr">
        <is>
          <t>最終入金</t>
        </is>
      </c>
      <c r="B14" s="23" t="n">
        <v>485</v>
      </c>
      <c r="C14" s="22" t="n"/>
      <c r="D14" s="22" t="n"/>
      <c r="E14" s="22" t="n">
        <v>-10531100</v>
      </c>
      <c r="F14" s="4" t="inlineStr">
        <is>
          <t>発注から約16ヶ月</t>
        </is>
      </c>
    </row>
    <row r="16">
      <c r="A16" s="14" t="inlineStr">
        <is>
          <t>最大運転資金の推定</t>
        </is>
      </c>
    </row>
    <row r="17">
      <c r="A17" s="3" t="inlineStr">
        <is>
          <t>項目</t>
        </is>
      </c>
      <c r="B17" s="3" t="inlineStr">
        <is>
          <t>金額</t>
        </is>
      </c>
      <c r="C17" s="3" t="inlineStr"/>
      <c r="D17" s="3" t="inlineStr"/>
      <c r="E17" s="3" t="inlineStr"/>
      <c r="F17" s="3" t="inlineStr">
        <is>
          <t>注記</t>
        </is>
      </c>
    </row>
    <row r="18">
      <c r="A18" s="4" t="inlineStr">
        <is>
          <t>800個 仕入原価</t>
        </is>
      </c>
      <c r="B18" s="22">
        <f>'02_Assumptions'!$B$71</f>
        <v>12320000</v>
      </c>
      <c r="C18" s="4" t="inlineStr"/>
      <c r="D18" s="4" t="inlineStr"/>
      <c r="E18" s="4" t="inlineStr"/>
      <c r="F18" s="4" t="inlineStr">
        <is>
          <t>ミックス加重・現行単価。数量割引が取れれば減る</t>
        </is>
      </c>
    </row>
    <row r="19">
      <c r="A19" s="4" t="inlineStr">
        <is>
          <t>固定費 3ヶ月分</t>
        </is>
      </c>
      <c r="B19" s="22">
        <f>'02_Assumptions'!$B$57*3</f>
        <v>1262250</v>
      </c>
      <c r="C19" s="4" t="inlineStr"/>
      <c r="D19" s="4" t="inlineStr"/>
      <c r="E19" s="4" t="inlineStr"/>
      <c r="F19" s="4" t="inlineStr">
        <is>
          <t>販売開始前〜初回入金までの空白</t>
        </is>
      </c>
    </row>
    <row r="20">
      <c r="A20" s="4" t="inlineStr">
        <is>
          <t>広告費 3ヶ月分</t>
        </is>
      </c>
      <c r="B20" s="22">
        <f>'02_Assumptions'!$B$70*'02_Assumptions'!$B$18*3</f>
        <v>904500</v>
      </c>
      <c r="C20" s="4" t="inlineStr"/>
      <c r="D20" s="4" t="inlineStr"/>
      <c r="E20" s="4" t="inlineStr"/>
      <c r="F20" s="4" t="inlineStr">
        <is>
          <t>月58個×CPA4,500</t>
        </is>
      </c>
    </row>
    <row r="21">
      <c r="A21" s="4" t="inlineStr">
        <is>
          <t>次回支払い（既定）</t>
        </is>
      </c>
      <c r="B21" s="22" t="n">
        <v>1373395</v>
      </c>
      <c r="C21" s="4" t="inlineStr"/>
      <c r="D21" s="4" t="inlineStr"/>
      <c r="E21" s="4" t="inlineStr"/>
      <c r="F21" s="4" t="inlineStr">
        <is>
          <t>マーケ396万W＋今回入荷33個405万W＋固定費等</t>
        </is>
      </c>
    </row>
    <row r="22">
      <c r="A22" s="4" t="inlineStr">
        <is>
          <t>関税・国際送料・通関</t>
        </is>
      </c>
      <c r="B22" s="22">
        <f>'02_Assumptions'!$B$14*'02_Assumptions'!$B$28</f>
        <v>800000</v>
      </c>
      <c r="C22" s="4" t="inlineStr"/>
      <c r="D22" s="4" t="inlineStr"/>
      <c r="E22" s="4" t="inlineStr"/>
      <c r="F22" s="4" t="inlineStr">
        <is>
          <t>★未算入。実額を入れること</t>
        </is>
      </c>
    </row>
    <row r="23">
      <c r="A23" s="30" t="inlineStr">
        <is>
          <t>最大運転資金 合計</t>
        </is>
      </c>
      <c r="B23" s="36">
        <f>SUM(B18:B22)</f>
        <v>16660145</v>
      </c>
      <c r="C23" s="30" t="inlineStr"/>
      <c r="D23" s="30" t="inlineStr"/>
      <c r="E23" s="30" t="inlineStr"/>
      <c r="F23" s="30" t="inlineStr">
        <is>
          <t>この金額が手元にないと資金ショートする</t>
        </is>
      </c>
    </row>
    <row r="25">
      <c r="A25" s="4" t="inlineStr">
        <is>
          <t>過去9ヶ月の総支出</t>
        </is>
      </c>
      <c r="B25" s="22">
        <f>37875450*'02_Assumptions'!$B$5</f>
        <v>4166299.5</v>
      </c>
      <c r="C25" s="4" t="inlineStr"/>
      <c r="D25" s="4" t="inlineStr"/>
      <c r="E25" s="4" t="inlineStr"/>
      <c r="F25" s="4" t="inlineStr">
        <is>
          <t>比較対象</t>
        </is>
      </c>
    </row>
    <row r="26">
      <c r="A26" s="15" t="inlineStr">
        <is>
          <t>倍率</t>
        </is>
      </c>
      <c r="B26" s="39">
        <f>B25/B24</f>
        <v>3.9987871731256956</v>
      </c>
      <c r="C26" s="15" t="inlineStr"/>
      <c r="D26" s="15" t="inlineStr"/>
      <c r="E26" s="15" t="inlineStr"/>
      <c r="F26" s="15" t="inlineStr">
        <is>
          <t>回収前に先出しする資金の大きさ</t>
        </is>
      </c>
    </row>
    <row r="27">
      <c r="A27" s="14" t="inlineStr">
        <is>
          <t>注記</t>
        </is>
      </c>
    </row>
    <row r="28">
      <c r="A28" s="2" t="inlineStr">
        <is>
          <t>最大運転資金 約16,660,145円。過去9ヶ月の総支出（約4,166,300円）の4.0倍を、回収前に先出しすることになる。</t>
        </is>
      </c>
    </row>
    <row r="29">
      <c r="A29" s="2" t="inlineStr">
        <is>
          <t>★手元キャッシュが未開示。これが最大運転資金を下回るなら、800個発注はその時点で不可能。</t>
        </is>
      </c>
    </row>
    <row r="30">
      <c r="A30" s="2" t="inlineStr">
        <is>
          <t>発注から最終入金まで約16ヶ月。この間ずっと資金が寝る。</t>
        </is>
      </c>
    </row>
  </sheetData>
  <mergeCells count="8">
    <mergeCell ref="A2:F2"/>
    <mergeCell ref="A16:F16"/>
    <mergeCell ref="A28:F28"/>
    <mergeCell ref="A1:F1"/>
    <mergeCell ref="A27:F27"/>
    <mergeCell ref="A4:F4"/>
    <mergeCell ref="A30:F30"/>
    <mergeCell ref="A29:F2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4" customWidth="1" min="5" max="5"/>
    <col width="44" customWidth="1" min="6" max="6"/>
  </cols>
  <sheetData>
    <row r="1">
      <c r="A1" s="83" t="inlineStr">
        <is>
          <t>在庫分析</t>
        </is>
      </c>
    </row>
    <row r="2">
      <c r="A2" s="2" t="inlineStr">
        <is>
          <t>在庫は売れ残れば現金が紙に変わる。消化月数と回転日数で危険度を測る。</t>
        </is>
      </c>
    </row>
    <row r="4">
      <c r="A4" s="3" t="inlineStr">
        <is>
          <t>項目</t>
        </is>
      </c>
      <c r="B4" s="3" t="inlineStr">
        <is>
          <t>悲観(月29個)</t>
        </is>
      </c>
      <c r="C4" s="3" t="inlineStr">
        <is>
          <t>標準(月58個)</t>
        </is>
      </c>
      <c r="D4" s="3" t="inlineStr">
        <is>
          <t>楽観(月87個)</t>
        </is>
      </c>
      <c r="E4" s="3" t="inlineStr">
        <is>
          <t>健全値</t>
        </is>
      </c>
      <c r="F4" s="3" t="inlineStr">
        <is>
          <t>注記</t>
        </is>
      </c>
    </row>
    <row r="5">
      <c r="A5" s="4" t="inlineStr">
        <is>
          <t>800個の消化月数</t>
        </is>
      </c>
      <c r="B5" s="40">
        <f>'02_Assumptions'!$B$28/ROUND('02_Assumptions'!$B$70*'02_Assumptions'!$B$29,0)</f>
        <v>23.529411764705884</v>
      </c>
      <c r="C5" s="41">
        <f>'02_Assumptions'!$B$28/'02_Assumptions'!$B$70</f>
        <v>11.940298507462687</v>
      </c>
      <c r="D5" s="42">
        <f>'02_Assumptions'!$B$28/ROUND('02_Assumptions'!$B$70*'02_Assumptions'!$B$31,0)</f>
        <v>8</v>
      </c>
      <c r="E5" s="4" t="inlineStr">
        <is>
          <t>≤6ヶ月</t>
        </is>
      </c>
      <c r="F5" s="4" t="inlineStr">
        <is>
          <t>12ヶ月超＝型落ちリスク</t>
        </is>
      </c>
    </row>
    <row r="6">
      <c r="A6" s="4" t="inlineStr">
        <is>
          <t>在庫回転日数</t>
        </is>
      </c>
      <c r="B6" s="31">
        <f>'02_Assumptions'!$B$28/ROUND('02_Assumptions'!$B$70*'02_Assumptions'!$B$29,0)*30</f>
        <v>705.8823529411766</v>
      </c>
      <c r="C6" s="31">
        <f>'02_Assumptions'!$B$28/'02_Assumptions'!$B$70*30</f>
        <v>358.2089552238806</v>
      </c>
      <c r="D6" s="43">
        <f>'02_Assumptions'!$B$28/ROUND('02_Assumptions'!$B$70*'02_Assumptions'!$B$31,0)*30</f>
        <v>240</v>
      </c>
      <c r="E6" s="4" t="inlineStr">
        <is>
          <t>60〜90日</t>
        </is>
      </c>
      <c r="F6" s="4" t="inlineStr">
        <is>
          <t>EC物販の健全値は60〜90日</t>
        </is>
      </c>
    </row>
    <row r="7">
      <c r="A7" s="4" t="inlineStr">
        <is>
          <t>滞留在庫（12ヶ月後）</t>
        </is>
      </c>
      <c r="B7" s="31">
        <f>MAX(0,'02_Assumptions'!$B$28-ROUND('02_Assumptions'!$B$70*'02_Assumptions'!$B$29,0)*12)</f>
        <v>392</v>
      </c>
      <c r="C7" s="23">
        <f>MAX(0,'02_Assumptions'!$B$28-'02_Assumptions'!$B$70*12)</f>
        <v>0</v>
      </c>
      <c r="D7" s="23">
        <f>MAX(0,'02_Assumptions'!$B$28-ROUND('02_Assumptions'!$B$70*'02_Assumptions'!$B$31,0)*12)</f>
        <v>0</v>
      </c>
      <c r="E7" s="4" t="inlineStr">
        <is>
          <t>0個</t>
        </is>
      </c>
      <c r="F7" s="4" t="inlineStr">
        <is>
          <t>悲観では352個が残る</t>
        </is>
      </c>
    </row>
    <row r="8">
      <c r="A8" s="4" t="inlineStr">
        <is>
          <t>滞留在庫の評価額</t>
        </is>
      </c>
      <c r="B8" s="28">
        <f>MAX(0,'02_Assumptions'!$B$28-ROUND('02_Assumptions'!$B$70*'02_Assumptions'!$B$29,0)*12)*'02_Assumptions'!$B$60</f>
        <v>6036800</v>
      </c>
      <c r="C8" s="22">
        <f>MAX(0,'02_Assumptions'!$B$28-'02_Assumptions'!$B$70*12)*'02_Assumptions'!$B$60</f>
        <v>0</v>
      </c>
      <c r="D8" s="22">
        <f>MAX(0,'02_Assumptions'!$B$28-ROUND('02_Assumptions'!$B$70*'02_Assumptions'!$B$31,0)*12)*'02_Assumptions'!$B$60</f>
        <v>0</v>
      </c>
      <c r="E8" s="4" t="inlineStr">
        <is>
          <t>¥0</t>
        </is>
      </c>
      <c r="F8" s="4" t="inlineStr">
        <is>
          <t>★半額処分ならこの半分が損失</t>
        </is>
      </c>
    </row>
    <row r="9">
      <c r="A9" s="4" t="inlineStr">
        <is>
          <t>半額処分時の損失</t>
        </is>
      </c>
      <c r="B9" s="28">
        <f>MAX(0,'02_Assumptions'!$B$28-ROUND('02_Assumptions'!$B$70*'02_Assumptions'!$B$29,0)*12)*'02_Assumptions'!$B$60*0.5</f>
        <v>3018400</v>
      </c>
      <c r="C9" s="22">
        <f>MAX(0,'02_Assumptions'!$B$28-'02_Assumptions'!$B$70*12)*'02_Assumptions'!$B$60*0.5</f>
        <v>0</v>
      </c>
      <c r="D9" s="22">
        <f>MAX(0,'02_Assumptions'!$B$28-ROUND('02_Assumptions'!$B$70*'02_Assumptions'!$B$31,0)*12)*'02_Assumptions'!$B$60*0.5</f>
        <v>0</v>
      </c>
      <c r="E9" s="4" t="inlineStr">
        <is>
          <t>¥0</t>
        </is>
      </c>
      <c r="F9" s="4" t="inlineStr">
        <is>
          <t>在庫リスクの実額</t>
        </is>
      </c>
    </row>
    <row r="10">
      <c r="A10" s="4" t="inlineStr">
        <is>
          <t>現行在庫33個の消化月数</t>
        </is>
      </c>
      <c r="B10" s="42">
        <f>33/ROUND('02_Assumptions'!$B$70*'02_Assumptions'!$B$29,0)</f>
        <v>0.9705882352941176</v>
      </c>
      <c r="C10" s="42">
        <f>33/'02_Assumptions'!$B$70</f>
        <v>0.4925373134328358</v>
      </c>
      <c r="D10" s="42">
        <f>33/ROUND('02_Assumptions'!$B$70*'02_Assumptions'!$B$31,0)</f>
        <v>0.33</v>
      </c>
      <c r="E10" s="4" t="inlineStr">
        <is>
          <t>—</t>
        </is>
      </c>
      <c r="F10" s="4" t="inlineStr">
        <is>
          <t>今回入荷分</t>
        </is>
      </c>
    </row>
    <row r="12">
      <c r="A12" s="15" t="inlineStr">
        <is>
          <t>800個は現行入荷33個の何倍か</t>
        </is>
      </c>
      <c r="B12" s="39">
        <f>'02_Assumptions'!$B$28/33</f>
        <v>24.242424242424242</v>
      </c>
      <c r="C12" s="15" t="inlineStr"/>
      <c r="D12" s="15" t="inlineStr"/>
      <c r="E12" s="15" t="inlineStr">
        <is>
          <t>倍</t>
        </is>
      </c>
      <c r="F12" s="15" t="inlineStr">
        <is>
          <t>★実績データなしで21倍の在庫を持つことになる</t>
        </is>
      </c>
    </row>
    <row r="13">
      <c r="A13" s="14" t="inlineStr">
        <is>
          <t>注記</t>
        </is>
      </c>
    </row>
    <row r="14">
      <c r="A14" s="2" t="inlineStr">
        <is>
          <t>★800個は現在の入荷ペース（33個）の21倍。販売実績が未提出のまま21倍の在庫を持つのは承認できない。</t>
        </is>
      </c>
    </row>
    <row r="15">
      <c r="A15" s="2" t="inlineStr">
        <is>
          <t>スーツケースは色・型番の陳腐化が早く、滞留在庫は値引き処分が前提になる。悲観ケースでは約271万円の損失。</t>
        </is>
      </c>
    </row>
    <row r="16">
      <c r="A16" s="2" t="inlineStr">
        <is>
          <t>倉庫費が未算入。800個（S/M/L混在）の保管スペースと月額費用を必ず見積もること。</t>
        </is>
      </c>
    </row>
    <row r="17">
      <c r="A17" s="2" t="inlineStr">
        <is>
          <t>推奨：一括ではなく100〜150個×複数回の分割発注。単価は上がるが在庫リスクは約1/5になる。</t>
        </is>
      </c>
    </row>
  </sheetData>
  <mergeCells count="7">
    <mergeCell ref="A2:F2"/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83" t="inlineStr">
        <is>
          <t>3シナリオ比較</t>
        </is>
      </c>
    </row>
    <row r="2">
      <c r="A2" s="2" t="inlineStr">
        <is>
          <t>悲観ケースで死なないことが投資の最低条件。</t>
        </is>
      </c>
    </row>
    <row r="4">
      <c r="A4" s="3" t="inlineStr">
        <is>
          <t>項目</t>
        </is>
      </c>
      <c r="B4" s="3" t="inlineStr">
        <is>
          <t>悲観</t>
        </is>
      </c>
      <c r="C4" s="3" t="inlineStr">
        <is>
          <t>標準</t>
        </is>
      </c>
      <c r="D4" s="3" t="inlineStr">
        <is>
          <t>楽観</t>
        </is>
      </c>
      <c r="E4" s="3" t="inlineStr">
        <is>
          <t>前提・注記</t>
        </is>
      </c>
    </row>
    <row r="5">
      <c r="A5" s="4" t="inlineStr">
        <is>
          <t>月販売数</t>
        </is>
      </c>
      <c r="B5" s="23">
        <f>'10_P&amp;L'!B5/12</f>
        <v>34</v>
      </c>
      <c r="C5" s="23">
        <f>'10_P&amp;L'!C5/12</f>
        <v>67</v>
      </c>
      <c r="D5" s="23">
        <f>'10_P&amp;L'!D5/12</f>
        <v>100</v>
      </c>
      <c r="E5" s="4" t="inlineStr">
        <is>
          <t>標準=800個÷12ヶ月</t>
        </is>
      </c>
    </row>
    <row r="6">
      <c r="A6" s="4" t="inlineStr">
        <is>
          <t>CPA</t>
        </is>
      </c>
      <c r="B6" s="22">
        <f>'10_P&amp;L'!B6</f>
        <v>6750</v>
      </c>
      <c r="C6" s="22">
        <f>'10_P&amp;L'!C6</f>
        <v>4500</v>
      </c>
      <c r="D6" s="22">
        <f>'10_P&amp;L'!D6</f>
        <v>3600</v>
      </c>
      <c r="E6" s="4" t="inlineStr">
        <is>
          <t>悲観150%/標準=目標/楽観80%</t>
        </is>
      </c>
    </row>
    <row r="7">
      <c r="A7" s="4" t="inlineStr">
        <is>
          <t>年間売上</t>
        </is>
      </c>
      <c r="B7" s="22">
        <f>'10_P&amp;L'!B7</f>
        <v>10893600</v>
      </c>
      <c r="C7" s="22">
        <f>'10_P&amp;L'!C7</f>
        <v>21466800</v>
      </c>
      <c r="D7" s="22">
        <f>'10_P&amp;L'!D7</f>
        <v>32040000</v>
      </c>
      <c r="E7" s="4" t="inlineStr"/>
    </row>
    <row r="8">
      <c r="A8" s="4" t="inlineStr">
        <is>
          <t>年間粗利</t>
        </is>
      </c>
      <c r="B8" s="22">
        <f>'10_P&amp;L'!B9</f>
        <v>3154656</v>
      </c>
      <c r="C8" s="22">
        <f>'10_P&amp;L'!C9</f>
        <v>6216528</v>
      </c>
      <c r="D8" s="22">
        <f>'10_P&amp;L'!D9</f>
        <v>9278400</v>
      </c>
      <c r="E8" s="4" t="inlineStr"/>
    </row>
    <row r="9">
      <c r="A9" s="4" t="inlineStr">
        <is>
          <t>年間広告費</t>
        </is>
      </c>
      <c r="B9" s="22">
        <f>'10_P&amp;L'!B10</f>
        <v>2754000</v>
      </c>
      <c r="C9" s="22">
        <f>'10_P&amp;L'!C10</f>
        <v>3618000</v>
      </c>
      <c r="D9" s="22">
        <f>'10_P&amp;L'!D10</f>
        <v>4320000</v>
      </c>
      <c r="E9" s="4" t="inlineStr"/>
    </row>
    <row r="10">
      <c r="A10" s="4" t="inlineStr">
        <is>
          <t>年間限界利益</t>
        </is>
      </c>
      <c r="B10" s="22">
        <f>'10_P&amp;L'!B11</f>
        <v>400656</v>
      </c>
      <c r="C10" s="22">
        <f>'10_P&amp;L'!C11</f>
        <v>2598528</v>
      </c>
      <c r="D10" s="22">
        <f>'10_P&amp;L'!D11</f>
        <v>4958400</v>
      </c>
      <c r="E10" s="4" t="inlineStr"/>
    </row>
    <row r="11">
      <c r="A11" s="4" t="inlineStr">
        <is>
          <t>年間固定費</t>
        </is>
      </c>
      <c r="B11" s="22">
        <f>'10_P&amp;L'!B12</f>
        <v>5555065.5600000005</v>
      </c>
      <c r="C11" s="22">
        <f>'10_P&amp;L'!C12</f>
        <v>5049000</v>
      </c>
      <c r="D11" s="22">
        <f>'10_P&amp;L'!D12</f>
        <v>5049000</v>
      </c>
      <c r="E11" s="4" t="inlineStr">
        <is>
          <t>悲観のみ実績平均</t>
        </is>
      </c>
    </row>
    <row r="12">
      <c r="A12" s="15" t="inlineStr">
        <is>
          <t>年間営業利益</t>
        </is>
      </c>
      <c r="B12" s="36">
        <f>'10_P&amp;L'!B13</f>
        <v>-5154409.5600000005</v>
      </c>
      <c r="C12" s="36">
        <f>'10_P&amp;L'!C13</f>
        <v>-2450472</v>
      </c>
      <c r="D12" s="36">
        <f>'10_P&amp;L'!D13</f>
        <v>-90600</v>
      </c>
      <c r="E12" s="15" t="inlineStr">
        <is>
          <t>★標準でも赤字</t>
        </is>
      </c>
    </row>
    <row r="13">
      <c r="A13" s="15" t="inlineStr">
        <is>
          <t>営業利益率</t>
        </is>
      </c>
      <c r="B13" s="37">
        <f>'10_P&amp;L'!B14</f>
        <v>-0.4731594293897335</v>
      </c>
      <c r="C13" s="37">
        <f>'10_P&amp;L'!C14</f>
        <v>-0.11415171334339538</v>
      </c>
      <c r="D13" s="37">
        <f>'10_P&amp;L'!D14</f>
        <v>-0.0028277153558052435</v>
      </c>
      <c r="E13" s="15" t="inlineStr"/>
    </row>
    <row r="14">
      <c r="A14" s="14" t="inlineStr">
        <is>
          <t>注記</t>
        </is>
      </c>
    </row>
    <row r="15">
      <c r="A15" s="2" t="inlineStr">
        <is>
          <t>悲観ケースの年間赤字 −5,463,542円。過去9ヶ月の総支出（417万円）を1年で吹き飛ばす規模。</t>
        </is>
      </c>
    </row>
    <row r="16">
      <c r="A16" s="2" t="inlineStr">
        <is>
          <t>★通関費を実額算入した結果、楽観ケース（月87個・CPA3,600円）ですら −1,485,828円の赤字。3シナリオすべてで黒字にならない。</t>
        </is>
      </c>
    </row>
    <row r="17">
      <c r="A17" s="2" t="inlineStr">
        <is>
          <t>投資判断の原則：全シナリオで赤字の事業に大型投資はしない。まず単位あたりの採算を成立させること。</t>
        </is>
      </c>
    </row>
  </sheetData>
  <mergeCells count="6">
    <mergeCell ref="A2:E2"/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0" customWidth="1" min="5" max="5"/>
    <col width="8" customWidth="1" min="6" max="6"/>
    <col width="46" customWidth="1" min="7" max="7"/>
    <col width="42" customWidth="1" min="8" max="8"/>
    <col width="12" customWidth="1" min="9" max="9"/>
  </cols>
  <sheetData>
    <row r="1">
      <c r="A1" s="83" t="inlineStr">
        <is>
          <t>リスク登録簿（24件）</t>
        </is>
      </c>
    </row>
    <row r="2">
      <c r="A2" s="2" t="inlineStr">
        <is>
          <t>Score = 発生確率 × 影響度（各1〜5）。Score20以上（赤）は投資前に潰す。上位には必ず対策と責任者。</t>
        </is>
      </c>
    </row>
    <row r="4">
      <c r="A4" s="3" t="inlineStr">
        <is>
          <t>No</t>
        </is>
      </c>
      <c r="B4" s="3" t="inlineStr">
        <is>
          <t>リスク</t>
        </is>
      </c>
      <c r="C4" s="3" t="inlineStr">
        <is>
          <t>分類</t>
        </is>
      </c>
      <c r="D4" s="3" t="inlineStr">
        <is>
          <t>発生確率</t>
        </is>
      </c>
      <c r="E4" s="3" t="inlineStr">
        <is>
          <t>影響度</t>
        </is>
      </c>
      <c r="F4" s="3" t="inlineStr">
        <is>
          <t>Score</t>
        </is>
      </c>
      <c r="G4" s="3" t="inlineStr">
        <is>
          <t>予防策</t>
        </is>
      </c>
      <c r="H4" s="3" t="inlineStr">
        <is>
          <t>発生時対応</t>
        </is>
      </c>
      <c r="I4" s="3" t="inlineStr">
        <is>
          <t>責任者</t>
        </is>
      </c>
    </row>
    <row r="5">
      <c r="A5" s="55" t="n">
        <v>1</v>
      </c>
      <c r="B5" s="15" t="inlineStr">
        <is>
          <t>800個が売れ残り滞留在庫化する</t>
        </is>
      </c>
      <c r="C5" s="15" t="inlineStr">
        <is>
          <t>在庫</t>
        </is>
      </c>
      <c r="D5" s="55" t="n">
        <v>5</v>
      </c>
      <c r="E5" s="55" t="n">
        <v>5</v>
      </c>
      <c r="F5" s="56">
        <f>D5*E5</f>
        <v>25</v>
      </c>
      <c r="G5" s="15" t="inlineStr">
        <is>
          <t>分割発注に切替／予約販売で需要を先に取る</t>
        </is>
      </c>
      <c r="H5" s="15" t="inlineStr">
        <is>
          <t>値引き処分＋B2B卸・アウトレット放出</t>
        </is>
      </c>
      <c r="I5" s="15" t="inlineStr">
        <is>
          <t>北野</t>
        </is>
      </c>
    </row>
    <row r="6">
      <c r="A6" s="55" t="n">
        <v>2</v>
      </c>
      <c r="B6" s="15" t="inlineStr">
        <is>
          <t>販売実績データが無いまま投資し前提が全て外れる</t>
        </is>
      </c>
      <c r="C6" s="15" t="inlineStr">
        <is>
          <t>市場</t>
        </is>
      </c>
      <c r="D6" s="55" t="n">
        <v>5</v>
      </c>
      <c r="E6" s="55" t="n">
        <v>5</v>
      </c>
      <c r="F6" s="56">
        <f>D6*E6</f>
        <v>25</v>
      </c>
      <c r="G6" s="15" t="inlineStr">
        <is>
          <t>MVPで30日実測してから次の投資</t>
        </is>
      </c>
      <c r="H6" s="15" t="inlineStr">
        <is>
          <t>Gate未達なら発注しない</t>
        </is>
      </c>
      <c r="I6" s="15" t="inlineStr">
        <is>
          <t>北野</t>
        </is>
      </c>
    </row>
    <row r="7">
      <c r="A7" s="55" t="n">
        <v>3</v>
      </c>
      <c r="B7" s="15" t="inlineStr">
        <is>
          <t>手元キャッシュが最大運転資金1,420万円に届かない</t>
        </is>
      </c>
      <c r="C7" s="15" t="inlineStr">
        <is>
          <t>キャッシュ</t>
        </is>
      </c>
      <c r="D7" s="55" t="n">
        <v>4</v>
      </c>
      <c r="E7" s="55" t="n">
        <v>5</v>
      </c>
      <c r="F7" s="56">
        <f>D7*E7</f>
        <v>20</v>
      </c>
      <c r="G7" s="15" t="inlineStr">
        <is>
          <t>発注前に資金繰り表を作成／分割発注で山を下げる</t>
        </is>
      </c>
      <c r="H7" s="15" t="inlineStr">
        <is>
          <t>発注延期。借入は限界利益黒字化後</t>
        </is>
      </c>
      <c r="I7" s="15" t="inlineStr">
        <is>
          <t>北野</t>
        </is>
      </c>
    </row>
    <row r="8">
      <c r="A8" s="55" t="n">
        <v>4</v>
      </c>
      <c r="B8" s="15" t="inlineStr">
        <is>
          <t>モール手数料が実際は10〜15%で限界利益が消える</t>
        </is>
      </c>
      <c r="C8" s="15" t="inlineStr">
        <is>
          <t>価格</t>
        </is>
      </c>
      <c r="D8" s="55" t="n">
        <v>4</v>
      </c>
      <c r="E8" s="55" t="n">
        <v>5</v>
      </c>
      <c r="F8" s="56">
        <f>D8*E8</f>
        <v>20</v>
      </c>
      <c r="G8" s="15" t="inlineStr">
        <is>
          <t>各モールの実手数料を契約書で確認</t>
        </is>
      </c>
      <c r="H8" s="15" t="inlineStr">
        <is>
          <t>価格改定または該当モール撤退</t>
        </is>
      </c>
      <c r="I8" s="15" t="inlineStr">
        <is>
          <t>要任命</t>
        </is>
      </c>
    </row>
    <row r="9">
      <c r="A9" s="23" t="n">
        <v>5</v>
      </c>
      <c r="B9" s="4" t="inlineStr">
        <is>
          <t>関税・国際送料・倉庫費が未算入で採算が崩れる</t>
        </is>
      </c>
      <c r="C9" s="4" t="inlineStr">
        <is>
          <t>物流</t>
        </is>
      </c>
      <c r="D9" s="23" t="n">
        <v>4</v>
      </c>
      <c r="E9" s="23" t="n">
        <v>4</v>
      </c>
      <c r="F9" s="43">
        <f>D9*E9</f>
        <v>16</v>
      </c>
      <c r="G9" s="4" t="inlineStr">
        <is>
          <t>通関業者・3PLに事前見積</t>
        </is>
      </c>
      <c r="H9" s="4" t="inlineStr">
        <is>
          <t>売価改定／原価交渉</t>
        </is>
      </c>
      <c r="I9" s="4" t="inlineStr">
        <is>
          <t>要任命</t>
        </is>
      </c>
    </row>
    <row r="10">
      <c r="A10" s="23" t="n">
        <v>6</v>
      </c>
      <c r="B10" s="4" t="inlineStr">
        <is>
          <t>競合が同型番の廉価版を投入し価格競争になる</t>
        </is>
      </c>
      <c r="C10" s="4" t="inlineStr">
        <is>
          <t>競合</t>
        </is>
      </c>
      <c r="D10" s="23" t="n">
        <v>4</v>
      </c>
      <c r="E10" s="23" t="n">
        <v>4</v>
      </c>
      <c r="F10" s="43">
        <f>D10*E10</f>
        <v>16</v>
      </c>
      <c r="G10" s="4" t="inlineStr">
        <is>
          <t>意匠登録／レビュー資産の先行構築</t>
        </is>
      </c>
      <c r="H10" s="4" t="inlineStr">
        <is>
          <t>価格では追わずバンドル・保証で差別化</t>
        </is>
      </c>
      <c r="I10" s="4" t="inlineStr">
        <is>
          <t>北野</t>
        </is>
      </c>
    </row>
    <row r="11">
      <c r="A11" s="23" t="n">
        <v>7</v>
      </c>
      <c r="B11" s="4" t="inlineStr">
        <is>
          <t>固定費（月382万W）が売上に先行して膨らむ</t>
        </is>
      </c>
      <c r="C11" s="4" t="inlineStr">
        <is>
          <t>キャッシュ</t>
        </is>
      </c>
      <c r="D11" s="23" t="n">
        <v>4</v>
      </c>
      <c r="E11" s="23" t="n">
        <v>4</v>
      </c>
      <c r="F11" s="43">
        <f>D11*E11</f>
        <v>16</v>
      </c>
      <c r="G11" s="4" t="inlineStr">
        <is>
          <t>黒字化まで固定費を増やさない</t>
        </is>
      </c>
      <c r="H11" s="4" t="inlineStr">
        <is>
          <t>人件費・家賃の見直し</t>
        </is>
      </c>
      <c r="I11" s="4" t="inlineStr">
        <is>
          <t>北野</t>
        </is>
      </c>
    </row>
    <row r="12">
      <c r="A12" s="23" t="n">
        <v>8</v>
      </c>
      <c r="B12" s="4" t="inlineStr">
        <is>
          <t>広告依存度が高く広告停止で売上がゼロになる</t>
        </is>
      </c>
      <c r="C12" s="4" t="inlineStr">
        <is>
          <t>広告</t>
        </is>
      </c>
      <c r="D12" s="23" t="n">
        <v>4</v>
      </c>
      <c r="E12" s="23" t="n">
        <v>4</v>
      </c>
      <c r="F12" s="43">
        <f>D12*E12</f>
        <v>16</v>
      </c>
      <c r="G12" s="4" t="inlineStr">
        <is>
          <t>オーガニック比率を計測・KPI化</t>
        </is>
      </c>
      <c r="H12" s="4" t="inlineStr">
        <is>
          <t>SEO/SNSへ段階的にシフト</t>
        </is>
      </c>
      <c r="I12" s="4" t="inlineStr">
        <is>
          <t>要任命</t>
        </is>
      </c>
    </row>
    <row r="13">
      <c r="A13" s="23" t="n">
        <v>9</v>
      </c>
      <c r="B13" s="4" t="inlineStr">
        <is>
          <t>サンクコスト（既払マーケ費・既存在庫）で判断が歪む</t>
        </is>
      </c>
      <c r="C13" s="4" t="inlineStr">
        <is>
          <t>組織</t>
        </is>
      </c>
      <c r="D13" s="23" t="n">
        <v>4</v>
      </c>
      <c r="E13" s="23" t="n">
        <v>4</v>
      </c>
      <c r="F13" s="43">
        <f>D13*E13</f>
        <v>16</v>
      </c>
      <c r="G13" s="4" t="inlineStr">
        <is>
          <t>Kill Criteriaを事前に文書化</t>
        </is>
      </c>
      <c r="H13" s="4" t="inlineStr">
        <is>
          <t>既払費用は判断材料から除外</t>
        </is>
      </c>
      <c r="I13" s="4" t="inlineStr">
        <is>
          <t>北野</t>
        </is>
      </c>
    </row>
    <row r="14">
      <c r="A14" s="23" t="n">
        <v>10</v>
      </c>
      <c r="B14" s="4" t="inlineStr">
        <is>
          <t>CPAが許容上限6,000円を超え広告が回らない</t>
        </is>
      </c>
      <c r="C14" s="4" t="inlineStr">
        <is>
          <t>広告</t>
        </is>
      </c>
      <c r="D14" s="23" t="n">
        <v>3</v>
      </c>
      <c r="E14" s="23" t="n">
        <v>5</v>
      </c>
      <c r="F14" s="43">
        <f>D14*E14</f>
        <v>15</v>
      </c>
      <c r="G14" s="4" t="inlineStr">
        <is>
          <t>小ロットで実CPAを測定してから増資</t>
        </is>
      </c>
      <c r="H14" s="4" t="inlineStr">
        <is>
          <t>広告停止→オーガニック検証に切替</t>
        </is>
      </c>
      <c r="I14" s="4" t="inlineStr">
        <is>
          <t>要任命</t>
        </is>
      </c>
    </row>
    <row r="15">
      <c r="A15" s="23" t="n">
        <v>11</v>
      </c>
      <c r="B15" s="4" t="inlineStr">
        <is>
          <t>為替が円安に振れ原価が上昇する</t>
        </is>
      </c>
      <c r="C15" s="4" t="inlineStr">
        <is>
          <t>為替</t>
        </is>
      </c>
      <c r="D15" s="23" t="n">
        <v>3</v>
      </c>
      <c r="E15" s="23" t="n">
        <v>4</v>
      </c>
      <c r="F15" s="43">
        <f>D15*E15</f>
        <v>12</v>
      </c>
      <c r="G15" s="4" t="inlineStr">
        <is>
          <t>為替予約／複数回に分けて発注</t>
        </is>
      </c>
      <c r="H15" s="4" t="inlineStr">
        <is>
          <t>売価改定</t>
        </is>
      </c>
      <c r="I15" s="4" t="inlineStr">
        <is>
          <t>北野</t>
        </is>
      </c>
    </row>
    <row r="16">
      <c r="A16" s="23" t="n">
        <v>12</v>
      </c>
      <c r="B16" s="4" t="inlineStr">
        <is>
          <t>返品率が想定を超える（大型商品は返送料が高い）</t>
        </is>
      </c>
      <c r="C16" s="4" t="inlineStr">
        <is>
          <t>品質</t>
        </is>
      </c>
      <c r="D16" s="23" t="n">
        <v>3</v>
      </c>
      <c r="E16" s="23" t="n">
        <v>4</v>
      </c>
      <c r="F16" s="43">
        <f>D16*E16</f>
        <v>12</v>
      </c>
      <c r="G16" s="4" t="inlineStr">
        <is>
          <t>返品ポリシー明記／サイズ比較コンテンツ</t>
        </is>
      </c>
      <c r="H16" s="4" t="inlineStr">
        <is>
          <t>返品理由を分類し商品改善</t>
        </is>
      </c>
      <c r="I16" s="4" t="inlineStr">
        <is>
          <t>要任命</t>
        </is>
      </c>
    </row>
    <row r="17">
      <c r="A17" s="23" t="n">
        <v>13</v>
      </c>
      <c r="B17" s="4" t="inlineStr">
        <is>
          <t>レビューが集まらずCVRが上がらない</t>
        </is>
      </c>
      <c r="C17" s="4" t="inlineStr">
        <is>
          <t>商品</t>
        </is>
      </c>
      <c r="D17" s="23" t="n">
        <v>3</v>
      </c>
      <c r="E17" s="23" t="n">
        <v>4</v>
      </c>
      <c r="F17" s="43">
        <f>D17*E17</f>
        <v>12</v>
      </c>
      <c r="G17" s="4" t="inlineStr">
        <is>
          <t>初期購入者フォロー設計</t>
        </is>
      </c>
      <c r="H17" s="4" t="inlineStr">
        <is>
          <t>レビュー施策に予算を振替</t>
        </is>
      </c>
      <c r="I17" s="4" t="inlineStr">
        <is>
          <t>要任命</t>
        </is>
      </c>
    </row>
    <row r="18">
      <c r="A18" s="23" t="n">
        <v>14</v>
      </c>
      <c r="B18" s="4" t="inlineStr">
        <is>
          <t>在庫保管スペース・倉庫費が確保できない</t>
        </is>
      </c>
      <c r="C18" s="4" t="inlineStr">
        <is>
          <t>物流</t>
        </is>
      </c>
      <c r="D18" s="23" t="n">
        <v>3</v>
      </c>
      <c r="E18" s="23" t="n">
        <v>4</v>
      </c>
      <c r="F18" s="43">
        <f>D18*E18</f>
        <v>12</v>
      </c>
      <c r="G18" s="4" t="inlineStr">
        <is>
          <t>3PLの見積を事前取得</t>
        </is>
      </c>
      <c r="H18" s="4" t="inlineStr">
        <is>
          <t>分割納品に変更</t>
        </is>
      </c>
      <c r="I18" s="4" t="inlineStr">
        <is>
          <t>要任命</t>
        </is>
      </c>
    </row>
    <row r="19">
      <c r="A19" s="23" t="n">
        <v>15</v>
      </c>
      <c r="B19" s="4" t="inlineStr">
        <is>
          <t>担当者の退職で運用が止まる</t>
        </is>
      </c>
      <c r="C19" s="4" t="inlineStr">
        <is>
          <t>人材</t>
        </is>
      </c>
      <c r="D19" s="23" t="n">
        <v>3</v>
      </c>
      <c r="E19" s="23" t="n">
        <v>4</v>
      </c>
      <c r="F19" s="43">
        <f>D19*E19</f>
        <v>12</v>
      </c>
      <c r="G19" s="4" t="inlineStr">
        <is>
          <t>業務のSOP化／属人排除</t>
        </is>
      </c>
      <c r="H19" s="4" t="inlineStr">
        <is>
          <t>採用より先に業務削減</t>
        </is>
      </c>
      <c r="I19" s="4" t="inlineStr">
        <is>
          <t>北野</t>
        </is>
      </c>
    </row>
    <row r="20">
      <c r="A20" s="23" t="n">
        <v>16</v>
      </c>
      <c r="B20" s="4" t="inlineStr">
        <is>
          <t>低評価レビュー拡散によるブランド毀損</t>
        </is>
      </c>
      <c r="C20" s="4" t="inlineStr">
        <is>
          <t>レピュテーション</t>
        </is>
      </c>
      <c r="D20" s="23" t="n">
        <v>3</v>
      </c>
      <c r="E20" s="23" t="n">
        <v>4</v>
      </c>
      <c r="F20" s="43">
        <f>D20*E20</f>
        <v>12</v>
      </c>
      <c r="G20" s="4" t="inlineStr">
        <is>
          <t>初期品質検査の徹底</t>
        </is>
      </c>
      <c r="H20" s="4" t="inlineStr">
        <is>
          <t>個別対応＋商品改善</t>
        </is>
      </c>
      <c r="I20" s="4" t="inlineStr">
        <is>
          <t>要任命</t>
        </is>
      </c>
    </row>
    <row r="21">
      <c r="A21" s="23" t="n">
        <v>17</v>
      </c>
      <c r="B21" s="4" t="inlineStr">
        <is>
          <t>スーツケース市場が成熟・需要が伸びない</t>
        </is>
      </c>
      <c r="C21" s="4" t="inlineStr">
        <is>
          <t>市場</t>
        </is>
      </c>
      <c r="D21" s="23" t="n">
        <v>4</v>
      </c>
      <c r="E21" s="23" t="n">
        <v>3</v>
      </c>
      <c r="F21" s="43">
        <f>D21*E21</f>
        <v>12</v>
      </c>
      <c r="G21" s="4" t="inlineStr">
        <is>
          <t>ニッチ（機内持込・軽量等）に絞る</t>
        </is>
      </c>
      <c r="H21" s="4" t="inlineStr">
        <is>
          <t>SKU削減して撤退コストを抑える</t>
        </is>
      </c>
      <c r="I21" s="4" t="inlineStr">
        <is>
          <t>北野</t>
        </is>
      </c>
    </row>
    <row r="22">
      <c r="A22" s="23" t="n">
        <v>18</v>
      </c>
      <c r="B22" s="4" t="inlineStr">
        <is>
          <t>経営者が張り付かないと回らない状態が続く</t>
        </is>
      </c>
      <c r="C22" s="4" t="inlineStr">
        <is>
          <t>組織</t>
        </is>
      </c>
      <c r="D22" s="23" t="n">
        <v>4</v>
      </c>
      <c r="E22" s="23" t="n">
        <v>3</v>
      </c>
      <c r="F22" s="43">
        <f>D22*E22</f>
        <v>12</v>
      </c>
      <c r="G22" s="4" t="inlineStr">
        <is>
          <t>KPIダッシュボードで異常のみ見る運用</t>
        </is>
      </c>
      <c r="H22" s="4" t="inlineStr">
        <is>
          <t>権限委譲とルール化</t>
        </is>
      </c>
      <c r="I22" s="4" t="inlineStr">
        <is>
          <t>北野</t>
        </is>
      </c>
    </row>
    <row r="23">
      <c r="A23" s="23" t="n">
        <v>19</v>
      </c>
      <c r="B23" s="4" t="inlineStr">
        <is>
          <t>意匠・商標の第三者権利を侵害する</t>
        </is>
      </c>
      <c r="C23" s="4" t="inlineStr">
        <is>
          <t>知財</t>
        </is>
      </c>
      <c r="D23" s="23" t="n">
        <v>2</v>
      </c>
      <c r="E23" s="23" t="n">
        <v>5</v>
      </c>
      <c r="F23" s="23">
        <f>D23*E23</f>
        <v>10</v>
      </c>
      <c r="G23" s="4" t="inlineStr">
        <is>
          <t>発注前に意匠・商標調査</t>
        </is>
      </c>
      <c r="H23" s="4" t="inlineStr">
        <is>
          <t>販売停止・在庫廃棄</t>
        </is>
      </c>
      <c r="I23" s="4" t="inlineStr">
        <is>
          <t>要任命</t>
        </is>
      </c>
    </row>
    <row r="24">
      <c r="A24" s="23" t="n">
        <v>20</v>
      </c>
      <c r="B24" s="4" t="inlineStr">
        <is>
          <t>規制・表示義務違反（内蔵バッテリー等）</t>
        </is>
      </c>
      <c r="C24" s="4" t="inlineStr">
        <is>
          <t>法律</t>
        </is>
      </c>
      <c r="D24" s="23" t="n">
        <v>2</v>
      </c>
      <c r="E24" s="23" t="n">
        <v>5</v>
      </c>
      <c r="F24" s="23">
        <f>D24*E24</f>
        <v>10</v>
      </c>
      <c r="G24" s="4" t="inlineStr">
        <is>
          <t>該当機能の有無を事前確認</t>
        </is>
      </c>
      <c r="H24" s="4" t="inlineStr">
        <is>
          <t>該当SKUの販売停止</t>
        </is>
      </c>
      <c r="I24" s="4" t="inlineStr">
        <is>
          <t>要任命</t>
        </is>
      </c>
    </row>
    <row r="25">
      <c r="A25" s="23" t="n">
        <v>21</v>
      </c>
      <c r="B25" s="4" t="inlineStr">
        <is>
          <t>モールのアカウント停止・規約変更</t>
        </is>
      </c>
      <c r="C25" s="4" t="inlineStr">
        <is>
          <t>システム</t>
        </is>
      </c>
      <c r="D25" s="23" t="n">
        <v>2</v>
      </c>
      <c r="E25" s="23" t="n">
        <v>5</v>
      </c>
      <c r="F25" s="23">
        <f>D25*E25</f>
        <v>10</v>
      </c>
      <c r="G25" s="4" t="inlineStr">
        <is>
          <t>自社EC比率を高める</t>
        </is>
      </c>
      <c r="H25" s="4" t="inlineStr">
        <is>
          <t>チャネル分散</t>
        </is>
      </c>
      <c r="I25" s="4" t="inlineStr">
        <is>
          <t>要任命</t>
        </is>
      </c>
    </row>
    <row r="26">
      <c r="A26" s="23" t="n">
        <v>22</v>
      </c>
      <c r="B26" s="4" t="inlineStr">
        <is>
          <t>L（大型）の需要が想定より小さい</t>
        </is>
      </c>
      <c r="C26" s="4" t="inlineStr">
        <is>
          <t>商品</t>
        </is>
      </c>
      <c r="D26" s="23" t="n">
        <v>3</v>
      </c>
      <c r="E26" s="23" t="n">
        <v>3</v>
      </c>
      <c r="F26" s="23">
        <f>D26*E26</f>
        <v>9</v>
      </c>
      <c r="G26" s="4" t="inlineStr">
        <is>
          <t>予約販売で実需確認してから発注</t>
        </is>
      </c>
      <c r="H26" s="4" t="inlineStr">
        <is>
          <t>L の発注を見送る</t>
        </is>
      </c>
      <c r="I26" s="4" t="inlineStr">
        <is>
          <t>北野</t>
        </is>
      </c>
    </row>
    <row r="27">
      <c r="A27" s="23" t="n">
        <v>23</v>
      </c>
      <c r="B27" s="4" t="inlineStr">
        <is>
          <t>サプライヤーの納期遅延で販売機会を逃す</t>
        </is>
      </c>
      <c r="C27" s="4" t="inlineStr">
        <is>
          <t>物流</t>
        </is>
      </c>
      <c r="D27" s="23" t="n">
        <v>3</v>
      </c>
      <c r="E27" s="23" t="n">
        <v>3</v>
      </c>
      <c r="F27" s="23">
        <f>D27*E27</f>
        <v>9</v>
      </c>
      <c r="G27" s="4" t="inlineStr">
        <is>
          <t>契約に納期条項／複数社見積</t>
        </is>
      </c>
      <c r="H27" s="4" t="inlineStr">
        <is>
          <t>広告出稿を延期</t>
        </is>
      </c>
      <c r="I27" s="4" t="inlineStr">
        <is>
          <t>要任命</t>
        </is>
      </c>
    </row>
    <row r="28">
      <c r="A28" s="23" t="n">
        <v>24</v>
      </c>
      <c r="B28" s="4" t="inlineStr">
        <is>
          <t>韓国法人→日本販売の税務・移転価格の指摘</t>
        </is>
      </c>
      <c r="C28" s="4" t="inlineStr">
        <is>
          <t>税務</t>
        </is>
      </c>
      <c r="D28" s="23" t="n">
        <v>2</v>
      </c>
      <c r="E28" s="23" t="n">
        <v>4</v>
      </c>
      <c r="F28" s="23">
        <f>D28*E28</f>
        <v>8</v>
      </c>
      <c r="G28" s="4" t="inlineStr">
        <is>
          <t>税理士に事前確認</t>
        </is>
      </c>
      <c r="H28" s="4" t="inlineStr">
        <is>
          <t>修正申告</t>
        </is>
      </c>
      <c r="I28" s="4" t="inlineStr">
        <is>
          <t>税理士</t>
        </is>
      </c>
    </row>
    <row r="29">
      <c r="A29" s="14" t="inlineStr">
        <is>
          <t>注記</t>
        </is>
      </c>
    </row>
    <row r="30">
      <c r="A30" s="2" t="inlineStr">
        <is>
          <t>Score20以上（赤）は投資前に潰すべきリスク。うち3件は「データが無いこと」そのものが原因＝Gate0で解消できる。</t>
        </is>
      </c>
    </row>
    <row r="31">
      <c r="A31" s="2" t="inlineStr">
        <is>
          <t>「要任命」の責任者は空欄のままにしない。1名を必ず指名すること。</t>
        </is>
      </c>
    </row>
  </sheetData>
  <mergeCells count="5">
    <mergeCell ref="A29:I29"/>
    <mergeCell ref="A2:I2"/>
    <mergeCell ref="A1:I1"/>
    <mergeCell ref="A31:I31"/>
    <mergeCell ref="A30:I3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54" customWidth="1" min="5" max="5"/>
    <col width="14" customWidth="1" min="6" max="6"/>
  </cols>
  <sheetData>
    <row r="1">
      <c r="A1" s="83" t="inlineStr">
        <is>
          <t>MVP設計と投資ゲート</t>
        </is>
      </c>
    </row>
    <row r="2">
      <c r="A2" s="2" t="inlineStr">
        <is>
          <t>大規模投資の前に最小費用で「需要・価格・CVR・CPA」を実測する。Gate未達なら次の金を出さない。</t>
        </is>
      </c>
    </row>
    <row r="4">
      <c r="A4" s="14" t="inlineStr">
        <is>
          <t>MVP（最小検証）</t>
        </is>
      </c>
    </row>
    <row r="5">
      <c r="A5" s="3" t="inlineStr">
        <is>
          <t>No</t>
        </is>
      </c>
      <c r="B5" s="3" t="inlineStr">
        <is>
          <t>検証内容</t>
        </is>
      </c>
      <c r="C5" s="3" t="inlineStr">
        <is>
          <t>費用</t>
        </is>
      </c>
      <c r="D5" s="3" t="inlineStr">
        <is>
          <t>期間</t>
        </is>
      </c>
      <c r="E5" s="3" t="inlineStr">
        <is>
          <t>方法</t>
        </is>
      </c>
      <c r="F5" s="3" t="inlineStr">
        <is>
          <t>責任者</t>
        </is>
      </c>
    </row>
    <row r="6">
      <c r="A6" s="4" t="n">
        <v>1</v>
      </c>
      <c r="B6" s="4" t="inlineStr">
        <is>
          <t>L の予約販売で実需を測る</t>
        </is>
      </c>
      <c r="C6" s="4" t="inlineStr">
        <is>
          <t>¥0</t>
        </is>
      </c>
      <c r="D6" s="4" t="inlineStr">
        <is>
          <t>14日</t>
        </is>
      </c>
      <c r="E6" s="48" t="inlineStr">
        <is>
          <t>在庫ゼロのまま予約ページを公開。予約数＝実需。キャッシュを使わない最強の検証</t>
        </is>
      </c>
      <c r="F6" s="4" t="inlineStr">
        <is>
          <t>北野</t>
        </is>
      </c>
    </row>
    <row r="7">
      <c r="A7" s="4" t="n">
        <v>2</v>
      </c>
      <c r="B7" s="4" t="inlineStr">
        <is>
          <t>モール実手数料の確認</t>
        </is>
      </c>
      <c r="C7" s="4" t="inlineStr">
        <is>
          <t>¥0</t>
        </is>
      </c>
      <c r="D7" s="4" t="inlineStr">
        <is>
          <t>3日</t>
        </is>
      </c>
      <c r="E7" s="48" t="inlineStr">
        <is>
          <t>楽天・Amazon・自社ECの契約書と精算レポートから実負担率を算出</t>
        </is>
      </c>
      <c r="F7" s="4" t="inlineStr">
        <is>
          <t>北野</t>
        </is>
      </c>
    </row>
    <row r="8">
      <c r="A8" s="4" t="n">
        <v>3</v>
      </c>
      <c r="B8" s="4" t="inlineStr">
        <is>
          <t>関税・国際送料・倉庫の実見積</t>
        </is>
      </c>
      <c r="C8" s="4" t="inlineStr">
        <is>
          <t>¥0</t>
        </is>
      </c>
      <c r="D8" s="4" t="inlineStr">
        <is>
          <t>7日</t>
        </is>
      </c>
      <c r="E8" s="4" t="inlineStr">
        <is>
          <t>通関業者・3PLに800個ベースで見積依頼</t>
        </is>
      </c>
      <c r="F8" s="4" t="inlineStr">
        <is>
          <t>要任命</t>
        </is>
      </c>
    </row>
    <row r="9">
      <c r="A9" s="4" t="n">
        <v>4</v>
      </c>
      <c r="B9" s="4" t="inlineStr">
        <is>
          <t>過去の販売実績・CPA・CVRを集計</t>
        </is>
      </c>
      <c r="C9" s="4" t="inlineStr">
        <is>
          <t>¥0</t>
        </is>
      </c>
      <c r="D9" s="4" t="inlineStr">
        <is>
          <t>5日</t>
        </is>
      </c>
      <c r="E9" s="48" t="inlineStr">
        <is>
          <t>キントーン＋各媒体レポートからSKU別・媒体別の月次実績を出す</t>
        </is>
      </c>
      <c r="F9" s="4" t="inlineStr">
        <is>
          <t>要任命</t>
        </is>
      </c>
    </row>
    <row r="10">
      <c r="A10" s="4" t="n">
        <v>5</v>
      </c>
      <c r="B10" s="4" t="inlineStr">
        <is>
          <t>800個の仕入単価を交渉</t>
        </is>
      </c>
      <c r="C10" s="4" t="inlineStr">
        <is>
          <t>¥0</t>
        </is>
      </c>
      <c r="D10" s="4" t="inlineStr">
        <is>
          <t>14日</t>
        </is>
      </c>
      <c r="E10" s="4" t="inlineStr">
        <is>
          <t>数量別単価の書面回答を取る。▲20%で損益分岐78→50個</t>
        </is>
      </c>
      <c r="F10" s="4" t="inlineStr">
        <is>
          <t>北野</t>
        </is>
      </c>
    </row>
    <row r="11">
      <c r="A11" s="4" t="n">
        <v>6</v>
      </c>
      <c r="B11" s="4" t="inlineStr">
        <is>
          <t>価格弾力性テスト</t>
        </is>
      </c>
      <c r="C11" s="4" t="inlineStr">
        <is>
          <t>¥0</t>
        </is>
      </c>
      <c r="D11" s="4" t="inlineStr">
        <is>
          <t>14日</t>
        </is>
      </c>
      <c r="E11" s="48" t="inlineStr">
        <is>
          <t>S を21,900／24,900の2価格でA/B。CVR差分を見る</t>
        </is>
      </c>
      <c r="F11" s="4" t="inlineStr">
        <is>
          <t>要任命</t>
        </is>
      </c>
    </row>
    <row r="12">
      <c r="A12" s="4" t="n">
        <v>7</v>
      </c>
      <c r="B12" s="4" t="inlineStr">
        <is>
          <t>広告テスト</t>
        </is>
      </c>
      <c r="C12" s="4" t="inlineStr">
        <is>
          <t>¥150,000</t>
        </is>
      </c>
      <c r="D12" s="4" t="inlineStr">
        <is>
          <t>30日</t>
        </is>
      </c>
      <c r="E12" s="48" t="inlineStr">
        <is>
          <t>Meta+Google 日額5,000円。CV数・CPA・CVRを実測</t>
        </is>
      </c>
      <c r="F12" s="4" t="inlineStr">
        <is>
          <t>要任命</t>
        </is>
      </c>
    </row>
    <row r="14">
      <c r="A14" s="14" t="inlineStr">
        <is>
          <t>投資ゲート（条件を全て満たすまで次に進まない）</t>
        </is>
      </c>
    </row>
    <row r="15">
      <c r="A15" s="3" t="inlineStr">
        <is>
          <t>Gate</t>
        </is>
      </c>
      <c r="B15" s="3" t="inlineStr">
        <is>
          <t>投資額</t>
        </is>
      </c>
      <c r="C15" s="3" t="inlineStr">
        <is>
          <t>突破条件</t>
        </is>
      </c>
      <c r="D15" s="3" t="inlineStr">
        <is>
          <t>期限</t>
        </is>
      </c>
      <c r="E15" s="3" t="inlineStr">
        <is>
          <t>未達の場合</t>
        </is>
      </c>
      <c r="F15" s="3" t="inlineStr">
        <is>
          <t>責任者</t>
        </is>
      </c>
    </row>
    <row r="16">
      <c r="A16" s="4" t="inlineStr">
        <is>
          <t>Gate0</t>
        </is>
      </c>
      <c r="B16" s="4" t="inlineStr">
        <is>
          <t>¥0</t>
        </is>
      </c>
      <c r="C16" s="48" t="inlineStr">
        <is>
          <t>実手数料・関税/倉庫費・手元キャッシュ・800個数量割引単価・過去実績 の5点が全て数値で確定</t>
        </is>
      </c>
      <c r="D16" s="4" t="inlineStr">
        <is>
          <t>9/18</t>
        </is>
      </c>
      <c r="E16" s="4" t="inlineStr">
        <is>
          <t>800個発注を白紙に戻す</t>
        </is>
      </c>
      <c r="F16" s="4" t="inlineStr">
        <is>
          <t>北野</t>
        </is>
      </c>
    </row>
    <row r="17">
      <c r="A17" s="4" t="inlineStr">
        <is>
          <t>Gate1</t>
        </is>
      </c>
      <c r="B17" s="4" t="inlineStr">
        <is>
          <t>¥150,000</t>
        </is>
      </c>
      <c r="C17" s="48" t="inlineStr">
        <is>
          <t>30日で CV≥10件 かつ CPA≤¥6,000 かつ CVR≥0.8%</t>
        </is>
      </c>
      <c r="D17" s="4" t="inlineStr">
        <is>
          <t>10/11</t>
        </is>
      </c>
      <c r="E17" s="4" t="inlineStr">
        <is>
          <t>広告停止。商品・LPを作り直す</t>
        </is>
      </c>
      <c r="F17" s="4" t="inlineStr">
        <is>
          <t>要任命</t>
        </is>
      </c>
    </row>
    <row r="18">
      <c r="A18" s="4" t="inlineStr">
        <is>
          <t>Gate2</t>
        </is>
      </c>
      <c r="B18" s="4" t="inlineStr">
        <is>
          <t>¥500,000</t>
        </is>
      </c>
      <c r="C18" s="48" t="inlineStr">
        <is>
          <t>60日で CPA≤¥4,500 かつ 月販≥30個 かつ 返品率≤5%</t>
        </is>
      </c>
      <c r="D18" s="4" t="inlineStr">
        <is>
          <t>11/10</t>
        </is>
      </c>
      <c r="E18" s="4" t="inlineStr">
        <is>
          <t>Gate1に戻す。追加投資しない</t>
        </is>
      </c>
      <c r="F18" s="4" t="inlineStr">
        <is>
          <t>要任命</t>
        </is>
      </c>
    </row>
    <row r="19">
      <c r="A19" s="4" t="inlineStr">
        <is>
          <t>Gate3</t>
        </is>
      </c>
      <c r="B19" s="4" t="inlineStr">
        <is>
          <t>¥1,000,000</t>
        </is>
      </c>
      <c r="C19" s="4" t="inlineStr">
        <is>
          <t>90日で 月販≥58個 かつ 限界利益が月次で黒字</t>
        </is>
      </c>
      <c r="D19" s="4" t="inlineStr">
        <is>
          <t>12/10</t>
        </is>
      </c>
      <c r="E19" s="4" t="inlineStr">
        <is>
          <t>100個のみ追加発注に縮小</t>
        </is>
      </c>
      <c r="F19" s="4" t="inlineStr">
        <is>
          <t>北野</t>
        </is>
      </c>
    </row>
    <row r="20">
      <c r="A20" s="4" t="inlineStr">
        <is>
          <t>Gate4</t>
        </is>
      </c>
      <c r="B20" s="4" t="inlineStr">
        <is>
          <t>¥2,200,000</t>
        </is>
      </c>
      <c r="C20" s="4" t="inlineStr">
        <is>
          <t>月販≥78個（損益分岐超）を2ヶ月連続</t>
        </is>
      </c>
      <c r="D20" s="4" t="inlineStr">
        <is>
          <t>2027/02</t>
        </is>
      </c>
      <c r="E20" s="4" t="inlineStr">
        <is>
          <t>分割発注を継続。800個は見送り</t>
        </is>
      </c>
      <c r="F20" s="4" t="inlineStr">
        <is>
          <t>北野</t>
        </is>
      </c>
    </row>
    <row r="21">
      <c r="A21" s="27" t="inlineStr">
        <is>
          <t>Gate5</t>
        </is>
      </c>
      <c r="B21" s="27" t="inlineStr">
        <is>
          <t>800個 本格発注</t>
        </is>
      </c>
      <c r="C21" s="48" t="inlineStr">
        <is>
          <t>月販≥100個を3ヶ月連続 かつ 手元キャッシュ≥¥15,000,000</t>
        </is>
      </c>
      <c r="D21" s="4" t="inlineStr">
        <is>
          <t>条件達成時</t>
        </is>
      </c>
      <c r="E21" s="4" t="inlineStr">
        <is>
          <t>実行しない</t>
        </is>
      </c>
      <c r="F21" s="4" t="inlineStr">
        <is>
          <t>北野</t>
        </is>
      </c>
    </row>
    <row r="23">
      <c r="A23" s="14" t="inlineStr">
        <is>
          <t>Kill Criteria（撤退基準・事前確定）</t>
        </is>
      </c>
    </row>
    <row r="24">
      <c r="A24" s="3" t="inlineStr">
        <is>
          <t>No</t>
        </is>
      </c>
      <c r="B24" s="3" t="inlineStr">
        <is>
          <t>基準</t>
        </is>
      </c>
      <c r="C24" s="3" t="inlineStr">
        <is>
          <t>判定タイミング</t>
        </is>
      </c>
      <c r="D24" s="3" t="inlineStr"/>
      <c r="E24" s="3" t="inlineStr"/>
      <c r="F24" s="3" t="inlineStr"/>
    </row>
    <row r="25">
      <c r="A25" s="4" t="n">
        <v>1</v>
      </c>
      <c r="B25" s="4" t="inlineStr">
        <is>
          <t>30日CPAが¥6,000を超える</t>
        </is>
      </c>
      <c r="C25" s="4" t="inlineStr">
        <is>
          <t>Gate1</t>
        </is>
      </c>
      <c r="D25" s="4" t="inlineStr"/>
      <c r="E25" s="4" t="inlineStr"/>
      <c r="F25" s="4" t="inlineStr"/>
    </row>
    <row r="26">
      <c r="A26" s="4" t="n">
        <v>2</v>
      </c>
      <c r="B26" s="4" t="inlineStr">
        <is>
          <t>60日CVRが0.8%未満</t>
        </is>
      </c>
      <c r="C26" s="4" t="inlineStr">
        <is>
          <t>Gate2</t>
        </is>
      </c>
      <c r="D26" s="4" t="inlineStr"/>
      <c r="E26" s="4" t="inlineStr"/>
      <c r="F26" s="4" t="inlineStr"/>
    </row>
    <row r="27">
      <c r="A27" s="4" t="n">
        <v>3</v>
      </c>
      <c r="B27" s="4" t="inlineStr">
        <is>
          <t>返品率が5%を超える</t>
        </is>
      </c>
      <c r="C27" s="4" t="inlineStr">
        <is>
          <t>Gate2</t>
        </is>
      </c>
      <c r="D27" s="4" t="inlineStr"/>
      <c r="E27" s="4" t="inlineStr"/>
      <c r="F27" s="4" t="inlineStr"/>
    </row>
    <row r="28">
      <c r="A28" s="4" t="n">
        <v>4</v>
      </c>
      <c r="B28" s="4" t="inlineStr">
        <is>
          <t>広告費50万円投下後も月販30個未満</t>
        </is>
      </c>
      <c r="C28" s="4" t="inlineStr">
        <is>
          <t>Gate2</t>
        </is>
      </c>
      <c r="D28" s="4" t="inlineStr"/>
      <c r="E28" s="4" t="inlineStr"/>
      <c r="F28" s="4" t="inlineStr"/>
    </row>
    <row r="29">
      <c r="A29" s="4" t="n">
        <v>5</v>
      </c>
      <c r="B29" s="4" t="inlineStr">
        <is>
          <t>限界利益率が15%未満</t>
        </is>
      </c>
      <c r="C29" s="4" t="inlineStr">
        <is>
          <t>月次</t>
        </is>
      </c>
      <c r="D29" s="4" t="inlineStr"/>
      <c r="E29" s="4" t="inlineStr"/>
      <c r="F29" s="4" t="inlineStr"/>
    </row>
    <row r="30">
      <c r="A30" s="4" t="n">
        <v>6</v>
      </c>
      <c r="B30" s="4" t="inlineStr">
        <is>
          <t>在庫回転が120日を超える</t>
        </is>
      </c>
      <c r="C30" s="4" t="inlineStr">
        <is>
          <t>月次</t>
        </is>
      </c>
      <c r="D30" s="4" t="inlineStr"/>
      <c r="E30" s="4" t="inlineStr"/>
      <c r="F30" s="4" t="inlineStr"/>
    </row>
    <row r="31">
      <c r="A31" s="4" t="n">
        <v>7</v>
      </c>
      <c r="B31" s="4" t="inlineStr">
        <is>
          <t>営業赤字が2ヶ月連続</t>
        </is>
      </c>
      <c r="C31" s="4" t="inlineStr">
        <is>
          <t>月次</t>
        </is>
      </c>
      <c r="D31" s="4" t="inlineStr"/>
      <c r="E31" s="4" t="inlineStr"/>
      <c r="F31" s="4" t="inlineStr"/>
    </row>
    <row r="32">
      <c r="A32" s="4" t="n">
        <v>8</v>
      </c>
      <c r="B32" s="4" t="inlineStr">
        <is>
          <t>手元キャッシュが固定費3ヶ月分を下回る</t>
        </is>
      </c>
      <c r="C32" s="4" t="inlineStr">
        <is>
          <t>月次</t>
        </is>
      </c>
      <c r="D32" s="4" t="inlineStr"/>
      <c r="E32" s="4" t="inlineStr"/>
      <c r="F32" s="4" t="inlineStr">
        <is>
          <t>即時停止</t>
        </is>
      </c>
    </row>
    <row r="33">
      <c r="A33" s="14" t="inlineStr">
        <is>
          <t>注記</t>
        </is>
      </c>
    </row>
    <row r="34">
      <c r="A34" s="2" t="inlineStr">
        <is>
          <t>Gate0は費用ゼロ。今日から着手できる。ここを飛ばして発注するのが最悪の選択。</t>
        </is>
      </c>
    </row>
    <row r="35">
      <c r="A35" s="2" t="inlineStr">
        <is>
          <t>★現時点の推奨投資上限は Gate4 までの累計 ¥2,200,000（小ロット150個相当）。800個への一括投資は承認しない。</t>
        </is>
      </c>
    </row>
    <row r="36">
      <c r="A36" s="2" t="inlineStr">
        <is>
          <t>Kill Criteria は経営者の感情で動かさない。事前に文書化し、担当者と共有すること。</t>
        </is>
      </c>
    </row>
  </sheetData>
  <mergeCells count="9">
    <mergeCell ref="A2:F2"/>
    <mergeCell ref="A33:F33"/>
    <mergeCell ref="A36:F36"/>
    <mergeCell ref="A14:F14"/>
    <mergeCell ref="A1:F1"/>
    <mergeCell ref="A23:F23"/>
    <mergeCell ref="A34:F34"/>
    <mergeCell ref="A35:F35"/>
    <mergeCell ref="A4:F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4" customWidth="1" min="5" max="5"/>
    <col width="14" customWidth="1" min="6" max="6"/>
    <col width="50" customWidth="1" min="7" max="7"/>
  </cols>
  <sheetData>
    <row r="1">
      <c r="A1" s="83" t="inlineStr">
        <is>
          <t>KPIダッシュボード</t>
        </is>
      </c>
    </row>
    <row r="2">
      <c r="A2" s="2" t="inlineStr">
        <is>
          <t>Daily/Weekly/Monthly を分ける。黄色＝実績入力欄。異常値検知ルールは下部。</t>
        </is>
      </c>
    </row>
    <row r="4">
      <c r="A4" s="14" t="inlineStr">
        <is>
          <t>【Daily】</t>
        </is>
      </c>
    </row>
    <row r="5">
      <c r="A5" s="3" t="inlineStr"/>
      <c r="B5" s="3" t="inlineStr">
        <is>
          <t>指標</t>
        </is>
      </c>
      <c r="C5" s="3" t="inlineStr">
        <is>
          <t>目標</t>
        </is>
      </c>
      <c r="D5" s="3" t="inlineStr">
        <is>
          <t>許容ライン</t>
        </is>
      </c>
      <c r="E5" s="3" t="inlineStr">
        <is>
          <t>実績</t>
        </is>
      </c>
      <c r="F5" s="3" t="inlineStr">
        <is>
          <t>判定</t>
        </is>
      </c>
      <c r="G5" s="3" t="inlineStr">
        <is>
          <t>警告条件・対応</t>
        </is>
      </c>
    </row>
    <row r="6">
      <c r="A6" s="4" t="inlineStr"/>
      <c r="B6" s="4" t="inlineStr">
        <is>
          <t>売上</t>
        </is>
      </c>
      <c r="C6" s="4" t="inlineStr">
        <is>
          <t>—</t>
        </is>
      </c>
      <c r="D6" s="4" t="inlineStr">
        <is>
          <t>—</t>
        </is>
      </c>
      <c r="E6" s="53" t="n"/>
      <c r="F6" s="53" t="n"/>
      <c r="G6" s="4" t="inlineStr">
        <is>
          <t>前日比 −20%で警告</t>
        </is>
      </c>
    </row>
    <row r="7">
      <c r="A7" s="4" t="inlineStr"/>
      <c r="B7" s="4" t="inlineStr">
        <is>
          <t>販売数</t>
        </is>
      </c>
      <c r="C7" s="4" t="inlineStr">
        <is>
          <t>—</t>
        </is>
      </c>
      <c r="D7" s="4" t="inlineStr">
        <is>
          <t>—</t>
        </is>
      </c>
      <c r="E7" s="53" t="n"/>
      <c r="F7" s="53" t="n"/>
      <c r="G7" s="4" t="inlineStr">
        <is>
          <t>前日比 −20%で警告</t>
        </is>
      </c>
    </row>
    <row r="8">
      <c r="A8" s="4" t="inlineStr"/>
      <c r="B8" s="4" t="inlineStr">
        <is>
          <t>広告費</t>
        </is>
      </c>
      <c r="C8" s="4" t="inlineStr">
        <is>
          <t>日額上限を設定</t>
        </is>
      </c>
      <c r="D8" s="4" t="inlineStr">
        <is>
          <t>—</t>
        </is>
      </c>
      <c r="E8" s="53" t="n"/>
      <c r="F8" s="53" t="n"/>
      <c r="G8" s="4" t="inlineStr">
        <is>
          <t>上限超過で自動停止</t>
        </is>
      </c>
    </row>
    <row r="9">
      <c r="A9" s="4" t="inlineStr"/>
      <c r="B9" s="4" t="inlineStr">
        <is>
          <t>CPA</t>
        </is>
      </c>
      <c r="C9" s="4" t="inlineStr">
        <is>
          <t>¥4,500</t>
        </is>
      </c>
      <c r="D9" s="4" t="inlineStr">
        <is>
          <t>¥6,000</t>
        </is>
      </c>
      <c r="E9" s="53" t="n"/>
      <c r="F9" s="53" t="n"/>
      <c r="G9" s="4" t="inlineStr">
        <is>
          <t>+20%で警告</t>
        </is>
      </c>
    </row>
    <row r="10">
      <c r="A10" s="4" t="inlineStr"/>
      <c r="B10" s="4" t="inlineStr">
        <is>
          <t>限界利益ROAS</t>
        </is>
      </c>
      <c r="C10" s="4" t="inlineStr">
        <is>
          <t>2.0以上</t>
        </is>
      </c>
      <c r="D10" s="4" t="inlineStr">
        <is>
          <t>1.0</t>
        </is>
      </c>
      <c r="E10" s="53" t="n"/>
      <c r="F10" s="53" t="n"/>
      <c r="G10" s="4" t="inlineStr">
        <is>
          <t>1.0割れで即停止</t>
        </is>
      </c>
    </row>
    <row r="11">
      <c r="A11" s="4" t="inlineStr"/>
      <c r="B11" s="4" t="inlineStr">
        <is>
          <t>CVR</t>
        </is>
      </c>
      <c r="C11" s="4" t="inlineStr">
        <is>
          <t>—</t>
        </is>
      </c>
      <c r="D11" s="4" t="inlineStr">
        <is>
          <t>—</t>
        </is>
      </c>
      <c r="E11" s="53" t="n"/>
      <c r="F11" s="53" t="n"/>
      <c r="G11" s="4" t="inlineStr">
        <is>
          <t>−20%で警告</t>
        </is>
      </c>
    </row>
    <row r="12">
      <c r="A12" s="4" t="inlineStr"/>
      <c r="B12" s="4" t="inlineStr">
        <is>
          <t>在庫数</t>
        </is>
      </c>
      <c r="C12" s="4" t="inlineStr">
        <is>
          <t>—</t>
        </is>
      </c>
      <c r="D12" s="4" t="inlineStr">
        <is>
          <t>—</t>
        </is>
      </c>
      <c r="E12" s="53" t="n"/>
      <c r="F12" s="53" t="n"/>
      <c r="G12" s="4" t="inlineStr">
        <is>
          <t>SKU別。欠品/滞留の両方を見る</t>
        </is>
      </c>
    </row>
    <row r="14">
      <c r="A14" s="14" t="inlineStr">
        <is>
          <t>【Weekly】</t>
        </is>
      </c>
    </row>
    <row r="15">
      <c r="A15" s="3" t="inlineStr"/>
      <c r="B15" s="3" t="inlineStr">
        <is>
          <t>指標</t>
        </is>
      </c>
      <c r="C15" s="3" t="inlineStr">
        <is>
          <t>目標</t>
        </is>
      </c>
      <c r="D15" s="3" t="inlineStr">
        <is>
          <t>許容ライン</t>
        </is>
      </c>
      <c r="E15" s="3" t="inlineStr">
        <is>
          <t>実績</t>
        </is>
      </c>
      <c r="F15" s="3" t="inlineStr">
        <is>
          <t>判定</t>
        </is>
      </c>
      <c r="G15" s="3" t="inlineStr">
        <is>
          <t>警告条件・対応</t>
        </is>
      </c>
    </row>
    <row r="16">
      <c r="A16" s="4" t="inlineStr"/>
      <c r="B16" s="4" t="inlineStr">
        <is>
          <t>粗利率</t>
        </is>
      </c>
      <c r="C16" s="4" t="inlineStr">
        <is>
          <t>37.2%以上</t>
        </is>
      </c>
      <c r="D16" s="4" t="inlineStr">
        <is>
          <t>—</t>
        </is>
      </c>
      <c r="E16" s="53" t="n"/>
      <c r="F16" s="53" t="n"/>
      <c r="G16" s="4" t="inlineStr">
        <is>
          <t>低下で警告</t>
        </is>
      </c>
    </row>
    <row r="17">
      <c r="A17" s="4" t="inlineStr"/>
      <c r="B17" s="4" t="inlineStr">
        <is>
          <t>限界利益率</t>
        </is>
      </c>
      <c r="C17" s="4" t="inlineStr">
        <is>
          <t>20.3%以上</t>
        </is>
      </c>
      <c r="D17" s="4" t="inlineStr">
        <is>
          <t>15%</t>
        </is>
      </c>
      <c r="E17" s="53" t="n"/>
      <c r="F17" s="53" t="n"/>
      <c r="G17" s="4" t="inlineStr">
        <is>
          <t>15%割れでKill判定</t>
        </is>
      </c>
    </row>
    <row r="18">
      <c r="A18" s="4" t="inlineStr"/>
      <c r="B18" s="4" t="inlineStr">
        <is>
          <t>広告費率</t>
        </is>
      </c>
      <c r="C18" s="4" t="inlineStr">
        <is>
          <t>15%</t>
        </is>
      </c>
      <c r="D18" s="4" t="inlineStr">
        <is>
          <t>20%</t>
        </is>
      </c>
      <c r="E18" s="53" t="n"/>
      <c r="F18" s="53" t="n"/>
      <c r="G18" s="4" t="inlineStr">
        <is>
          <t>20%超で警告</t>
        </is>
      </c>
    </row>
    <row r="19">
      <c r="A19" s="4" t="inlineStr"/>
      <c r="B19" s="4" t="inlineStr">
        <is>
          <t>SKU別売上</t>
        </is>
      </c>
      <c r="C19" s="4" t="inlineStr">
        <is>
          <t>—</t>
        </is>
      </c>
      <c r="D19" s="4" t="inlineStr">
        <is>
          <t>—</t>
        </is>
      </c>
      <c r="E19" s="53" t="n"/>
      <c r="F19" s="53" t="n"/>
      <c r="G19" s="4" t="inlineStr">
        <is>
          <t>死にSKUの特定</t>
        </is>
      </c>
    </row>
    <row r="20">
      <c r="A20" s="4" t="inlineStr"/>
      <c r="B20" s="4" t="inlineStr">
        <is>
          <t>チャネル別売上</t>
        </is>
      </c>
      <c r="C20" s="4" t="inlineStr">
        <is>
          <t>—</t>
        </is>
      </c>
      <c r="D20" s="4" t="inlineStr">
        <is>
          <t>—</t>
        </is>
      </c>
      <c r="E20" s="53" t="n"/>
      <c r="F20" s="53" t="n"/>
      <c r="G20" s="4" t="inlineStr">
        <is>
          <t>広告依存率を必ず見る</t>
        </is>
      </c>
    </row>
    <row r="21">
      <c r="A21" s="4" t="inlineStr"/>
      <c r="B21" s="4" t="inlineStr">
        <is>
          <t>返品率</t>
        </is>
      </c>
      <c r="C21" s="4" t="inlineStr">
        <is>
          <t>≤3%</t>
        </is>
      </c>
      <c r="D21" s="4" t="inlineStr">
        <is>
          <t>5%</t>
        </is>
      </c>
      <c r="E21" s="53" t="n"/>
      <c r="F21" s="53" t="n"/>
      <c r="G21" s="4" t="inlineStr">
        <is>
          <t>+30%で警告</t>
        </is>
      </c>
    </row>
    <row r="22">
      <c r="A22" s="4" t="inlineStr"/>
      <c r="B22" s="4" t="inlineStr">
        <is>
          <t>レビュー件数/評価</t>
        </is>
      </c>
      <c r="C22" s="4" t="inlineStr">
        <is>
          <t>—</t>
        </is>
      </c>
      <c r="D22" s="4" t="inlineStr">
        <is>
          <t>≥4.0</t>
        </is>
      </c>
      <c r="E22" s="53" t="n"/>
      <c r="F22" s="53" t="n"/>
      <c r="G22" s="4" t="inlineStr">
        <is>
          <t>低評価は即対応</t>
        </is>
      </c>
    </row>
    <row r="23">
      <c r="A23" s="4" t="inlineStr"/>
      <c r="B23" s="4" t="inlineStr">
        <is>
          <t>在庫回転日数</t>
        </is>
      </c>
      <c r="C23" s="4" t="inlineStr">
        <is>
          <t>≤90日</t>
        </is>
      </c>
      <c r="D23" s="4" t="inlineStr">
        <is>
          <t>120日</t>
        </is>
      </c>
      <c r="E23" s="53" t="n"/>
      <c r="F23" s="53" t="n"/>
      <c r="G23" s="4" t="inlineStr">
        <is>
          <t>超過で値引き検討</t>
        </is>
      </c>
    </row>
    <row r="25">
      <c r="A25" s="14" t="inlineStr">
        <is>
          <t>【Monthly】</t>
        </is>
      </c>
    </row>
    <row r="26">
      <c r="A26" s="3" t="inlineStr"/>
      <c r="B26" s="3" t="inlineStr">
        <is>
          <t>指標</t>
        </is>
      </c>
      <c r="C26" s="3" t="inlineStr">
        <is>
          <t>目標</t>
        </is>
      </c>
      <c r="D26" s="3" t="inlineStr">
        <is>
          <t>許容ライン</t>
        </is>
      </c>
      <c r="E26" s="3" t="inlineStr">
        <is>
          <t>実績</t>
        </is>
      </c>
      <c r="F26" s="3" t="inlineStr">
        <is>
          <t>判定</t>
        </is>
      </c>
      <c r="G26" s="3" t="inlineStr">
        <is>
          <t>警告条件・対応</t>
        </is>
      </c>
    </row>
    <row r="27">
      <c r="A27" s="4" t="inlineStr"/>
      <c r="B27" s="4" t="inlineStr">
        <is>
          <t>営業利益</t>
        </is>
      </c>
      <c r="C27" s="4" t="inlineStr">
        <is>
          <t>黒字</t>
        </is>
      </c>
      <c r="D27" s="4" t="inlineStr">
        <is>
          <t>—</t>
        </is>
      </c>
      <c r="E27" s="53" t="n"/>
      <c r="F27" s="53" t="n"/>
      <c r="G27" s="4" t="inlineStr">
        <is>
          <t>2ヶ月連続赤字でKill判定</t>
        </is>
      </c>
    </row>
    <row r="28">
      <c r="A28" s="4" t="inlineStr"/>
      <c r="B28" s="4" t="inlineStr">
        <is>
          <t>キャッシュ残高</t>
        </is>
      </c>
      <c r="C28" s="4" t="inlineStr">
        <is>
          <t>—</t>
        </is>
      </c>
      <c r="D28" s="4" t="inlineStr">
        <is>
          <t>固定費3ヶ月分</t>
        </is>
      </c>
      <c r="E28" s="53" t="n"/>
      <c r="F28" s="53" t="n"/>
      <c r="G28" s="4" t="inlineStr">
        <is>
          <t>下回ったら即時停止</t>
        </is>
      </c>
    </row>
    <row r="29">
      <c r="A29" s="4" t="inlineStr"/>
      <c r="B29" s="4" t="inlineStr">
        <is>
          <t>LTV</t>
        </is>
      </c>
      <c r="C29" s="4" t="inlineStr">
        <is>
          <t>—</t>
        </is>
      </c>
      <c r="D29" s="4" t="inlineStr">
        <is>
          <t>—</t>
        </is>
      </c>
      <c r="E29" s="53" t="n"/>
      <c r="F29" s="53" t="n"/>
      <c r="G29" s="4" t="inlineStr">
        <is>
          <t>低頻度商材のため初回≒LTV</t>
        </is>
      </c>
    </row>
    <row r="30">
      <c r="A30" s="4" t="inlineStr"/>
      <c r="B30" s="4" t="inlineStr">
        <is>
          <t>CAC</t>
        </is>
      </c>
      <c r="C30" s="4" t="inlineStr">
        <is>
          <t>¥4,500</t>
        </is>
      </c>
      <c r="D30" s="4" t="inlineStr">
        <is>
          <t>¥6,000</t>
        </is>
      </c>
      <c r="E30" s="53" t="n"/>
      <c r="F30" s="53" t="n"/>
      <c r="G30" s="4" t="inlineStr"/>
    </row>
    <row r="31">
      <c r="A31" s="4" t="inlineStr"/>
      <c r="B31" s="4" t="inlineStr">
        <is>
          <t>LTV/CAC（限界利益ベース）</t>
        </is>
      </c>
      <c r="C31" s="4" t="inlineStr">
        <is>
          <t>≥2.0</t>
        </is>
      </c>
      <c r="D31" s="4" t="inlineStr">
        <is>
          <t>1.0</t>
        </is>
      </c>
      <c r="E31" s="53" t="n"/>
      <c r="F31" s="53" t="n"/>
      <c r="G31" s="4" t="inlineStr">
        <is>
          <t>現状1.2は危険水準</t>
        </is>
      </c>
    </row>
    <row r="32">
      <c r="A32" s="4" t="inlineStr"/>
      <c r="B32" s="4" t="inlineStr">
        <is>
          <t>固定費</t>
        </is>
      </c>
      <c r="C32" s="4" t="inlineStr">
        <is>
          <t>≤¥420,750</t>
        </is>
      </c>
      <c r="D32" s="4" t="inlineStr">
        <is>
          <t>—</t>
        </is>
      </c>
      <c r="E32" s="53" t="n"/>
      <c r="F32" s="53" t="n"/>
      <c r="G32" s="4" t="inlineStr">
        <is>
          <t>黒字化まで増やさない</t>
        </is>
      </c>
    </row>
    <row r="33">
      <c r="A33" s="4" t="inlineStr"/>
      <c r="B33" s="4" t="inlineStr">
        <is>
          <t>人件費率</t>
        </is>
      </c>
      <c r="C33" s="4" t="inlineStr">
        <is>
          <t>—</t>
        </is>
      </c>
      <c r="D33" s="4" t="inlineStr">
        <is>
          <t>—</t>
        </is>
      </c>
      <c r="E33" s="53" t="n"/>
      <c r="F33" s="53" t="n"/>
      <c r="G33" s="4" t="inlineStr">
        <is>
          <t>売上比で管理</t>
        </is>
      </c>
    </row>
    <row r="34">
      <c r="A34" s="4" t="inlineStr"/>
      <c r="B34" s="4" t="inlineStr">
        <is>
          <t>在庫評価額</t>
        </is>
      </c>
      <c r="C34" s="4" t="inlineStr">
        <is>
          <t>—</t>
        </is>
      </c>
      <c r="D34" s="4" t="inlineStr">
        <is>
          <t>—</t>
        </is>
      </c>
      <c r="E34" s="53" t="n"/>
      <c r="F34" s="53" t="n"/>
      <c r="G34" s="4" t="inlineStr">
        <is>
          <t>滞留分は評価減を計上</t>
        </is>
      </c>
    </row>
    <row r="36">
      <c r="A36" s="14" t="inlineStr">
        <is>
          <t>異常値検知ルール（原因候補 → 確認データ → 対策）</t>
        </is>
      </c>
    </row>
    <row r="37">
      <c r="A37" s="2" t="inlineStr">
        <is>
          <t>CPA +20%以上 → 入札競合増／クリエイティブ疲弊／LP不調 → 媒体別CPA・CTR・CVR → クリエイティブ差替、入札上限設定</t>
        </is>
      </c>
    </row>
    <row r="38">
      <c r="A38" s="2" t="inlineStr">
        <is>
          <t>CVR −20%以上 → LP改変／欠品／価格改定／競合値下げ → LP解析・在庫・競合価格 → 直前の変更を戻す</t>
        </is>
      </c>
    </row>
    <row r="39">
      <c r="A39" s="2" t="inlineStr">
        <is>
          <t>売上 −20%以上 → 広告停止／季節要因／アカウント制限 → 媒体アカウント状態・前年同月 → 原因特定まで広告増額しない</t>
        </is>
      </c>
    </row>
    <row r="40">
      <c r="A40" s="2" t="inlineStr">
        <is>
          <t>返品率 +30%以上 → 品質不良ロット／サイズ誤認 → 返品理由の分類 → 該当ロット出荷停止</t>
        </is>
      </c>
    </row>
    <row r="41">
      <c r="A41" s="2" t="inlineStr">
        <is>
          <t>在庫回転 悪化 → 過剰発注／SKUミスマッチ → SKU別回転日数 → 追加発注停止、値引き計画</t>
        </is>
      </c>
    </row>
    <row r="42">
      <c r="A42" s="2" t="inlineStr">
        <is>
          <t>粗利率 低下 → 値引き／手数料増／為替 → 06_Unit Economics を再計算 → 値引き停止または売価改定</t>
        </is>
      </c>
    </row>
    <row r="43">
      <c r="A43" s="2" t="inlineStr">
        <is>
          <t>広告費率 上昇 → CPA悪化／客単価低下 → 媒体別・SKU別の広告費率 → 20%超の媒体を停止</t>
        </is>
      </c>
    </row>
  </sheetData>
  <mergeCells count="13">
    <mergeCell ref="A36:G36"/>
    <mergeCell ref="A14:G14"/>
    <mergeCell ref="A1:G1"/>
    <mergeCell ref="A40:G40"/>
    <mergeCell ref="A39:G39"/>
    <mergeCell ref="A4:G4"/>
    <mergeCell ref="A38:G38"/>
    <mergeCell ref="A2:G2"/>
    <mergeCell ref="A25:G25"/>
    <mergeCell ref="A43:G43"/>
    <mergeCell ref="A41:G41"/>
    <mergeCell ref="A42:G42"/>
    <mergeCell ref="A37:G3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22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>
      <c r="A1" s="83" t="inlineStr">
        <is>
          <t>30日アクションプラン（RACI・ICE）</t>
        </is>
      </c>
    </row>
    <row r="2">
      <c r="A2" s="2" t="inlineStr">
        <is>
          <t>R=実行 A=最終責任／ICE=Impact×Confidence×Ease（各1-10）。「みんなでやる」は禁止。責任者は必ず1名。</t>
        </is>
      </c>
    </row>
    <row r="4">
      <c r="A4" s="3" t="inlineStr">
        <is>
          <t>優</t>
        </is>
      </c>
      <c r="B4" s="3" t="inlineStr">
        <is>
          <t>タスク</t>
        </is>
      </c>
      <c r="C4" s="3" t="inlineStr">
        <is>
          <t>目的</t>
        </is>
      </c>
      <c r="D4" s="3" t="inlineStr">
        <is>
          <t>R(実行)</t>
        </is>
      </c>
      <c r="E4" s="3" t="inlineStr">
        <is>
          <t>A(責任)</t>
        </is>
      </c>
      <c r="F4" s="3" t="inlineStr">
        <is>
          <t>開始</t>
        </is>
      </c>
      <c r="G4" s="3" t="inlineStr">
        <is>
          <t>期限</t>
        </is>
      </c>
      <c r="H4" s="3" t="inlineStr">
        <is>
          <t>KPI/完了条件</t>
        </is>
      </c>
      <c r="I4" s="3" t="inlineStr">
        <is>
          <t>状態</t>
        </is>
      </c>
      <c r="J4" s="3" t="inlineStr">
        <is>
          <t>次回アクション</t>
        </is>
      </c>
      <c r="K4" s="3" t="inlineStr">
        <is>
          <t>I</t>
        </is>
      </c>
      <c r="L4" s="3" t="inlineStr">
        <is>
          <t>C</t>
        </is>
      </c>
      <c r="M4" s="3" t="inlineStr">
        <is>
          <t>E</t>
        </is>
      </c>
      <c r="N4" s="3" t="inlineStr">
        <is>
          <t>ICE</t>
        </is>
      </c>
    </row>
    <row r="5">
      <c r="A5" s="55" t="n">
        <v>1</v>
      </c>
      <c r="B5" s="15" t="inlineStr">
        <is>
          <t>800個の発注を一旦保留する</t>
        </is>
      </c>
      <c r="C5" s="15" t="inlineStr">
        <is>
          <t>最大リスクの回避</t>
        </is>
      </c>
      <c r="D5" s="15" t="inlineStr">
        <is>
          <t>北野</t>
        </is>
      </c>
      <c r="E5" s="15" t="inlineStr">
        <is>
          <t>北野</t>
        </is>
      </c>
      <c r="F5" s="15" t="inlineStr">
        <is>
          <t>9/11</t>
        </is>
      </c>
      <c r="G5" s="15" t="inlineStr">
        <is>
          <t>9/11</t>
        </is>
      </c>
      <c r="H5" s="15" t="inlineStr">
        <is>
          <t>サプライヤーへ保留連絡済み</t>
        </is>
      </c>
      <c r="I5" s="15" t="inlineStr">
        <is>
          <t>未着手</t>
        </is>
      </c>
      <c r="J5" s="15" t="inlineStr">
        <is>
          <t>Gate4まで凍結</t>
        </is>
      </c>
      <c r="K5" s="55" t="n">
        <v>10</v>
      </c>
      <c r="L5" s="55" t="n">
        <v>10</v>
      </c>
      <c r="M5" s="55" t="n">
        <v>10</v>
      </c>
      <c r="N5" s="58">
        <f>K5*L5*M5</f>
        <v>1000</v>
      </c>
    </row>
    <row r="6">
      <c r="A6" s="55" t="n">
        <v>2</v>
      </c>
      <c r="B6" s="15" t="inlineStr">
        <is>
          <t>モール実手数料を契約書で確定</t>
        </is>
      </c>
      <c r="C6" s="15" t="inlineStr">
        <is>
          <t>4%前提が崩れないか確認</t>
        </is>
      </c>
      <c r="D6" s="15" t="inlineStr">
        <is>
          <t>北野</t>
        </is>
      </c>
      <c r="E6" s="15" t="inlineStr">
        <is>
          <t>北野</t>
        </is>
      </c>
      <c r="F6" s="15" t="inlineStr">
        <is>
          <t>9/11</t>
        </is>
      </c>
      <c r="G6" s="15" t="inlineStr">
        <is>
          <t>9/15</t>
        </is>
      </c>
      <c r="H6" s="15" t="inlineStr">
        <is>
          <t>3チャネルの実負担率を数値化</t>
        </is>
      </c>
      <c r="I6" s="15" t="inlineStr">
        <is>
          <t>未着手</t>
        </is>
      </c>
      <c r="J6" s="15" t="inlineStr">
        <is>
          <t>02/06シート更新</t>
        </is>
      </c>
      <c r="K6" s="55" t="n">
        <v>10</v>
      </c>
      <c r="L6" s="55" t="n">
        <v>9</v>
      </c>
      <c r="M6" s="55" t="n">
        <v>9</v>
      </c>
      <c r="N6" s="58">
        <f>K6*L6*M6</f>
        <v>810</v>
      </c>
    </row>
    <row r="7">
      <c r="A7" s="55" t="n">
        <v>3</v>
      </c>
      <c r="B7" s="15" t="inlineStr">
        <is>
          <t>Kill Criteria を文書化し全員共有</t>
        </is>
      </c>
      <c r="C7" s="15" t="inlineStr">
        <is>
          <t>感情での継続を防ぐ</t>
        </is>
      </c>
      <c r="D7" s="15" t="inlineStr">
        <is>
          <t>北野</t>
        </is>
      </c>
      <c r="E7" s="15" t="inlineStr">
        <is>
          <t>北野</t>
        </is>
      </c>
      <c r="F7" s="15" t="inlineStr">
        <is>
          <t>9/11</t>
        </is>
      </c>
      <c r="G7" s="15" t="inlineStr">
        <is>
          <t>9/13</t>
        </is>
      </c>
      <c r="H7" s="15" t="inlineStr">
        <is>
          <t>署名付きの撤退基準文書</t>
        </is>
      </c>
      <c r="I7" s="15" t="inlineStr">
        <is>
          <t>未着手</t>
        </is>
      </c>
      <c r="J7" s="15" t="inlineStr">
        <is>
          <t>月次レビュー</t>
        </is>
      </c>
      <c r="K7" s="55" t="n">
        <v>8</v>
      </c>
      <c r="L7" s="55" t="n">
        <v>10</v>
      </c>
      <c r="M7" s="55" t="n">
        <v>10</v>
      </c>
      <c r="N7" s="58">
        <f>K7*L7*M7</f>
        <v>800</v>
      </c>
    </row>
    <row r="8">
      <c r="A8" s="55" t="n">
        <v>4</v>
      </c>
      <c r="B8" s="15" t="inlineStr">
        <is>
          <t>手元キャッシュと資金繰り表を作る</t>
        </is>
      </c>
      <c r="C8" s="15" t="inlineStr">
        <is>
          <t>1,420万円を出せるか判定</t>
        </is>
      </c>
      <c r="D8" s="15" t="inlineStr">
        <is>
          <t>北野</t>
        </is>
      </c>
      <c r="E8" s="15" t="inlineStr">
        <is>
          <t>北野</t>
        </is>
      </c>
      <c r="F8" s="15" t="inlineStr">
        <is>
          <t>9/11</t>
        </is>
      </c>
      <c r="G8" s="15" t="inlineStr">
        <is>
          <t>9/15</t>
        </is>
      </c>
      <c r="H8" s="15" t="inlineStr">
        <is>
          <t>月次資金繰り表12ヶ月分</t>
        </is>
      </c>
      <c r="I8" s="15" t="inlineStr">
        <is>
          <t>未着手</t>
        </is>
      </c>
      <c r="J8" s="15" t="inlineStr">
        <is>
          <t>11シート更新</t>
        </is>
      </c>
      <c r="K8" s="55" t="n">
        <v>10</v>
      </c>
      <c r="L8" s="55" t="n">
        <v>10</v>
      </c>
      <c r="M8" s="55" t="n">
        <v>8</v>
      </c>
      <c r="N8" s="58">
        <f>K8*L8*M8</f>
        <v>800</v>
      </c>
    </row>
    <row r="9">
      <c r="A9" s="23" t="n">
        <v>5</v>
      </c>
      <c r="B9" s="4" t="inlineStr">
        <is>
          <t>関税・国際送料・倉庫費の実見積</t>
        </is>
      </c>
      <c r="C9" s="4" t="inlineStr">
        <is>
          <t>未算入コストを潰す</t>
        </is>
      </c>
      <c r="D9" s="4" t="inlineStr">
        <is>
          <t>要任命</t>
        </is>
      </c>
      <c r="E9" s="4" t="inlineStr">
        <is>
          <t>北野</t>
        </is>
      </c>
      <c r="F9" s="4" t="inlineStr">
        <is>
          <t>9/11</t>
        </is>
      </c>
      <c r="G9" s="4" t="inlineStr">
        <is>
          <t>9/18</t>
        </is>
      </c>
      <c r="H9" s="4" t="inlineStr">
        <is>
          <t>800個ベースの円/個が確定</t>
        </is>
      </c>
      <c r="I9" s="4" t="inlineStr">
        <is>
          <t>未着手</t>
        </is>
      </c>
      <c r="J9" s="4" t="inlineStr">
        <is>
          <t>02シート更新</t>
        </is>
      </c>
      <c r="K9" s="23" t="n">
        <v>10</v>
      </c>
      <c r="L9" s="23" t="n">
        <v>8</v>
      </c>
      <c r="M9" s="23" t="n">
        <v>8</v>
      </c>
      <c r="N9" s="43">
        <f>K9*L9*M9</f>
        <v>640</v>
      </c>
    </row>
    <row r="10">
      <c r="A10" s="23" t="n">
        <v>6</v>
      </c>
      <c r="B10" s="4" t="inlineStr">
        <is>
          <t>過去の販売実績・CPA・CVRを集計</t>
        </is>
      </c>
      <c r="C10" s="4" t="inlineStr">
        <is>
          <t>全前提の検証</t>
        </is>
      </c>
      <c r="D10" s="4" t="inlineStr">
        <is>
          <t>要任命</t>
        </is>
      </c>
      <c r="E10" s="4" t="inlineStr">
        <is>
          <t>北野</t>
        </is>
      </c>
      <c r="F10" s="4" t="inlineStr">
        <is>
          <t>9/11</t>
        </is>
      </c>
      <c r="G10" s="4" t="inlineStr">
        <is>
          <t>9/16</t>
        </is>
      </c>
      <c r="H10" s="4" t="inlineStr">
        <is>
          <t>SKU別・媒体別の月次実績</t>
        </is>
      </c>
      <c r="I10" s="4" t="inlineStr">
        <is>
          <t>未着手</t>
        </is>
      </c>
      <c r="J10" s="4" t="inlineStr">
        <is>
          <t>02/07/08シート更新</t>
        </is>
      </c>
      <c r="K10" s="23" t="n">
        <v>10</v>
      </c>
      <c r="L10" s="23" t="n">
        <v>9</v>
      </c>
      <c r="M10" s="23" t="n">
        <v>7</v>
      </c>
      <c r="N10" s="43">
        <f>K10*L10*M10</f>
        <v>630</v>
      </c>
    </row>
    <row r="11">
      <c r="A11" s="23" t="n">
        <v>7</v>
      </c>
      <c r="B11" s="4" t="inlineStr">
        <is>
          <t>L の予約販売ページを公開</t>
        </is>
      </c>
      <c r="C11" s="4" t="inlineStr">
        <is>
          <t>在庫ゼロで実需を測る</t>
        </is>
      </c>
      <c r="D11" s="4" t="inlineStr">
        <is>
          <t>要任命</t>
        </is>
      </c>
      <c r="E11" s="4" t="inlineStr">
        <is>
          <t>北野</t>
        </is>
      </c>
      <c r="F11" s="4" t="inlineStr">
        <is>
          <t>9/11</t>
        </is>
      </c>
      <c r="G11" s="4" t="inlineStr">
        <is>
          <t>9/18</t>
        </is>
      </c>
      <c r="H11" s="4" t="inlineStr">
        <is>
          <t>14日間の予約件数</t>
        </is>
      </c>
      <c r="I11" s="4" t="inlineStr">
        <is>
          <t>未着手</t>
        </is>
      </c>
      <c r="J11" s="4" t="inlineStr">
        <is>
          <t>Gate1判定</t>
        </is>
      </c>
      <c r="K11" s="23" t="n">
        <v>9</v>
      </c>
      <c r="L11" s="23" t="n">
        <v>8</v>
      </c>
      <c r="M11" s="23" t="n">
        <v>8</v>
      </c>
      <c r="N11" s="43">
        <f>K11*L11*M11</f>
        <v>576</v>
      </c>
    </row>
    <row r="12">
      <c r="A12" s="23" t="n">
        <v>8</v>
      </c>
      <c r="B12" s="4" t="inlineStr">
        <is>
          <t>分割発注（100〜150個）の条件を取る</t>
        </is>
      </c>
      <c r="C12" s="4" t="inlineStr">
        <is>
          <t>在庫リスクを1/5に</t>
        </is>
      </c>
      <c r="D12" s="4" t="inlineStr">
        <is>
          <t>北野</t>
        </is>
      </c>
      <c r="E12" s="4" t="inlineStr">
        <is>
          <t>北野</t>
        </is>
      </c>
      <c r="F12" s="4" t="inlineStr">
        <is>
          <t>9/11</t>
        </is>
      </c>
      <c r="G12" s="4" t="inlineStr">
        <is>
          <t>9/25</t>
        </is>
      </c>
      <c r="H12" s="4" t="inlineStr">
        <is>
          <t>分割時の単価・最低ロット</t>
        </is>
      </c>
      <c r="I12" s="4" t="inlineStr">
        <is>
          <t>未着手</t>
        </is>
      </c>
      <c r="J12" s="4" t="inlineStr">
        <is>
          <t>Gate3判定</t>
        </is>
      </c>
      <c r="K12" s="23" t="n">
        <v>9</v>
      </c>
      <c r="L12" s="23" t="n">
        <v>8</v>
      </c>
      <c r="M12" s="23" t="n">
        <v>7</v>
      </c>
      <c r="N12" s="43">
        <f>K12*L12*M12</f>
        <v>504</v>
      </c>
    </row>
    <row r="13">
      <c r="A13" s="23" t="n">
        <v>9</v>
      </c>
      <c r="B13" s="4" t="inlineStr">
        <is>
          <t>KPIダッシュボードを日次運用に乗せる</t>
        </is>
      </c>
      <c r="C13" s="4" t="inlineStr">
        <is>
          <t>異常の早期検知</t>
        </is>
      </c>
      <c r="D13" s="4" t="inlineStr">
        <is>
          <t>要任命</t>
        </is>
      </c>
      <c r="E13" s="4" t="inlineStr">
        <is>
          <t>北野</t>
        </is>
      </c>
      <c r="F13" s="4" t="inlineStr">
        <is>
          <t>9/15</t>
        </is>
      </c>
      <c r="G13" s="4" t="inlineStr">
        <is>
          <t>9/30</t>
        </is>
      </c>
      <c r="H13" s="4" t="inlineStr">
        <is>
          <t>Daily7指標が毎朝見える</t>
        </is>
      </c>
      <c r="I13" s="4" t="inlineStr">
        <is>
          <t>未着手</t>
        </is>
      </c>
      <c r="J13" s="4" t="inlineStr">
        <is>
          <t>週次レビュー</t>
        </is>
      </c>
      <c r="K13" s="23" t="n">
        <v>8</v>
      </c>
      <c r="L13" s="23" t="n">
        <v>9</v>
      </c>
      <c r="M13" s="23" t="n">
        <v>7</v>
      </c>
      <c r="N13" s="43">
        <f>K13*L13*M13</f>
        <v>504</v>
      </c>
    </row>
    <row r="14">
      <c r="A14" s="23" t="n">
        <v>10</v>
      </c>
      <c r="B14" s="4" t="inlineStr">
        <is>
          <t>広告テスト（日額5,000円×30日）</t>
        </is>
      </c>
      <c r="C14" s="4" t="inlineStr">
        <is>
          <t>実CPAの取得</t>
        </is>
      </c>
      <c r="D14" s="4" t="inlineStr">
        <is>
          <t>要任命</t>
        </is>
      </c>
      <c r="E14" s="4" t="inlineStr">
        <is>
          <t>北野</t>
        </is>
      </c>
      <c r="F14" s="4" t="inlineStr">
        <is>
          <t>9/18</t>
        </is>
      </c>
      <c r="G14" s="4" t="inlineStr">
        <is>
          <t>10/18</t>
        </is>
      </c>
      <c r="H14" s="4" t="inlineStr">
        <is>
          <t>CV≥10件 CPA≤6,000</t>
        </is>
      </c>
      <c r="I14" s="4" t="inlineStr">
        <is>
          <t>未着手</t>
        </is>
      </c>
      <c r="J14" s="4" t="inlineStr">
        <is>
          <t>Gate1判定</t>
        </is>
      </c>
      <c r="K14" s="23" t="n">
        <v>9</v>
      </c>
      <c r="L14" s="23" t="n">
        <v>7</v>
      </c>
      <c r="M14" s="23" t="n">
        <v>7</v>
      </c>
      <c r="N14" s="23">
        <f>K14*L14*M14</f>
        <v>441</v>
      </c>
    </row>
    <row r="15">
      <c r="A15" s="23" t="n">
        <v>11</v>
      </c>
      <c r="B15" s="4" t="inlineStr">
        <is>
          <t>800個の仕入単価を交渉</t>
        </is>
      </c>
      <c r="C15" s="4" t="inlineStr">
        <is>
          <t>▲20%で損益分岐78→50個</t>
        </is>
      </c>
      <c r="D15" s="4" t="inlineStr">
        <is>
          <t>北野</t>
        </is>
      </c>
      <c r="E15" s="4" t="inlineStr">
        <is>
          <t>北野</t>
        </is>
      </c>
      <c r="F15" s="4" t="inlineStr">
        <is>
          <t>9/11</t>
        </is>
      </c>
      <c r="G15" s="4" t="inlineStr">
        <is>
          <t>9/25</t>
        </is>
      </c>
      <c r="H15" s="4" t="inlineStr">
        <is>
          <t>数量別単価の書面回答</t>
        </is>
      </c>
      <c r="I15" s="4" t="inlineStr">
        <is>
          <t>未着手</t>
        </is>
      </c>
      <c r="J15" s="4" t="inlineStr">
        <is>
          <t>再審査</t>
        </is>
      </c>
      <c r="K15" s="23" t="n">
        <v>10</v>
      </c>
      <c r="L15" s="23" t="n">
        <v>7</v>
      </c>
      <c r="M15" s="23" t="n">
        <v>6</v>
      </c>
      <c r="N15" s="23">
        <f>K15*L15*M15</f>
        <v>420</v>
      </c>
    </row>
    <row r="16">
      <c r="A16" s="23" t="n">
        <v>12</v>
      </c>
      <c r="B16" s="4" t="inlineStr">
        <is>
          <t>返品ポリシーとサイズ比較コンテンツ整備</t>
        </is>
      </c>
      <c r="C16" s="4" t="inlineStr">
        <is>
          <t>CVR改善と返品抑制</t>
        </is>
      </c>
      <c r="D16" s="4" t="inlineStr">
        <is>
          <t>要任命</t>
        </is>
      </c>
      <c r="E16" s="4" t="inlineStr">
        <is>
          <t>北野</t>
        </is>
      </c>
      <c r="F16" s="4" t="inlineStr">
        <is>
          <t>9/18</t>
        </is>
      </c>
      <c r="G16" s="4" t="inlineStr">
        <is>
          <t>10/05</t>
        </is>
      </c>
      <c r="H16" s="4" t="inlineStr">
        <is>
          <t>LPに実測重量・容量比較を掲載</t>
        </is>
      </c>
      <c r="I16" s="4" t="inlineStr">
        <is>
          <t>未着手</t>
        </is>
      </c>
      <c r="J16" s="4" t="inlineStr">
        <is>
          <t>CVR計測</t>
        </is>
      </c>
      <c r="K16" s="23" t="n">
        <v>7</v>
      </c>
      <c r="L16" s="23" t="n">
        <v>7</v>
      </c>
      <c r="M16" s="23" t="n">
        <v>8</v>
      </c>
      <c r="N16" s="23">
        <f>K16*L16*M16</f>
        <v>392</v>
      </c>
    </row>
    <row r="18">
      <c r="A18" s="14" t="inlineStr">
        <is>
          <t>今はやらないこと（重要だが今ではない）</t>
        </is>
      </c>
    </row>
    <row r="19">
      <c r="A19" s="49" t="inlineStr">
        <is>
          <t>1. 800個の一括発注 — Gate4を突破するまで凍結。サンクコスト（既払マーケ費・既存在庫）は判断材料にしない。</t>
        </is>
      </c>
    </row>
    <row r="20">
      <c r="A20" s="49" t="inlineStr">
        <is>
          <t>2. 人の増員 — 固定費は黒字化まで増やさない。「人を増やせば解決」は現時点で根拠がない。</t>
        </is>
      </c>
    </row>
    <row r="21">
      <c r="A21" s="49" t="inlineStr">
        <is>
          <t>3. 新チャネル・新SKUの追加 — 既存SKUのCPA・CVRが成立していない段階で広げない。</t>
        </is>
      </c>
    </row>
    <row r="22">
      <c r="A22" s="49" t="inlineStr">
        <is>
          <t>4. 大型の広告増額 — Gate1/2の実測CPAが出るまで日額5,000円を超えない。</t>
        </is>
      </c>
    </row>
    <row r="24">
      <c r="A24" s="14" t="inlineStr">
        <is>
          <t>確認日</t>
        </is>
      </c>
    </row>
    <row r="25">
      <c r="A25" s="59" t="inlineStr">
        <is>
          <t>9/18（Gate0判定）／10/11（Gate1判定）／11/10（Gate2判定）／12/10（Gate3判定）／毎週月曜 KPIレビュー</t>
        </is>
      </c>
    </row>
  </sheetData>
  <mergeCells count="9">
    <mergeCell ref="A18:N18"/>
    <mergeCell ref="A22:N22"/>
    <mergeCell ref="A20:N20"/>
    <mergeCell ref="A21:N21"/>
    <mergeCell ref="A2:N2"/>
    <mergeCell ref="A24:N24"/>
    <mergeCell ref="A25:N25"/>
    <mergeCell ref="A19:N19"/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54" customWidth="1" min="4" max="4"/>
  </cols>
  <sheetData>
    <row r="1">
      <c r="A1" s="83" t="inlineStr">
        <is>
          <t>プレモーテム・成功要因・最終採点</t>
        </is>
      </c>
    </row>
    <row r="2">
      <c r="A2" s="2" t="inlineStr">
        <is>
          <t>「12ヶ月後に失敗した」と仮定して理由を先に出す。次に「想定以上に成功した」要因を再現条件として抽出する。</t>
        </is>
      </c>
    </row>
    <row r="4">
      <c r="A4" s="14" t="inlineStr">
        <is>
          <t>プレモーテム：12ヶ月後、この事業は失敗した。その理由15個</t>
        </is>
      </c>
    </row>
    <row r="5">
      <c r="A5" s="3" t="inlineStr">
        <is>
          <t>No</t>
        </is>
      </c>
      <c r="B5" s="3" t="inlineStr">
        <is>
          <t>失敗理由</t>
        </is>
      </c>
      <c r="C5" s="3" t="inlineStr">
        <is>
          <t>分類</t>
        </is>
      </c>
      <c r="D5" s="3" t="inlineStr">
        <is>
          <t>対応</t>
        </is>
      </c>
    </row>
    <row r="6">
      <c r="A6" s="4" t="n">
        <v>1</v>
      </c>
      <c r="B6" s="4" t="inlineStr">
        <is>
          <t>800個の在庫が捌けず、半額処分で約271万円の損失を出した</t>
        </is>
      </c>
      <c r="C6" s="4" t="inlineStr">
        <is>
          <t>今防げる</t>
        </is>
      </c>
      <c r="D6" s="4" t="inlineStr">
        <is>
          <t>分割発注に切替／予約販売で需要を先に測る</t>
        </is>
      </c>
    </row>
    <row r="7">
      <c r="A7" s="4" t="n">
        <v>2</v>
      </c>
      <c r="B7" s="48" t="inlineStr">
        <is>
          <t>CPAが6,000円を超え続け、広告を止めたら売上がほぼゼロになった</t>
        </is>
      </c>
      <c r="C7" s="4" t="inlineStr">
        <is>
          <t>今防げる</t>
        </is>
      </c>
      <c r="D7" s="4" t="inlineStr">
        <is>
          <t>小ロットで実CPAを測ってから増資</t>
        </is>
      </c>
    </row>
    <row r="8">
      <c r="A8" s="4" t="n">
        <v>3</v>
      </c>
      <c r="B8" s="4" t="inlineStr">
        <is>
          <t>モール手数料が実は12%で、限界利益が想定の6割しかなかった</t>
        </is>
      </c>
      <c r="C8" s="4" t="inlineStr">
        <is>
          <t>今防げる</t>
        </is>
      </c>
      <c r="D8" s="4" t="inlineStr">
        <is>
          <t>契約書で実負担率を確定（Gate0）</t>
        </is>
      </c>
    </row>
    <row r="9">
      <c r="A9" s="4" t="n">
        <v>4</v>
      </c>
      <c r="B9" s="48" t="inlineStr">
        <is>
          <t>関税・国際送料・倉庫費が1個1,500円かかり、損益分岐が108個/月に跳ねた</t>
        </is>
      </c>
      <c r="C9" s="4" t="inlineStr">
        <is>
          <t>今防げる</t>
        </is>
      </c>
      <c r="D9" s="4" t="inlineStr">
        <is>
          <t>通関業者・3PLに事前見積（Gate0）</t>
        </is>
      </c>
    </row>
    <row r="10">
      <c r="A10" s="4" t="n">
        <v>5</v>
      </c>
      <c r="B10" s="4" t="inlineStr">
        <is>
          <t>仕入代金の支払いで資金が尽き、広告を打てなくなった</t>
        </is>
      </c>
      <c r="C10" s="4" t="inlineStr">
        <is>
          <t>今防げる</t>
        </is>
      </c>
      <c r="D10" s="4" t="inlineStr">
        <is>
          <t>資金繰り表で最大運転資金を先に確定</t>
        </is>
      </c>
    </row>
    <row r="11">
      <c r="A11" s="4" t="n">
        <v>6</v>
      </c>
      <c r="B11" s="4" t="inlineStr">
        <is>
          <t>月58個すら売れず、固定費だけが毎月42万円流出し続けた</t>
        </is>
      </c>
      <c r="C11" s="4" t="inlineStr">
        <is>
          <t>今防げる</t>
        </is>
      </c>
      <c r="D11" s="4" t="inlineStr">
        <is>
          <t>Gate方式で段階投資。未達なら次を出さない</t>
        </is>
      </c>
    </row>
    <row r="12">
      <c r="A12" s="4" t="n">
        <v>7</v>
      </c>
      <c r="B12" s="4" t="inlineStr">
        <is>
          <t>担当者が退職し、運用が経営者に全部戻ってきた</t>
        </is>
      </c>
      <c r="C12" s="4" t="inlineStr">
        <is>
          <t>今防げる</t>
        </is>
      </c>
      <c r="D12" s="4" t="inlineStr">
        <is>
          <t>SOP化・責任者の明文化（17_Action Plan）</t>
        </is>
      </c>
    </row>
    <row r="13">
      <c r="A13" s="4" t="n">
        <v>8</v>
      </c>
      <c r="B13" s="4" t="inlineStr">
        <is>
          <t>L の需要が想定より小さく、L在庫だけが丸ごと残った</t>
        </is>
      </c>
      <c r="C13" s="4" t="inlineStr">
        <is>
          <t>今防げる</t>
        </is>
      </c>
      <c r="D13" s="4" t="inlineStr">
        <is>
          <t>予約販売で実需確認してから発注</t>
        </is>
      </c>
    </row>
    <row r="14">
      <c r="A14" s="4" t="n">
        <v>9</v>
      </c>
      <c r="B14" s="4" t="inlineStr">
        <is>
          <t>季節性を読み違え、閑散期に在庫が積み上がった</t>
        </is>
      </c>
      <c r="C14" s="4" t="inlineStr">
        <is>
          <t>今防げる</t>
        </is>
      </c>
      <c r="D14" s="4" t="inlineStr">
        <is>
          <t>需要の山谷を月次で分解してから発注量を決める</t>
        </is>
      </c>
    </row>
    <row r="15">
      <c r="A15" s="4" t="n">
        <v>10</v>
      </c>
      <c r="B15" s="4" t="inlineStr">
        <is>
          <t>サンクコストに引きずられ、赤字なのに撤退できなかった</t>
        </is>
      </c>
      <c r="C15" s="4" t="inlineStr">
        <is>
          <t>今防げる</t>
        </is>
      </c>
      <c r="D15" s="4" t="inlineStr">
        <is>
          <t>Kill Criteriaを事前に文書化・署名</t>
        </is>
      </c>
    </row>
    <row r="16">
      <c r="A16" s="4" t="n">
        <v>11</v>
      </c>
      <c r="B16" s="4" t="inlineStr">
        <is>
          <t>競合が同型番の廉価版を出し、値下げ競争で粗利が消えた</t>
        </is>
      </c>
      <c r="C16" s="6" t="inlineStr">
        <is>
          <t>開始後に監視</t>
        </is>
      </c>
      <c r="D16" s="4" t="inlineStr">
        <is>
          <t>意匠登録・レビュー資産・バンドルで防御</t>
        </is>
      </c>
    </row>
    <row r="17">
      <c r="A17" s="4" t="n">
        <v>12</v>
      </c>
      <c r="B17" s="4" t="inlineStr">
        <is>
          <t>レビューが集まらずCVRが上がらないまま広告費だけ溶けた</t>
        </is>
      </c>
      <c r="C17" s="6" t="inlineStr">
        <is>
          <t>開始後に監視</t>
        </is>
      </c>
      <c r="D17" s="4" t="inlineStr">
        <is>
          <t>初期購入者フォロー設計をGate1で組む</t>
        </is>
      </c>
    </row>
    <row r="18">
      <c r="A18" s="4" t="n">
        <v>13</v>
      </c>
      <c r="B18" s="4" t="inlineStr">
        <is>
          <t>返品が多発し、大型商品の返送料で限界利益が消えた</t>
        </is>
      </c>
      <c r="C18" s="6" t="inlineStr">
        <is>
          <t>開始後に監視</t>
        </is>
      </c>
      <c r="D18" s="4" t="inlineStr">
        <is>
          <t>返品理由を分類し商品・LPを改善</t>
        </is>
      </c>
    </row>
    <row r="19">
      <c r="A19" s="4" t="n">
        <v>14</v>
      </c>
      <c r="B19" s="4" t="inlineStr">
        <is>
          <t>円安で原価が20%上がり、売価を上げられず赤字化した</t>
        </is>
      </c>
      <c r="C19" s="6" t="inlineStr">
        <is>
          <t>開始後に監視</t>
        </is>
      </c>
      <c r="D19" s="4" t="inlineStr">
        <is>
          <t>為替予約／分割発注で平準化</t>
        </is>
      </c>
    </row>
    <row r="20">
      <c r="A20" s="4" t="n">
        <v>15</v>
      </c>
      <c r="B20" s="4" t="inlineStr">
        <is>
          <t>スーツケース市場そのものが縮小し、何をしても数量が出なかった</t>
        </is>
      </c>
      <c r="C20" s="27" t="inlineStr">
        <is>
          <t>防げない</t>
        </is>
      </c>
      <c r="D20" s="4" t="inlineStr">
        <is>
          <t>早期に撤退できる在庫水準を維持する</t>
        </is>
      </c>
    </row>
    <row r="22">
      <c r="A22" s="14" t="inlineStr">
        <is>
          <t>逆に想定以上に成功したとしたら：再現可能な成功要因10個</t>
        </is>
      </c>
    </row>
    <row r="23">
      <c r="A23" s="3" t="inlineStr">
        <is>
          <t>No</t>
        </is>
      </c>
      <c r="B23" s="3" t="inlineStr">
        <is>
          <t>成功要因</t>
        </is>
      </c>
      <c r="C23" s="3" t="inlineStr">
        <is>
          <t>再現性</t>
        </is>
      </c>
      <c r="D23" s="3" t="inlineStr">
        <is>
          <t>必要条件</t>
        </is>
      </c>
    </row>
    <row r="24">
      <c r="A24" s="4" t="n">
        <v>1</v>
      </c>
      <c r="B24" s="48" t="inlineStr">
        <is>
          <t>800個発注で仕入単価が▲20%下がり、限界利益が8,512円になった</t>
        </is>
      </c>
      <c r="C24" s="10" t="inlineStr">
        <is>
          <t>高</t>
        </is>
      </c>
      <c r="D24" s="4" t="inlineStr">
        <is>
          <t>数量割引の書面確約</t>
        </is>
      </c>
    </row>
    <row r="25">
      <c r="A25" s="4" t="n">
        <v>2</v>
      </c>
      <c r="B25" s="4" t="inlineStr">
        <is>
          <t>L の予約販売が想定を超え、在庫を持つ前に需要が確定した</t>
        </is>
      </c>
      <c r="C25" s="10" t="inlineStr">
        <is>
          <t>高</t>
        </is>
      </c>
      <c r="D25" s="4" t="inlineStr">
        <is>
          <t>予約ページの公開と14日の計測</t>
        </is>
      </c>
    </row>
    <row r="26">
      <c r="A26" s="4" t="n">
        <v>3</v>
      </c>
      <c r="B26" s="4" t="inlineStr">
        <is>
          <t>固定費を月30万円以下に抑えたまま数量を伸ばした</t>
        </is>
      </c>
      <c r="C26" s="10" t="inlineStr">
        <is>
          <t>高</t>
        </is>
      </c>
      <c r="D26" s="4" t="inlineStr">
        <is>
          <t>黒字化まで増員しない規律</t>
        </is>
      </c>
    </row>
    <row r="27">
      <c r="A27" s="4" t="n">
        <v>4</v>
      </c>
      <c r="B27" s="4" t="inlineStr">
        <is>
          <t>分割発注で在庫回転90日を維持し、資金が寝なかった</t>
        </is>
      </c>
      <c r="C27" s="10" t="inlineStr">
        <is>
          <t>高</t>
        </is>
      </c>
      <c r="D27" s="4" t="inlineStr">
        <is>
          <t>分割発注の条件取得</t>
        </is>
      </c>
    </row>
    <row r="28">
      <c r="A28" s="4" t="n">
        <v>5</v>
      </c>
      <c r="B28" s="4" t="inlineStr">
        <is>
          <t>Kill Criteriaを守り、ダメなSKUを早期に切った</t>
        </is>
      </c>
      <c r="C28" s="10" t="inlineStr">
        <is>
          <t>高</t>
        </is>
      </c>
      <c r="D28" s="4" t="inlineStr">
        <is>
          <t>撤退基準の文書化と実行</t>
        </is>
      </c>
    </row>
    <row r="29">
      <c r="A29" s="4" t="n">
        <v>6</v>
      </c>
      <c r="B29" s="4" t="inlineStr">
        <is>
          <t>レビュー200件超が積み上がり、自然流入で売れる状態になった</t>
        </is>
      </c>
      <c r="C29" s="4" t="inlineStr">
        <is>
          <t>中</t>
        </is>
      </c>
      <c r="D29" s="4" t="inlineStr">
        <is>
          <t>初期購入者フォローの仕組み</t>
        </is>
      </c>
    </row>
    <row r="30">
      <c r="A30" s="4" t="n">
        <v>7</v>
      </c>
      <c r="B30" s="4" t="inlineStr">
        <is>
          <t>CPAが3,600円に下がり、月87個で黒字化した</t>
        </is>
      </c>
      <c r="C30" s="4" t="inlineStr">
        <is>
          <t>中</t>
        </is>
      </c>
      <c r="D30" s="4" t="inlineStr">
        <is>
          <t>クリエイティブの継続改善とLP最適化</t>
        </is>
      </c>
    </row>
    <row r="31">
      <c r="A31" s="4" t="n">
        <v>8</v>
      </c>
      <c r="B31" s="4" t="inlineStr">
        <is>
          <t>機内持込サイズなど明確なニッチで一位を取った</t>
        </is>
      </c>
      <c r="C31" s="4" t="inlineStr">
        <is>
          <t>中</t>
        </is>
      </c>
      <c r="D31" s="4" t="inlineStr">
        <is>
          <t>SKUを絞る意思決定</t>
        </is>
      </c>
    </row>
    <row r="32">
      <c r="A32" s="4" t="n">
        <v>9</v>
      </c>
      <c r="B32" s="4" t="inlineStr">
        <is>
          <t>自社EC比率を上げ、モール手数料を4%に抑え続けられた</t>
        </is>
      </c>
      <c r="C32" s="4" t="inlineStr">
        <is>
          <t>中</t>
        </is>
      </c>
      <c r="D32" s="4" t="inlineStr">
        <is>
          <t>自社ECへの送客導線</t>
        </is>
      </c>
    </row>
    <row r="33">
      <c r="A33" s="4" t="n">
        <v>10</v>
      </c>
      <c r="B33" s="4" t="inlineStr">
        <is>
          <t>返品率3%以下を維持し、限界利益が計画通り残った</t>
        </is>
      </c>
      <c r="C33" s="4" t="inlineStr">
        <is>
          <t>中</t>
        </is>
      </c>
      <c r="D33" s="4" t="inlineStr">
        <is>
          <t>サイズ比較コンテンツと品質検査</t>
        </is>
      </c>
    </row>
    <row r="35">
      <c r="A35" s="14" t="inlineStr">
        <is>
          <t>A｜最終投資審査 採点（12項目）</t>
        </is>
      </c>
    </row>
    <row r="36">
      <c r="A36" s="3" t="inlineStr"/>
      <c r="B36" s="3" t="inlineStr">
        <is>
          <t>評価項目</t>
        </is>
      </c>
      <c r="C36" s="3" t="inlineStr">
        <is>
          <t>点数 /100</t>
        </is>
      </c>
      <c r="D36" s="3" t="inlineStr">
        <is>
          <t>評価理由</t>
        </is>
      </c>
    </row>
    <row r="37">
      <c r="A37" s="4" t="inlineStr"/>
      <c r="B37" s="4" t="inlineStr">
        <is>
          <t>市場性</t>
        </is>
      </c>
      <c r="C37" s="43" t="n">
        <v>40</v>
      </c>
      <c r="D37" s="48" t="inlineStr">
        <is>
          <t>仮SOM 年470個 &lt; 損益分岐 年1,572個。市場から取れる量が足りない可能性（03_Market・全て仮値）</t>
        </is>
      </c>
    </row>
    <row r="38">
      <c r="A38" s="4" t="inlineStr"/>
      <c r="B38" s="4" t="inlineStr">
        <is>
          <t>顧客課題</t>
        </is>
      </c>
      <c r="C38" s="43" t="n">
        <v>45</v>
      </c>
      <c r="D38" s="48" t="inlineStr">
        <is>
          <t>PainkillerではなくVitamin。買替サイクル5〜10年で緊急性が低く先送りされやすい</t>
        </is>
      </c>
    </row>
    <row r="39">
      <c r="A39" s="4" t="inlineStr"/>
      <c r="B39" s="4" t="inlineStr">
        <is>
          <t>商品力</t>
        </is>
      </c>
      <c r="C39" s="43" t="n">
        <v>50</v>
      </c>
      <c r="D39" s="4" t="inlineStr">
        <is>
          <t>機能・品質の差別化情報が未提出。最も競争が激しい2〜3万円帯</t>
        </is>
      </c>
    </row>
    <row r="40">
      <c r="A40" s="4" t="inlineStr"/>
      <c r="B40" s="4" t="inlineStr">
        <is>
          <t>競争優位性</t>
        </is>
      </c>
      <c r="C40" s="31" t="n">
        <v>25</v>
      </c>
      <c r="D40" s="48" t="inlineStr">
        <is>
          <t>レビュー25件に対し競合は1,200〜3,500件（仮）。USP・意匠も未確立</t>
        </is>
      </c>
    </row>
    <row r="41">
      <c r="A41" s="4" t="inlineStr"/>
      <c r="B41" s="4" t="inlineStr">
        <is>
          <t>粗利構造</t>
        </is>
      </c>
      <c r="C41" s="43" t="n">
        <v>45</v>
      </c>
      <c r="D41" s="48" t="inlineStr">
        <is>
          <t>800個ロットの通関費想定で粗利率29.0%。返品・ポイントも算入済み。健全値50%には届かない</t>
        </is>
      </c>
    </row>
    <row r="42">
      <c r="A42" s="4" t="inlineStr"/>
      <c r="B42" s="4" t="inlineStr">
        <is>
          <t>ユニットエコノミクス</t>
        </is>
      </c>
      <c r="C42" s="31" t="n">
        <v>25</v>
      </c>
      <c r="D42" s="48" t="inlineStr">
        <is>
          <t>限界利益3,232円・率12.1%。LTV/CAC 0.72倍で1を下回る。実態CPA7,000円なら732円まで落ちる</t>
        </is>
      </c>
    </row>
    <row r="43">
      <c r="A43" s="4" t="inlineStr"/>
      <c r="B43" s="4" t="inlineStr">
        <is>
          <t>広告再現性</t>
        </is>
      </c>
      <c r="C43" s="31" t="n">
        <v>15</v>
      </c>
      <c r="D43" s="48" t="inlineStr">
        <is>
          <t>★実績CVRが判明し 0.0%（訪問1,207件・購入0件）。再現性以前に転換していない</t>
        </is>
      </c>
    </row>
    <row r="44">
      <c r="A44" s="4" t="inlineStr"/>
      <c r="B44" s="4" t="inlineStr">
        <is>
          <t>オペレーション</t>
        </is>
      </c>
      <c r="C44" s="43" t="n">
        <v>40</v>
      </c>
      <c r="D44" s="48" t="inlineStr">
        <is>
          <t>800個の保管・在庫回転・3PL計画が未提出。回転362日は不健全</t>
        </is>
      </c>
    </row>
    <row r="45">
      <c r="A45" s="4" t="inlineStr"/>
      <c r="B45" s="4" t="inlineStr">
        <is>
          <t>組織</t>
        </is>
      </c>
      <c r="C45" s="31" t="n">
        <v>35</v>
      </c>
      <c r="D45" s="48" t="inlineStr">
        <is>
          <t>責任者未指名の業務が多数。経営者依存。給与300万W1名前提の体制</t>
        </is>
      </c>
    </row>
    <row r="46">
      <c r="A46" s="4" t="inlineStr"/>
      <c r="B46" s="4" t="inlineStr">
        <is>
          <t>キャッシュ耐性</t>
        </is>
      </c>
      <c r="C46" s="31" t="n">
        <v>15</v>
      </c>
      <c r="D46" s="48" t="inlineStr">
        <is>
          <t>最大運転資金1,666万円に対し手元キャッシュは仮500万円。差額1,166万円の調達手段が未提示</t>
        </is>
      </c>
    </row>
    <row r="47">
      <c r="A47" s="4" t="inlineStr"/>
      <c r="B47" s="4" t="inlineStr">
        <is>
          <t>スケーラビリティ</t>
        </is>
      </c>
      <c r="C47" s="43" t="n">
        <v>45</v>
      </c>
      <c r="D47" s="4" t="inlineStr">
        <is>
          <t>在庫型・低リピート。数量を伸ばすほど運転資金が比例して必要</t>
        </is>
      </c>
    </row>
    <row r="48">
      <c r="A48" s="4" t="inlineStr"/>
      <c r="B48" s="4" t="inlineStr">
        <is>
          <t>リスク耐性</t>
        </is>
      </c>
      <c r="C48" s="31" t="n">
        <v>25</v>
      </c>
      <c r="D48" s="48" t="inlineStr">
        <is>
          <t>Score20以上のリスクが複数。撤退基準が未設定。滞留在庫が全損に近い形で効く</t>
        </is>
      </c>
    </row>
    <row r="49">
      <c r="A49" s="30" t="inlineStr"/>
      <c r="B49" s="30" t="inlineStr">
        <is>
          <t>総合スコア</t>
        </is>
      </c>
      <c r="C49" s="60">
        <f>AVERAGE(C37:C48)</f>
        <v>33.75</v>
      </c>
      <c r="D49" s="61" t="inlineStr">
        <is>
          <t>0〜39＝即却下 ／ 40〜59＝原則NO GO ／ 60〜69＝大幅修正 ／ 70〜79＝小規模テストのみ ／ 80〜89＝条件付きGO ／ 90〜＝即GO</t>
        </is>
      </c>
    </row>
    <row r="50">
      <c r="A50" s="30" t="inlineStr"/>
      <c r="B50" s="30" t="inlineStr">
        <is>
          <t>最終判断</t>
        </is>
      </c>
      <c r="C50" s="34" t="inlineStr">
        <is>
          <t>条件付きHOLD</t>
        </is>
      </c>
      <c r="D50" s="61" t="inlineStr">
        <is>
          <t>24_仮置き一覧の影響度A5件を実数化してから再審査。それまで800個の発注は確定させない</t>
        </is>
      </c>
    </row>
    <row r="52">
      <c r="A52" s="14" t="inlineStr">
        <is>
          <t>注記</t>
        </is>
      </c>
    </row>
    <row r="53">
      <c r="A53" s="2" t="inlineStr">
        <is>
          <t>★仮値ベースの採点です（24_仮置き一覧の28項目）。800個ロットの通関費を1,000円/個と仮定したことで、前回34.6点から33.8点。</t>
        </is>
      </c>
    </row>
    <row r="54">
      <c r="A54" s="2" t="inlineStr">
        <is>
          <t>影響度A の5項目（手元キャッシュ／想定CVR／800個通関費／実態CPA／モール手数料）が実数化されれば、点数は上下いずれにも大きく動きます。</t>
        </is>
      </c>
    </row>
    <row r="55">
      <c r="A55" s="2" t="inlineStr">
        <is>
          <t>ただし「限界利益3,232円 &lt; CPA4,500円」＝広告を打つほど赤字という構造は、CVR改善か単価・原価の是正なしにはデータ提出だけでは解消しません。</t>
        </is>
      </c>
    </row>
  </sheetData>
  <mergeCells count="9">
    <mergeCell ref="A1:D1"/>
    <mergeCell ref="A22:D22"/>
    <mergeCell ref="A53:D53"/>
    <mergeCell ref="A35:D35"/>
    <mergeCell ref="A4:D4"/>
    <mergeCell ref="A54:D54"/>
    <mergeCell ref="A55:D55"/>
    <mergeCell ref="A52:D5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2026-09-16T06:42:37Z</dcterms:created>
  <dcterms:modified xsi:type="dcterms:W3CDTF">2026-09-16T06:43:03Z</dcterms:modified>
</cp:coreProperties>
</file>