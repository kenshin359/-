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サマリー_요약" sheetId="1" state="visible" r:id="rId1"/>
    <sheet name="03_月別_월별" sheetId="2" state="visible" r:id="rId2"/>
    <sheet name="01_明細_명세" sheetId="3" state="visible" r:id="rId3"/>
    <sheet name="04_要確認_확인필요" sheetId="4" state="visible" r:id="rId4"/>
    <sheet name="00_前提_전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¥#,##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sz val="9"/>
    </font>
    <font>
      <name val="Arial"/>
      <b val="1"/>
      <color rgb="FFFFFFFF"/>
      <sz val="9"/>
    </font>
    <font>
      <name val="Arial"/>
      <sz val="10"/>
    </font>
    <font>
      <name val="Arial"/>
      <color rgb="FF0000FF"/>
      <sz val="10"/>
    </font>
    <font>
      <name val="Arial"/>
      <b val="1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5" fillId="4" borderId="1" pivotButton="0" quotePrefix="0" xfId="0"/>
    <xf numFmtId="0" fontId="4" fillId="0" borderId="1" pivotButton="0" quotePrefix="0" xfId="0"/>
    <xf numFmtId="0" fontId="2" fillId="0" borderId="1" applyAlignment="1" pivotButton="0" quotePrefix="0" xfId="0">
      <alignment vertical="center" wrapText="1"/>
    </xf>
    <xf numFmtId="3" fontId="5" fillId="4" borderId="1" pivotButton="0" quotePrefix="0" xfId="0"/>
    <xf numFmtId="165" fontId="4" fillId="0" borderId="1" pivotButton="0" quotePrefix="0" xfId="0"/>
    <xf numFmtId="0" fontId="6" fillId="5" borderId="0" pivotButton="0" quotePrefix="0" xfId="0"/>
    <xf numFmtId="3" fontId="5" fillId="0" borderId="1" pivotButton="0" quotePrefix="0" xfId="0"/>
    <xf numFmtId="3" fontId="4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5" borderId="1" pivotButton="0" quotePrefix="0" xfId="0"/>
    <xf numFmtId="0" fontId="7" fillId="5" borderId="1" applyAlignment="1" pivotButton="0" quotePrefix="0" xfId="0">
      <alignment vertical="center" wrapText="1"/>
    </xf>
    <xf numFmtId="3" fontId="7" fillId="5" borderId="1" pivotButton="0" quotePrefix="0" xfId="0"/>
    <xf numFmtId="165" fontId="7" fillId="5" borderId="1" pivotButton="0" quotePrefix="0" xfId="0"/>
    <xf numFmtId="0" fontId="4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6" borderId="1" pivotButton="0" quotePrefix="0" xfId="0"/>
    <xf numFmtId="165" fontId="6" fillId="6" borderId="1" pivotButton="0" quotePrefix="0" xfId="0"/>
    <xf numFmtId="3" fontId="4" fillId="4" borderId="1" pivotButton="0" quotePrefix="0" xfId="0"/>
    <xf numFmtId="3" fontId="6" fillId="7" borderId="1" pivotButton="0" quotePrefix="0" xfId="0"/>
    <xf numFmtId="165" fontId="6" fillId="7" borderId="1" pivotButton="0" quotePrefix="0" xfId="0"/>
    <xf numFmtId="3" fontId="6" fillId="8" borderId="1" pivotButton="0" quotePrefix="0" xfId="0"/>
    <xf numFmtId="165" fontId="6" fillId="8" borderId="1" pivotButton="0" quotePrefix="0" xfId="0"/>
    <xf numFmtId="166" fontId="7" fillId="8" borderId="1" pivotButton="0" quotePrefix="0" xfId="0"/>
    <xf numFmtId="0" fontId="1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3" fontId="7" fillId="6" borderId="1" pivotButton="0" quotePrefix="0" xfId="0"/>
    <xf numFmtId="0" fontId="2" fillId="6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3" fontId="7" fillId="8" borderId="1" pivotButton="0" quotePrefix="0" xfId="0"/>
    <xf numFmtId="0" fontId="2" fillId="8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5" fontId="7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7" customWidth="1" min="3" max="3"/>
    <col width="17" customWidth="1" min="4" max="4"/>
    <col width="16" customWidth="1" min="5" max="5"/>
    <col width="58" customWidth="1" min="6" max="6"/>
  </cols>
  <sheetData>
    <row r="1">
      <c r="A1" s="19" t="inlineStr">
        <is>
          <t>3ヶ月 必要経費 サマリー ／ 3개월 필요경비 요약</t>
        </is>
      </c>
    </row>
    <row r="2">
      <c r="A2" s="2" t="inlineStr">
        <is>
          <t>A＝運営経費のみ／B＝A＋通関費／C＝B＋商品仕入。用途に応じて使い分けてください。／ 용도에 따라 구분해 사용하세요.</t>
        </is>
      </c>
    </row>
    <row r="4">
      <c r="A4" s="10" t="inlineStr">
        <is>
          <t>運営経費（3ヶ月）／ 운영경비(3개월)</t>
        </is>
      </c>
    </row>
    <row r="5" ht="30" customHeight="1">
      <c r="A5" s="3" t="inlineStr"/>
      <c r="B5" s="3" t="inlineStr">
        <is>
          <t>区分
구분</t>
        </is>
      </c>
      <c r="C5" s="3" t="inlineStr">
        <is>
          <t>月額(W)
월액(W)</t>
        </is>
      </c>
      <c r="D5" s="3" t="inlineStr">
        <is>
          <t>3ヶ月(W)
3개월(W)</t>
        </is>
      </c>
      <c r="E5" s="3" t="inlineStr">
        <is>
          <t>3ヶ月(円)
3개월(엔)</t>
        </is>
      </c>
      <c r="F5" s="3" t="inlineStr">
        <is>
          <t>メモ
메모</t>
        </is>
      </c>
    </row>
    <row r="6" ht="28" customHeight="1">
      <c r="A6" s="20" t="n">
        <v>1</v>
      </c>
      <c r="B6" s="4" t="inlineStr">
        <is>
          <t>① 固定費
고정비</t>
        </is>
      </c>
      <c r="C6" s="12">
        <f>'01_明細_명세'!C10</f>
        <v>2825000</v>
      </c>
      <c r="D6" s="12">
        <f>'01_明細_명세'!D10</f>
        <v>8475000</v>
      </c>
      <c r="E6" s="9">
        <f>'01_明細_명세'!E10</f>
        <v>932250</v>
      </c>
      <c r="F6" s="7" t="inlineStr">
        <is>
          <t>給与・家賃・管理費・税理士 ／ 급여·임대료·관리비·세무사</t>
        </is>
      </c>
    </row>
    <row r="7" ht="28" customHeight="1">
      <c r="A7" s="20" t="n">
        <v>2</v>
      </c>
      <c r="B7" s="4" t="inlineStr">
        <is>
          <t>② 広告費
광고비</t>
        </is>
      </c>
      <c r="C7" s="12">
        <f>'01_明細_명세'!C14</f>
        <v>3960000</v>
      </c>
      <c r="D7" s="12">
        <f>'01_明細_명세'!D14</f>
        <v>11880000</v>
      </c>
      <c r="E7" s="9">
        <f>'01_明細_명세'!E14</f>
        <v>1306800</v>
      </c>
      <c r="F7" s="7" t="inlineStr">
        <is>
          <t>メタ広告（7/18-8/19実績）／ 메타 광고</t>
        </is>
      </c>
    </row>
    <row r="8" ht="28" customHeight="1">
      <c r="A8" s="20" t="n">
        <v>3</v>
      </c>
      <c r="B8" s="4" t="inlineStr">
        <is>
          <t>③ 変動費
변동비</t>
        </is>
      </c>
      <c r="C8" s="12">
        <f>'01_明細_명세'!C26</f>
        <v>710460</v>
      </c>
      <c r="D8" s="12">
        <f>'01_明細_명세'!D26</f>
        <v>2131380</v>
      </c>
      <c r="E8" s="9">
        <f>'01_明細_명세'!E26</f>
        <v>234451.8</v>
      </c>
      <c r="F8" s="7" t="inlineStr">
        <is>
          <t>実績平均から算出 ／ 실적 평균</t>
        </is>
      </c>
    </row>
    <row r="9" ht="28" customHeight="1">
      <c r="A9" s="20" t="n">
        <v>4</v>
      </c>
      <c r="B9" s="4" t="inlineStr">
        <is>
          <t>④ 外注費
외주비</t>
        </is>
      </c>
      <c r="C9" s="12">
        <f>'01_明細_명세'!C30</f>
        <v>500000</v>
      </c>
      <c r="D9" s="12">
        <f>'01_明細_명세'!D30</f>
        <v>1500000</v>
      </c>
      <c r="E9" s="9">
        <f>'01_明細_명세'!E30</f>
        <v>165000</v>
      </c>
      <c r="F9" s="7" t="inlineStr">
        <is>
          <t>★実額未提示 ／ ★실액 미제출</t>
        </is>
      </c>
    </row>
    <row r="10" ht="28" customHeight="1">
      <c r="A10" s="21" t="inlineStr">
        <is>
          <t>A</t>
        </is>
      </c>
      <c r="B10" s="15" t="inlineStr">
        <is>
          <t>運営経費 3ヶ月 合計
운영경비 3개월 합계</t>
        </is>
      </c>
      <c r="C10" s="16">
        <f>SUM(C6:C9)</f>
        <v>7995460</v>
      </c>
      <c r="D10" s="22">
        <f>SUM(D6:D9)</f>
        <v>23986380</v>
      </c>
      <c r="E10" s="23">
        <f>SUM(E6:E9)</f>
        <v>2638501.8</v>
      </c>
      <c r="F10" s="14" t="inlineStr"/>
    </row>
    <row r="12">
      <c r="A12" s="10" t="inlineStr">
        <is>
          <t>通関費 ／ 통관비</t>
        </is>
      </c>
    </row>
    <row r="13" ht="30" customHeight="1">
      <c r="A13" s="3" t="inlineStr"/>
      <c r="B13" s="3" t="inlineStr">
        <is>
          <t>区分
구분</t>
        </is>
      </c>
      <c r="C13" s="3" t="inlineStr"/>
      <c r="D13" s="3" t="inlineStr">
        <is>
          <t>金額(W)
금액(W)</t>
        </is>
      </c>
      <c r="E13" s="3" t="inlineStr">
        <is>
          <t>金額(円)
금액(엔)</t>
        </is>
      </c>
      <c r="F13" s="3" t="inlineStr">
        <is>
          <t>メモ
메모</t>
        </is>
      </c>
    </row>
    <row r="14" ht="28" customHeight="1">
      <c r="A14" s="6" t="inlineStr"/>
      <c r="B14" s="4" t="inlineStr">
        <is>
          <t>33個分 通関費（支払済）
33개분 통관비(지급완료)</t>
        </is>
      </c>
      <c r="C14" s="6" t="inlineStr"/>
      <c r="D14" s="12">
        <f>1045911</f>
        <v>1045911</v>
      </c>
      <c r="E14" s="9">
        <f>D14*'00_前提_전제'!$B$5</f>
        <v>115050.21</v>
      </c>
      <c r="F14" s="7" t="inlineStr">
        <is>
          <t>9/10 LJ関税事務所 I26-100263M・検算済み ／ 검산 완료</t>
        </is>
      </c>
    </row>
    <row r="15" ht="28" customHeight="1">
      <c r="A15" s="6" t="inlineStr"/>
      <c r="B15" s="4" t="inlineStr">
        <is>
          <t>800個分 通関費（見積）
800개분 통관비(견적)</t>
        </is>
      </c>
      <c r="C15" s="6" t="inlineStr"/>
      <c r="D15" s="24">
        <f>'00_前提_전제'!$B$8*'00_前提_전제'!$B$7/'00_前提_전제'!$B$5</f>
        <v>7272727.2727272725</v>
      </c>
      <c r="E15" s="9">
        <f>D15*'00_前提_전제'!$B$5</f>
        <v>800000</v>
      </c>
      <c r="F15" s="7" t="inlineStr">
        <is>
          <t>★通関士見積が未提示。1,000円/個で仮置き ／ ★견적 미제출</t>
        </is>
      </c>
    </row>
    <row r="16" ht="28" customHeight="1">
      <c r="A16" s="21" t="inlineStr">
        <is>
          <t>B</t>
        </is>
      </c>
      <c r="B16" s="15" t="inlineStr">
        <is>
          <t>A ＋ 通関費
A + 통관비</t>
        </is>
      </c>
      <c r="C16" s="14" t="inlineStr"/>
      <c r="D16" s="25">
        <f>D10+SUM(D14:D15)</f>
        <v>32305018.272727273</v>
      </c>
      <c r="E16" s="26">
        <f>D16*'00_前提_전제'!$B$5</f>
        <v>3553552.0100000002</v>
      </c>
      <c r="F16" s="14" t="inlineStr"/>
    </row>
    <row r="18">
      <c r="A18" s="10" t="inlineStr">
        <is>
          <t>商品仕入 ／ 상품 매입</t>
        </is>
      </c>
    </row>
    <row r="19" ht="28" customHeight="1">
      <c r="A19" s="6" t="inlineStr"/>
      <c r="B19" s="4" t="inlineStr">
        <is>
          <t>800個 仕入原価
800개 매입원가</t>
        </is>
      </c>
      <c r="C19" s="6" t="inlineStr"/>
      <c r="D19" s="12">
        <f>'00_前提_전제'!$B$9*'00_前提_전제'!$B$7</f>
        <v>112000000</v>
      </c>
      <c r="E19" s="9">
        <f>D19*'00_前提_전제'!$B$5</f>
        <v>12320000</v>
      </c>
      <c r="F19" s="7" t="inlineStr">
        <is>
          <t>仮ミックス S40:M40:L20（S10万/M15万/L20万W）／ 가정 믹스</t>
        </is>
      </c>
    </row>
    <row r="20" ht="28" customHeight="1">
      <c r="A20" s="21" t="inlineStr">
        <is>
          <t>C</t>
        </is>
      </c>
      <c r="B20" s="15" t="inlineStr">
        <is>
          <t>総所要資金（B ＋ 仕入）
총 소요자금(B + 매입)</t>
        </is>
      </c>
      <c r="C20" s="14" t="inlineStr"/>
      <c r="D20" s="27">
        <f>D16+D19</f>
        <v>144305018.27272728</v>
      </c>
      <c r="E20" s="28">
        <f>D20*'00_前提_전제'!$B$5</f>
        <v>15873552.010000002</v>
      </c>
      <c r="F20" s="14" t="inlineStr"/>
    </row>
    <row r="22">
      <c r="A22" s="10" t="inlineStr">
        <is>
          <t>過去実績との比較 ／ 과거 실적과 비교</t>
        </is>
      </c>
    </row>
    <row r="23" ht="30" customHeight="1">
      <c r="A23" s="3" t="inlineStr"/>
      <c r="B23" s="3" t="inlineStr">
        <is>
          <t>項目
항목</t>
        </is>
      </c>
      <c r="C23" s="3" t="inlineStr"/>
      <c r="D23" s="3" t="inlineStr">
        <is>
          <t>金額(W)
금액(W)</t>
        </is>
      </c>
      <c r="E23" s="3" t="inlineStr">
        <is>
          <t>金額(円)
금액(엔)</t>
        </is>
      </c>
      <c r="F23" s="3" t="inlineStr">
        <is>
          <t>メモ
메모</t>
        </is>
      </c>
    </row>
    <row r="24" ht="28" customHeight="1">
      <c r="A24" s="6" t="inlineStr"/>
      <c r="B24" s="4" t="inlineStr">
        <is>
          <t>今回の運営経費 月額
이번 운영경비 월액</t>
        </is>
      </c>
      <c r="C24" s="6" t="inlineStr"/>
      <c r="D24" s="12">
        <f>D10/'00_前提_전제'!$B$6</f>
        <v>7995460</v>
      </c>
      <c r="E24" s="9">
        <f>D24*'00_前提_전제'!$B$5</f>
        <v>879500.6</v>
      </c>
      <c r="F24" s="7" t="inlineStr"/>
    </row>
    <row r="25" ht="28" customHeight="1">
      <c r="A25" s="6" t="inlineStr"/>
      <c r="B25" s="4" t="inlineStr">
        <is>
          <t>過去9ヶ月の月平均
과거 9개월 월평균</t>
        </is>
      </c>
      <c r="C25" s="6" t="inlineStr"/>
      <c r="D25" s="12">
        <f>37875450/9</f>
        <v>4208383.333333333</v>
      </c>
      <c r="E25" s="9">
        <f>D25*'00_前提_전제'!$B$5</f>
        <v>462922.1666666666</v>
      </c>
      <c r="F25" s="7" t="inlineStr">
        <is>
          <t>2025.12-2026.08 総支出37,875,450÷9 ／ 총지출÷9</t>
        </is>
      </c>
    </row>
    <row r="26" ht="28" customHeight="1">
      <c r="A26" s="6" t="inlineStr"/>
      <c r="B26" s="4" t="inlineStr">
        <is>
          <t>倍率
배율</t>
        </is>
      </c>
      <c r="C26" s="6" t="inlineStr"/>
      <c r="D26" s="29">
        <f>D24/D25</f>
        <v>1.8998887141934948</v>
      </c>
      <c r="E26" s="6" t="inlineStr"/>
      <c r="F26" s="7" t="inlineStr">
        <is>
          <t>★主因はメタ広告 396万W/月（過去は約13万W/月）／ ★주요인은 메타 광고</t>
        </is>
      </c>
    </row>
    <row r="27">
      <c r="A27" s="10" t="inlineStr">
        <is>
          <t>注記</t>
        </is>
      </c>
    </row>
    <row r="28">
      <c r="A28" s="2" t="inlineStr">
        <is>
          <t>A＝毎月必ず出ていく運営経費。B＝それに通関費を足した額。C＝商品仕入まで含めた総所要資金。</t>
        </is>
      </c>
    </row>
    <row r="29">
      <c r="A29" s="2" t="inlineStr">
        <is>
          <t>A＝매월 반드시 나가는 운영경비. B＝거기에 통관비를 더한 금액. C＝상품 매입까지 포함한 총 소요자금.</t>
        </is>
      </c>
    </row>
    <row r="30">
      <c r="A30" s="2" t="inlineStr">
        <is>
          <t>★800個の通関費（通関士見積）と外注費の実額が入れば、B と C が確定します。</t>
        </is>
      </c>
    </row>
    <row r="31">
      <c r="A31" s="2" t="inlineStr">
        <is>
          <t>★800개 통관비(통관사 견적)와 외주비 실액이 들어오면 B와 C가 확정됩니다.</t>
        </is>
      </c>
    </row>
  </sheetData>
  <mergeCells count="11">
    <mergeCell ref="A2:F2"/>
    <mergeCell ref="A28:F28"/>
    <mergeCell ref="A1:F1"/>
    <mergeCell ref="A27:F27"/>
    <mergeCell ref="A31:F31"/>
    <mergeCell ref="A22:F22"/>
    <mergeCell ref="A18:F18"/>
    <mergeCell ref="A12:F12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58" customWidth="1" min="6" max="6"/>
  </cols>
  <sheetData>
    <row r="1">
      <c r="A1" s="30" t="inlineStr">
        <is>
          <t>月別の資金繰り ／ 월별 자금 흐름</t>
        </is>
      </c>
    </row>
    <row r="2">
      <c r="A2" s="2" t="inlineStr">
        <is>
          <t>運営経費は毎月同額。通関費と仕入は発生月に計上しています。／ 운영경비는 매월 동일. 통관비와 매입은 발생월에 계상.</t>
        </is>
      </c>
    </row>
    <row r="4" ht="30" customHeight="1">
      <c r="A4" s="3" t="inlineStr">
        <is>
          <t>項目
항목</t>
        </is>
      </c>
      <c r="B4" s="3" t="inlineStr">
        <is>
          <t>2026-10
2026-10</t>
        </is>
      </c>
      <c r="C4" s="3" t="inlineStr">
        <is>
          <t>2026-11
2026-11</t>
        </is>
      </c>
      <c r="D4" s="3" t="inlineStr">
        <is>
          <t>2026-12
2026-12</t>
        </is>
      </c>
      <c r="E4" s="3" t="inlineStr">
        <is>
          <t>3ヶ月計
3개월 계</t>
        </is>
      </c>
      <c r="F4" s="3" t="inlineStr">
        <is>
          <t>メモ
메모</t>
        </is>
      </c>
    </row>
    <row r="5" ht="26" customHeight="1">
      <c r="A5" s="4" t="inlineStr">
        <is>
          <t>① 固定費
고정비</t>
        </is>
      </c>
      <c r="B5" s="12">
        <f>'01_明細_명세'!C10</f>
        <v>2825000</v>
      </c>
      <c r="C5" s="12">
        <f>'01_明細_명세'!C10</f>
        <v>2825000</v>
      </c>
      <c r="D5" s="12">
        <f>'01_明細_명세'!C10</f>
        <v>2825000</v>
      </c>
      <c r="E5" s="12">
        <f>SUM(B5:D5)</f>
        <v>8475000</v>
      </c>
      <c r="F5" s="7" t="inlineStr">
        <is>
          <t>給与200万＋家賃55万＋管理16.5万＋税理士11万 ／ 급여200만+임대료55만+관리16.5만+세무사11만</t>
        </is>
      </c>
    </row>
    <row r="6" ht="26" customHeight="1">
      <c r="A6" s="4" t="inlineStr">
        <is>
          <t>② 広告費
광고비</t>
        </is>
      </c>
      <c r="B6" s="12">
        <f>'01_明細_명세'!C14</f>
        <v>3960000</v>
      </c>
      <c r="C6" s="12">
        <f>'01_明細_명세'!C14</f>
        <v>3960000</v>
      </c>
      <c r="D6" s="12">
        <f>'01_明細_명세'!C14</f>
        <v>3960000</v>
      </c>
      <c r="E6" s="12">
        <f>SUM(B6:D6)</f>
        <v>11880000</v>
      </c>
      <c r="F6" s="7" t="inlineStr">
        <is>
          <t>メタ広告 ／ 메타 광고</t>
        </is>
      </c>
    </row>
    <row r="7" ht="26" customHeight="1">
      <c r="A7" s="4" t="inlineStr">
        <is>
          <t>③ 変動費
변동비</t>
        </is>
      </c>
      <c r="B7" s="12">
        <f>'01_明細_명세'!C26</f>
        <v>710460</v>
      </c>
      <c r="C7" s="12">
        <f>'01_明細_명세'!C26</f>
        <v>710460</v>
      </c>
      <c r="D7" s="12">
        <f>'01_明細_명세'!C26</f>
        <v>710460</v>
      </c>
      <c r="E7" s="12">
        <f>SUM(B7:D7)</f>
        <v>2131380</v>
      </c>
      <c r="F7" s="7" t="inlineStr">
        <is>
          <t>実績平均 ／ 실적 평균</t>
        </is>
      </c>
    </row>
    <row r="8" ht="26" customHeight="1">
      <c r="A8" s="4" t="inlineStr">
        <is>
          <t>④ 外注費
외주비</t>
        </is>
      </c>
      <c r="B8" s="12">
        <f>'01_明細_명세'!C30</f>
        <v>500000</v>
      </c>
      <c r="C8" s="12">
        <f>'01_明細_명세'!C30</f>
        <v>500000</v>
      </c>
      <c r="D8" s="12">
        <f>'01_明細_명세'!C30</f>
        <v>500000</v>
      </c>
      <c r="E8" s="12">
        <f>SUM(B8:D8)</f>
        <v>1500000</v>
      </c>
      <c r="F8" s="7" t="inlineStr">
        <is>
          <t>★実額未提示 ／ ★실액 미제출</t>
        </is>
      </c>
    </row>
    <row r="9" ht="26" customHeight="1">
      <c r="A9" s="31" t="inlineStr">
        <is>
          <t>A 運営経費 小計
A 운영경비 소계</t>
        </is>
      </c>
      <c r="B9" s="32">
        <f>SUM(B5:B8)</f>
        <v>7995460</v>
      </c>
      <c r="C9" s="32">
        <f>SUM(C5:C8)</f>
        <v>7995460</v>
      </c>
      <c r="D9" s="32">
        <f>SUM(D5:D8)</f>
        <v>7995460</v>
      </c>
      <c r="E9" s="32">
        <f>SUM(B9:D9)</f>
        <v>23986380</v>
      </c>
      <c r="F9" s="33" t="inlineStr">
        <is>
          <t>毎月同額 ／ 매월 동일</t>
        </is>
      </c>
    </row>
    <row r="10" ht="26" customHeight="1">
      <c r="A10" s="4" t="inlineStr">
        <is>
          <t>通関費 33個分
통관비 33개분</t>
        </is>
      </c>
      <c r="B10" s="12">
        <f>0</f>
        <v>0</v>
      </c>
      <c r="C10" s="12">
        <f>1045911</f>
        <v>1045911</v>
      </c>
      <c r="D10" s="12">
        <f>0</f>
        <v>0</v>
      </c>
      <c r="E10" s="12">
        <f>SUM(B10:D10)</f>
        <v>1045911</v>
      </c>
      <c r="F10" s="7" t="inlineStr">
        <is>
          <t>9/10 支払済（立替）／ 9/10 지급완료(대납)</t>
        </is>
      </c>
    </row>
    <row r="11" ht="26" customHeight="1">
      <c r="A11" s="4" t="inlineStr">
        <is>
          <t>通関費 800個分
통관비 800개분</t>
        </is>
      </c>
      <c r="B11" s="12">
        <f>0</f>
        <v>0</v>
      </c>
      <c r="C11" s="12">
        <f>'00_前提_전제'!$B$8*'00_前提_전제'!$B$7/'00_前提_전제'!$B$5</f>
        <v>7272727.2727272725</v>
      </c>
      <c r="D11" s="12">
        <f>0</f>
        <v>0</v>
      </c>
      <c r="E11" s="12">
        <f>SUM(B11:D11)</f>
        <v>7272727.2727272725</v>
      </c>
      <c r="F11" s="7" t="inlineStr">
        <is>
          <t>★11月中旬入荷想定 ／ ★11월 중순 입고 가정</t>
        </is>
      </c>
    </row>
    <row r="12" ht="26" customHeight="1">
      <c r="A12" s="4" t="inlineStr">
        <is>
          <t>800個 仕入原価
800개 매입원가</t>
        </is>
      </c>
      <c r="B12" s="12">
        <f>'00_前提_전제'!$B$9*'00_前提_전제'!$B$7*0.3</f>
        <v>33600000</v>
      </c>
      <c r="C12" s="12">
        <f>'00_前提_전제'!$B$9*'00_前提_전제'!$B$7*0.7</f>
        <v>78400000</v>
      </c>
      <c r="D12" s="12">
        <f>0</f>
        <v>0</v>
      </c>
      <c r="E12" s="12">
        <f>SUM(B12:D12)</f>
        <v>112000000</v>
      </c>
      <c r="F12" s="7" t="inlineStr">
        <is>
          <t>前金30%／残金70%（仮）／ 선금30%/잔금70%(가정)</t>
        </is>
      </c>
    </row>
    <row r="13" ht="26" customHeight="1">
      <c r="A13" s="34" t="inlineStr">
        <is>
          <t>C 月別 所要資金
C 월별 소요자금</t>
        </is>
      </c>
      <c r="B13" s="35">
        <f>B9+B10+B11+B12</f>
        <v>41595460</v>
      </c>
      <c r="C13" s="35">
        <f>C9+C10+C11+C12</f>
        <v>94714098.27272728</v>
      </c>
      <c r="D13" s="35">
        <f>D9+D10+D11+D12</f>
        <v>7995460</v>
      </c>
      <c r="E13" s="35">
        <f>SUM(B13:D13)</f>
        <v>144305018.27272728</v>
      </c>
      <c r="F13" s="36" t="inlineStr">
        <is>
          <t>この月に必要な現金 ／ 이 달에 필요한 현금</t>
        </is>
      </c>
    </row>
    <row r="15">
      <c r="A15" s="37" t="inlineStr">
        <is>
          <t>円換算（C 行）
엔 환산(C 행)</t>
        </is>
      </c>
      <c r="B15" s="38">
        <f>A13*'00_前提_전제'!$B$5</f>
        <v>4575500.6</v>
      </c>
      <c r="C15" s="38">
        <f>B13*'00_前提_전제'!$B$5</f>
        <v>10418550.81</v>
      </c>
      <c r="D15" s="38">
        <f>C13*'00_前提_전제'!$B$5</f>
        <v>879500.6</v>
      </c>
      <c r="E15" s="38">
        <f>E13*'00_前提_전제'!$B$5</f>
        <v>15873552.010000002</v>
      </c>
      <c r="F15" s="6" t="inlineStr"/>
    </row>
    <row r="17">
      <c r="A17" s="10" t="inlineStr">
        <is>
          <t>注記</t>
        </is>
      </c>
    </row>
    <row r="18">
      <c r="A18" s="2" t="inlineStr">
        <is>
          <t>★11月に資金の山が来ます。通関費と仕入残金が同じ月に重なるためです。</t>
        </is>
      </c>
    </row>
    <row r="19">
      <c r="A19" s="2" t="inlineStr">
        <is>
          <t>★11월에 자금 피크가 옵니다. 통관비와 매입 잔금이 같은 달에 겹치기 때문입니다.</t>
        </is>
      </c>
    </row>
    <row r="20">
      <c r="A20" s="2" t="inlineStr">
        <is>
          <t>前金30%/残金70%とリードタイムは仮置きです。実際の契約条件に置き換えてください。</t>
        </is>
      </c>
    </row>
    <row r="21">
      <c r="A21" s="2" t="inlineStr">
        <is>
          <t>선금30%/잔금70%와 리드타임은 가정치입니다. 실제 계약 조건으로 교체해 주세요.</t>
        </is>
      </c>
    </row>
  </sheetData>
  <mergeCells count="7">
    <mergeCell ref="A2:F2"/>
    <mergeCell ref="A19:F19"/>
    <mergeCell ref="A1:F1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4" customWidth="1" min="5" max="5"/>
    <col width="14" customWidth="1" min="6" max="6"/>
    <col width="62" customWidth="1" min="7" max="7"/>
  </cols>
  <sheetData>
    <row r="1">
      <c r="A1" s="19" t="inlineStr">
        <is>
          <t>3ヶ月 必要経費 明細 ／ 3개월 필요경비 명세</t>
        </is>
      </c>
    </row>
    <row r="2">
      <c r="A2" s="2" t="inlineStr">
        <is>
          <t>月額×月数で算出。★は実額が未提示のため仮置きです。／ 월액×개월수로 산출. ★는 실액 미제출로 가정치입니다.</t>
        </is>
      </c>
    </row>
    <row r="4" ht="30" customHeight="1">
      <c r="A4" s="3" t="inlineStr">
        <is>
          <t>区分
구분</t>
        </is>
      </c>
      <c r="B4" s="3" t="inlineStr">
        <is>
          <t>項目
항목</t>
        </is>
      </c>
      <c r="C4" s="3" t="inlineStr">
        <is>
          <t>月額(W)
월액(W)</t>
        </is>
      </c>
      <c r="D4" s="3" t="inlineStr">
        <is>
          <t>3ヶ月(W)
3개월(W)</t>
        </is>
      </c>
      <c r="E4" s="3" t="inlineStr">
        <is>
          <t>3ヶ月(円)
3개월(엔)</t>
        </is>
      </c>
      <c r="F4" s="3" t="inlineStr">
        <is>
          <t>確度
확도</t>
        </is>
      </c>
      <c r="G4" s="3" t="inlineStr">
        <is>
          <t>根拠
근거</t>
        </is>
      </c>
    </row>
    <row r="5">
      <c r="A5" s="10" t="inlineStr">
        <is>
          <t>① 固定費 ／ 고정비</t>
        </is>
      </c>
    </row>
    <row r="6" ht="26" customHeight="1">
      <c r="A6" s="6" t="inlineStr"/>
      <c r="B6" s="4" t="inlineStr">
        <is>
          <t>給与
급여</t>
        </is>
      </c>
      <c r="C6" s="11" t="n">
        <v>2000000</v>
      </c>
      <c r="D6" s="12">
        <f>C6*'00_前提_전제'!$B$6</f>
        <v>6000000</v>
      </c>
      <c r="E6" s="9">
        <f>D6*'00_前提_전제'!$B$5</f>
        <v>660000</v>
      </c>
      <c r="F6" s="13" t="inlineStr">
        <is>
          <t>実績</t>
        </is>
      </c>
      <c r="G6" s="7" t="inlineStr">
        <is>
          <t>今後の予想費用 E9（直近の月額支出基準）／ 향후 예상비용 E9</t>
        </is>
      </c>
    </row>
    <row r="7" ht="26" customHeight="1">
      <c r="A7" s="6" t="inlineStr"/>
      <c r="B7" s="4" t="inlineStr">
        <is>
          <t>家賃
임대료</t>
        </is>
      </c>
      <c r="C7" s="11" t="n">
        <v>550000</v>
      </c>
      <c r="D7" s="12">
        <f>C7*'00_前提_전제'!$B$6</f>
        <v>1650000</v>
      </c>
      <c r="E7" s="9">
        <f>D7*'00_前提_전제'!$B$5</f>
        <v>181500</v>
      </c>
      <c r="F7" s="13" t="inlineStr">
        <is>
          <t>実績</t>
        </is>
      </c>
      <c r="G7" s="7" t="inlineStr">
        <is>
          <t>同 E7 ／ 동 E7</t>
        </is>
      </c>
    </row>
    <row r="8" ht="26" customHeight="1">
      <c r="A8" s="6" t="inlineStr"/>
      <c r="B8" s="4" t="inlineStr">
        <is>
          <t>管理費
관리비</t>
        </is>
      </c>
      <c r="C8" s="11" t="n">
        <v>165000</v>
      </c>
      <c r="D8" s="12">
        <f>C8*'00_前提_전제'!$B$6</f>
        <v>495000</v>
      </c>
      <c r="E8" s="9">
        <f>D8*'00_前提_전제'!$B$5</f>
        <v>54450</v>
      </c>
      <c r="F8" s="13" t="inlineStr">
        <is>
          <t>実績</t>
        </is>
      </c>
      <c r="G8" s="7" t="inlineStr">
        <is>
          <t>同 E10 ／ 동 E10</t>
        </is>
      </c>
    </row>
    <row r="9" ht="26" customHeight="1">
      <c r="A9" s="6" t="inlineStr"/>
      <c r="B9" s="4" t="inlineStr">
        <is>
          <t>税理士費用
세무사 비용</t>
        </is>
      </c>
      <c r="C9" s="11" t="n">
        <v>110000</v>
      </c>
      <c r="D9" s="12">
        <f>C9*'00_前提_전제'!$B$6</f>
        <v>330000</v>
      </c>
      <c r="E9" s="9">
        <f>D9*'00_前提_전제'!$B$5</f>
        <v>36300</v>
      </c>
      <c r="F9" s="13" t="inlineStr">
        <is>
          <t>実績</t>
        </is>
      </c>
      <c r="G9" s="7" t="inlineStr">
        <is>
          <t>同 E8 ／ 동 E8</t>
        </is>
      </c>
    </row>
    <row r="10">
      <c r="A10" s="14" t="inlineStr"/>
      <c r="B10" s="15" t="inlineStr">
        <is>
          <t>① 固定費 小計
소계</t>
        </is>
      </c>
      <c r="C10" s="16">
        <f>SUM(C6:C9)</f>
        <v>2825000</v>
      </c>
      <c r="D10" s="16">
        <f>SUM(D6:D9)</f>
        <v>8475000</v>
      </c>
      <c r="E10" s="17">
        <f>SUM(E6:E9)</f>
        <v>932250</v>
      </c>
      <c r="F10" s="14" t="inlineStr"/>
      <c r="G10" s="14" t="inlineStr"/>
    </row>
    <row r="12">
      <c r="A12" s="10" t="inlineStr">
        <is>
          <t>② 広告費 ／ 광고비</t>
        </is>
      </c>
    </row>
    <row r="13" ht="26" customHeight="1">
      <c r="A13" s="6" t="inlineStr"/>
      <c r="B13" s="4" t="inlineStr">
        <is>
          <t>メタ広告
메타 광고</t>
        </is>
      </c>
      <c r="C13" s="11" t="n">
        <v>3960000</v>
      </c>
      <c r="D13" s="12">
        <f>C13*'00_前提_전제'!$B$6</f>
        <v>11880000</v>
      </c>
      <c r="E13" s="9">
        <f>D13*'00_前提_전제'!$B$5</f>
        <v>1306800</v>
      </c>
      <c r="F13" s="13" t="inlineStr">
        <is>
          <t>実績</t>
        </is>
      </c>
      <c r="G13" s="7" t="inlineStr">
        <is>
          <t>7/18-8/19 実績・付加価値税込 ／ 7/18-8/19 실적·부가세 포함</t>
        </is>
      </c>
    </row>
    <row r="14">
      <c r="A14" s="14" t="inlineStr"/>
      <c r="B14" s="15" t="inlineStr">
        <is>
          <t>② 広告費 小計
소계</t>
        </is>
      </c>
      <c r="C14" s="16">
        <f>SUM(C13:C13)</f>
        <v>3960000</v>
      </c>
      <c r="D14" s="16">
        <f>SUM(D13:D13)</f>
        <v>11880000</v>
      </c>
      <c r="E14" s="17">
        <f>SUM(E13:E13)</f>
        <v>1306800</v>
      </c>
      <c r="F14" s="14" t="inlineStr"/>
      <c r="G14" s="14" t="inlineStr"/>
    </row>
    <row r="16">
      <c r="A16" s="10" t="inlineStr">
        <is>
          <t>③ 変動費（実績平均）／ 변동비(실적 평균)</t>
        </is>
      </c>
    </row>
    <row r="17" ht="26" customHeight="1">
      <c r="A17" s="6" t="inlineStr"/>
      <c r="B17" s="4" t="inlineStr">
        <is>
          <t>交通費
교통비</t>
        </is>
      </c>
      <c r="C17" s="11" t="n">
        <v>256667</v>
      </c>
      <c r="D17" s="12">
        <f>C17*'00_前提_전제'!$B$6</f>
        <v>770001</v>
      </c>
      <c r="E17" s="9">
        <f>D17*'00_前提_전제'!$B$5</f>
        <v>84700.11</v>
      </c>
      <c r="F17" s="13" t="inlineStr">
        <is>
          <t>実績</t>
        </is>
      </c>
      <c r="G17" s="7" t="inlineStr">
        <is>
          <t>実績770,000÷3回 ／ 실적 770,000÷3회</t>
        </is>
      </c>
    </row>
    <row r="18" ht="26" customHeight="1">
      <c r="A18" s="6" t="inlineStr"/>
      <c r="B18" s="4" t="inlineStr">
        <is>
          <t>宅配費
택배비</t>
        </is>
      </c>
      <c r="C18" s="11" t="n">
        <v>60043</v>
      </c>
      <c r="D18" s="12">
        <f>C18*'00_前提_전제'!$B$6</f>
        <v>180129</v>
      </c>
      <c r="E18" s="9">
        <f>D18*'00_前提_전제'!$B$5</f>
        <v>19814.19</v>
      </c>
      <c r="F18" s="13" t="inlineStr">
        <is>
          <t>実績</t>
        </is>
      </c>
      <c r="G18" s="7" t="inlineStr">
        <is>
          <t>実績420,300÷7回 ／ 실적 420,300÷7회</t>
        </is>
      </c>
    </row>
    <row r="19" ht="26" customHeight="1">
      <c r="A19" s="6" t="inlineStr"/>
      <c r="B19" s="4" t="inlineStr">
        <is>
          <t>EMS
EMS</t>
        </is>
      </c>
      <c r="C19" s="11" t="n">
        <v>172100</v>
      </c>
      <c r="D19" s="12">
        <f>C19*'00_前提_전제'!$B$6</f>
        <v>516300</v>
      </c>
      <c r="E19" s="9">
        <f>D19*'00_前提_전제'!$B$5</f>
        <v>56793</v>
      </c>
      <c r="F19" s="13" t="inlineStr">
        <is>
          <t>実績</t>
        </is>
      </c>
      <c r="G19" s="7" t="inlineStr">
        <is>
          <t>実績688,400÷4回 ／ 실적 688,400÷4회</t>
        </is>
      </c>
    </row>
    <row r="20" ht="26" customHeight="1">
      <c r="A20" s="6" t="inlineStr"/>
      <c r="B20" s="4" t="inlineStr">
        <is>
          <t>レビュー・プロモーション
리뷰·프로모션</t>
        </is>
      </c>
      <c r="C20" s="8" t="n">
        <v>60000</v>
      </c>
      <c r="D20" s="12">
        <f>C20*'00_前提_전제'!$B$6</f>
        <v>180000</v>
      </c>
      <c r="E20" s="9">
        <f>D20*'00_前提_전제'!$B$5</f>
        <v>19800</v>
      </c>
      <c r="F20" s="18" t="inlineStr">
        <is>
          <t>仮</t>
        </is>
      </c>
      <c r="G20" s="7" t="inlineStr">
        <is>
          <t>★フォトレビュー実績60,000。送料→手数料→入金までの実額は要確認 ／ ★실액 확인 필요</t>
        </is>
      </c>
    </row>
    <row r="21" ht="26" customHeight="1">
      <c r="A21" s="6" t="inlineStr"/>
      <c r="B21" s="4" t="inlineStr">
        <is>
          <t>業務用携帯電話
업무용 휴대폰</t>
        </is>
      </c>
      <c r="C21" s="11" t="n">
        <v>55500</v>
      </c>
      <c r="D21" s="12">
        <f>C21*'00_前提_전제'!$B$6</f>
        <v>166500</v>
      </c>
      <c r="E21" s="9">
        <f>D21*'00_前提_전제'!$B$5</f>
        <v>18315</v>
      </c>
      <c r="F21" s="13" t="inlineStr">
        <is>
          <t>実績</t>
        </is>
      </c>
      <c r="G21" s="7" t="inlineStr">
        <is>
          <t>実績55,500 ／ 실적 55,500</t>
        </is>
      </c>
    </row>
    <row r="22" ht="26" customHeight="1">
      <c r="A22" s="6" t="inlineStr"/>
      <c r="B22" s="4" t="inlineStr">
        <is>
          <t>駐車料金
주차요금</t>
        </is>
      </c>
      <c r="C22" s="11" t="n">
        <v>25550</v>
      </c>
      <c r="D22" s="12">
        <f>C22*'00_前提_전제'!$B$6</f>
        <v>76650</v>
      </c>
      <c r="E22" s="9">
        <f>D22*'00_前提_전제'!$B$5</f>
        <v>8431.5</v>
      </c>
      <c r="F22" s="13" t="inlineStr">
        <is>
          <t>実績</t>
        </is>
      </c>
      <c r="G22" s="7" t="inlineStr">
        <is>
          <t>実績51,100÷2回 ／ 실적 51,100÷2회</t>
        </is>
      </c>
    </row>
    <row r="23" ht="26" customHeight="1">
      <c r="A23" s="6" t="inlineStr"/>
      <c r="B23" s="4" t="inlineStr">
        <is>
          <t>ソフトウェア
소프트웨어</t>
        </is>
      </c>
      <c r="C23" s="11" t="n">
        <v>9900</v>
      </c>
      <c r="D23" s="12">
        <f>C23*'00_前提_전제'!$B$6</f>
        <v>29700</v>
      </c>
      <c r="E23" s="9">
        <f>D23*'00_前提_전제'!$B$5</f>
        <v>3267</v>
      </c>
      <c r="F23" s="13" t="inlineStr">
        <is>
          <t>実績</t>
        </is>
      </c>
      <c r="G23" s="7" t="inlineStr">
        <is>
          <t>Canva等 実績29,700÷3回 ／ 실적 29,700÷3회</t>
        </is>
      </c>
    </row>
    <row r="24" ht="26" customHeight="1">
      <c r="A24" s="6" t="inlineStr"/>
      <c r="B24" s="4" t="inlineStr">
        <is>
          <t>Instagram・その他
인스타그램·기타</t>
        </is>
      </c>
      <c r="C24" s="11" t="n">
        <v>21700</v>
      </c>
      <c r="D24" s="12">
        <f>C24*'00_前提_전제'!$B$6</f>
        <v>65100</v>
      </c>
      <c r="E24" s="9">
        <f>D24*'00_前提_전제'!$B$5</f>
        <v>7161</v>
      </c>
      <c r="F24" s="13" t="inlineStr">
        <is>
          <t>実績</t>
        </is>
      </c>
      <c r="G24" s="7" t="inlineStr">
        <is>
          <t>実績108,500÷5回 ／ 실적 108,500÷5회</t>
        </is>
      </c>
    </row>
    <row r="25" ht="26" customHeight="1">
      <c r="A25" s="6" t="inlineStr"/>
      <c r="B25" s="4" t="inlineStr">
        <is>
          <t>その他運営費
기타 운영비</t>
        </is>
      </c>
      <c r="C25" s="11" t="n">
        <v>49000</v>
      </c>
      <c r="D25" s="12">
        <f>C25*'00_前提_전제'!$B$6</f>
        <v>147000</v>
      </c>
      <c r="E25" s="9">
        <f>D25*'00_前提_전제'!$B$5</f>
        <v>16170</v>
      </c>
      <c r="F25" s="13" t="inlineStr">
        <is>
          <t>実績</t>
        </is>
      </c>
      <c r="G25" s="7" t="inlineStr">
        <is>
          <t>実績98,000÷2回 ／ 실적 98,000÷2회</t>
        </is>
      </c>
    </row>
    <row r="26">
      <c r="A26" s="14" t="inlineStr"/>
      <c r="B26" s="15" t="inlineStr">
        <is>
          <t>③ 変動費（実績平均） 小計
소계</t>
        </is>
      </c>
      <c r="C26" s="16">
        <f>SUM(C17:C25)</f>
        <v>710460</v>
      </c>
      <c r="D26" s="16">
        <f>SUM(D17:D25)</f>
        <v>2131380</v>
      </c>
      <c r="E26" s="17">
        <f>SUM(E17:E25)</f>
        <v>234451.8</v>
      </c>
      <c r="F26" s="14" t="inlineStr"/>
      <c r="G26" s="14" t="inlineStr"/>
    </row>
    <row r="28">
      <c r="A28" s="10" t="inlineStr">
        <is>
          <t>④ 外注費 ／ 외주비</t>
        </is>
      </c>
    </row>
    <row r="29" ht="26" customHeight="1">
      <c r="A29" s="6" t="inlineStr"/>
      <c r="B29" s="4" t="inlineStr">
        <is>
          <t>外注費
외주비</t>
        </is>
      </c>
      <c r="C29" s="8" t="n">
        <v>500000</v>
      </c>
      <c r="D29" s="12">
        <f>C29*'00_前提_전제'!$B$6</f>
        <v>1500000</v>
      </c>
      <c r="E29" s="9">
        <f>D29*'00_前提_전제'!$B$5</f>
        <v>165000</v>
      </c>
      <c r="F29" s="18" t="inlineStr">
        <is>
          <t>仮</t>
        </is>
      </c>
      <c r="G29" s="7" t="inlineStr">
        <is>
          <t>★未提示。LP外注550,000・商品ページ外注200,000の実績から月割 ／ ★미제출</t>
        </is>
      </c>
    </row>
    <row r="30">
      <c r="A30" s="14" t="inlineStr"/>
      <c r="B30" s="15" t="inlineStr">
        <is>
          <t>④ 外注費 小計
소계</t>
        </is>
      </c>
      <c r="C30" s="16">
        <f>SUM(C29:C29)</f>
        <v>500000</v>
      </c>
      <c r="D30" s="16">
        <f>SUM(D29:D29)</f>
        <v>1500000</v>
      </c>
      <c r="E30" s="17">
        <f>SUM(E29:E29)</f>
        <v>165000</v>
      </c>
      <c r="F30" s="14" t="inlineStr"/>
      <c r="G30" s="14" t="inlineStr"/>
    </row>
  </sheetData>
  <mergeCells count="6">
    <mergeCell ref="A1:G1"/>
    <mergeCell ref="A12:G12"/>
    <mergeCell ref="A2:G2"/>
    <mergeCell ref="A16:G16"/>
    <mergeCell ref="A28:G28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4" customWidth="1" min="4" max="4"/>
    <col width="52" customWidth="1" min="5" max="5"/>
    <col width="48" customWidth="1" min="6" max="6"/>
  </cols>
  <sheetData>
    <row r="1">
      <c r="A1" s="30" t="inlineStr">
        <is>
          <t>要確認リスト ／ 확인 필요 리스트</t>
        </is>
      </c>
    </row>
    <row r="2">
      <c r="A2" s="2" t="inlineStr">
        <is>
          <t>この3項目が埋まれば金額が確定します。／ 이 3개 항목이 채워지면 금액이 확정됩니다.</t>
        </is>
      </c>
    </row>
    <row r="4" ht="30" customHeight="1">
      <c r="A4" s="3" t="inlineStr">
        <is>
          <t>#</t>
        </is>
      </c>
      <c r="B4" s="3" t="inlineStr">
        <is>
          <t>項目
항목</t>
        </is>
      </c>
      <c r="C4" s="3" t="inlineStr">
        <is>
          <t>現在の仮値
현재 가정치</t>
        </is>
      </c>
      <c r="D4" s="3" t="inlineStr">
        <is>
          <t>影響
영향</t>
        </is>
      </c>
      <c r="E4" s="3" t="inlineStr">
        <is>
          <t>どこで確認できるか
어디서 확인</t>
        </is>
      </c>
      <c r="F4" s="3" t="inlineStr">
        <is>
          <t>メモ
메모</t>
        </is>
      </c>
    </row>
    <row r="5" ht="34" customHeight="1">
      <c r="A5" s="39" t="n">
        <v>1</v>
      </c>
      <c r="B5" s="37" t="inlineStr">
        <is>
          <t>800個の通関費
800개 통관비</t>
        </is>
      </c>
      <c r="C5" s="40" t="inlineStr">
        <is>
          <t>1,000円/個（80万円）</t>
        </is>
      </c>
      <c r="D5" s="41" t="inlineStr">
        <is>
          <t>大</t>
        </is>
      </c>
      <c r="E5" s="7" t="inlineStr">
        <is>
          <t>通関士から出た800個の見積 ／ 통관사 800개 견적</t>
        </is>
      </c>
      <c r="F5" s="7" t="inlineStr">
        <is>
          <t>33個便の実績は2,919円/個。800個なら下がる想定で1,000円と置いています ／ 33개 실적 2,919엔/개</t>
        </is>
      </c>
    </row>
    <row r="6" ht="34" customHeight="1">
      <c r="A6" s="39" t="n">
        <v>2</v>
      </c>
      <c r="B6" s="4" t="inlineStr">
        <is>
          <t>外注費（月額）
외주비(월액)</t>
        </is>
      </c>
      <c r="C6" s="40" t="inlineStr">
        <is>
          <t>500,000W（3ヶ月150万W）</t>
        </is>
      </c>
      <c r="D6" s="42" t="inlineStr">
        <is>
          <t>中</t>
        </is>
      </c>
      <c r="E6" s="7" t="inlineStr">
        <is>
          <t>外注先の請求書・見積 ／ 외주처 청구서·견적</t>
        </is>
      </c>
      <c r="F6" s="7" t="inlineStr">
        <is>
          <t>LP外注550,000・商品ページ外注200,000の実績から月割 ／ 실적에서 월할</t>
        </is>
      </c>
    </row>
    <row r="7" ht="34" customHeight="1">
      <c r="A7" s="39" t="n">
        <v>3</v>
      </c>
      <c r="B7" s="4" t="inlineStr">
        <is>
          <t>レビュー費用の実額
리뷰 비용 실액</t>
        </is>
      </c>
      <c r="C7" s="40" t="inlineStr">
        <is>
          <t>60,000W/月</t>
        </is>
      </c>
      <c r="D7" s="39" t="inlineStr">
        <is>
          <t>小</t>
        </is>
      </c>
      <c r="E7" s="7" t="inlineStr">
        <is>
          <t>レビュー施策の実績（送料→手数料→入金まで）／ 리뷰 실적</t>
        </is>
      </c>
      <c r="F7" s="7" t="inlineStr">
        <is>
          <t>フォトレビュー60,000の1回実績のみ。送料・手数料・入金サイトまで含めた実額をご提示ください ／ 실액 제시 바랍니다</t>
        </is>
      </c>
    </row>
    <row r="8" ht="34" customHeight="1">
      <c r="A8" s="39" t="n">
        <v>4</v>
      </c>
      <c r="B8" s="4" t="inlineStr">
        <is>
          <t>800個のSKU内訳
800개 SKU 내역</t>
        </is>
      </c>
      <c r="C8" s="40" t="inlineStr">
        <is>
          <t>S40:M40:L20 仮</t>
        </is>
      </c>
      <c r="D8" s="42" t="inlineStr">
        <is>
          <t>中</t>
        </is>
      </c>
      <c r="E8" s="7" t="inlineStr">
        <is>
          <t>発注書・PI ／ 발주서·PI</t>
        </is>
      </c>
      <c r="F8" s="7" t="inlineStr">
        <is>
          <t>平均仕入原価140,000Wはこの比率での加重平均 ／ 평균 매입원가는 이 비율의 가중평균</t>
        </is>
      </c>
    </row>
    <row r="9" ht="34" customHeight="1">
      <c r="A9" s="39" t="n">
        <v>5</v>
      </c>
      <c r="B9" s="4" t="inlineStr">
        <is>
          <t>入荷月・支払条件
입고월·지급조건</t>
        </is>
      </c>
      <c r="C9" s="40" t="inlineStr">
        <is>
          <t>11月中旬／前金30% 仮</t>
        </is>
      </c>
      <c r="D9" s="42" t="inlineStr">
        <is>
          <t>中</t>
        </is>
      </c>
      <c r="E9" s="7" t="inlineStr">
        <is>
          <t>サプライヤー契約 ／ 공급사 계약</t>
        </is>
      </c>
      <c r="F9" s="7" t="inlineStr">
        <is>
          <t>月別シートの山の位置が変わります ／ 월별 시트의 피크 위치가 바뀝니다</t>
        </is>
      </c>
    </row>
    <row r="10" ht="34" customHeight="1">
      <c r="A10" s="39" t="n">
        <v>6</v>
      </c>
      <c r="B10" s="4" t="inlineStr">
        <is>
          <t>為替レート
환율</t>
        </is>
      </c>
      <c r="C10" s="40" t="inlineStr">
        <is>
          <t>0.11円/W</t>
        </is>
      </c>
      <c r="D10" s="39" t="inlineStr">
        <is>
          <t>小</t>
        </is>
      </c>
      <c r="E10" s="7" t="inlineStr">
        <is>
          <t>当日レート ／ 당일 환율</t>
        </is>
      </c>
      <c r="F10" s="7" t="inlineStr">
        <is>
          <t>±10%で総額が±約160万円動きます ／ ±10%로 총액 ±약 160만엔</t>
        </is>
      </c>
    </row>
    <row r="11">
      <c r="A11" s="10" t="inlineStr">
        <is>
          <t>注記</t>
        </is>
      </c>
    </row>
    <row r="12">
      <c r="A12" s="2" t="inlineStr">
        <is>
          <t>00_前提_전제 の黄色セルを書き換えると、全シートが自動で再計算されます。</t>
        </is>
      </c>
    </row>
    <row r="13">
      <c r="A13" s="2" t="inlineStr">
        <is>
          <t>00_前提_전제 의 노란색 셀을 바꾸면 모든 시트가 자동으로 재계산됩니다.</t>
        </is>
      </c>
    </row>
  </sheetData>
  <mergeCells count="5">
    <mergeCell ref="A2:F2"/>
    <mergeCell ref="A11:F11"/>
    <mergeCell ref="A13:F13"/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  <col width="60" customWidth="1" min="5" max="5"/>
  </cols>
  <sheetData>
    <row r="1">
      <c r="A1" s="19" t="inlineStr">
        <is>
          <t>前提 ／ 전제</t>
        </is>
      </c>
    </row>
    <row r="2">
      <c r="A2" s="2" t="inlineStr">
        <is>
          <t>黄色セルが入力欄です。／ 노란색 셀이 입력란입니다.</t>
        </is>
      </c>
    </row>
    <row r="4" ht="30" customHeight="1">
      <c r="A4" s="3" t="inlineStr">
        <is>
          <t>項目
항목</t>
        </is>
      </c>
      <c r="B4" s="3" t="inlineStr">
        <is>
          <t>値
값</t>
        </is>
      </c>
      <c r="C4" s="3" t="inlineStr">
        <is>
          <t>単位
단위</t>
        </is>
      </c>
      <c r="D4" s="3" t="inlineStr">
        <is>
          <t>円換算
엔 환산</t>
        </is>
      </c>
      <c r="E4" s="3" t="inlineStr">
        <is>
          <t>根拠
근거</t>
        </is>
      </c>
    </row>
    <row r="5" ht="28" customHeight="1">
      <c r="A5" s="4" t="inlineStr">
        <is>
          <t>為替レート
환율</t>
        </is>
      </c>
      <c r="B5" s="5" t="n">
        <v>0.11</v>
      </c>
      <c r="C5" s="6" t="inlineStr">
        <is>
          <t>円/W</t>
        </is>
      </c>
      <c r="D5" s="6" t="inlineStr"/>
      <c r="E5" s="7" t="inlineStr">
        <is>
          <t>1円≒9.09ウォン ／ 1엔≒9.09원</t>
        </is>
      </c>
    </row>
    <row r="6" ht="28" customHeight="1">
      <c r="A6" s="4" t="inlineStr">
        <is>
          <t>対象月数
대상 개월수</t>
        </is>
      </c>
      <c r="B6" s="8" t="n">
        <v>3</v>
      </c>
      <c r="C6" s="6" t="inlineStr">
        <is>
          <t>ヶ月</t>
        </is>
      </c>
      <c r="D6" s="6" t="inlineStr"/>
      <c r="E6" s="7" t="inlineStr">
        <is>
          <t>2026-10 〜 2026-12 ／ 2026-10 ~ 2026-12</t>
        </is>
      </c>
    </row>
    <row r="7" ht="28" customHeight="1">
      <c r="A7" s="4" t="inlineStr">
        <is>
          <t>800個 発注数量
800개 발주수량</t>
        </is>
      </c>
      <c r="B7" s="8" t="n">
        <v>800</v>
      </c>
      <c r="C7" s="6" t="inlineStr">
        <is>
          <t>個</t>
        </is>
      </c>
      <c r="D7" s="6" t="inlineStr"/>
      <c r="E7" s="7" t="inlineStr">
        <is>
          <t>通関士見積の対象 ／ 통관사 견적 대상</t>
        </is>
      </c>
    </row>
    <row r="8" ht="28" customHeight="1">
      <c r="A8" s="4" t="inlineStr">
        <is>
          <t>800個 通関費/個
800개 통관비/개</t>
        </is>
      </c>
      <c r="B8" s="8" t="n">
        <v>1000</v>
      </c>
      <c r="C8" s="6" t="inlineStr">
        <is>
          <t>円/個</t>
        </is>
      </c>
      <c r="D8" s="9">
        <f>IF($C8="W/個",B8*$B$5,B8)</f>
        <v>1000</v>
      </c>
      <c r="E8" s="7" t="inlineStr">
        <is>
          <t>★見積未提示。積み上げ試算 ／ ★견적 미제출. 적산 추정</t>
        </is>
      </c>
    </row>
    <row r="9" ht="28" customHeight="1">
      <c r="A9" s="4" t="inlineStr">
        <is>
          <t>800個 平均仕入原価
800개 평균 매입원가</t>
        </is>
      </c>
      <c r="B9" s="8" t="n">
        <v>140000</v>
      </c>
      <c r="C9" s="6" t="inlineStr">
        <is>
          <t>W/個</t>
        </is>
      </c>
      <c r="D9" s="9">
        <f>IF($C9="W/個",B9*$B$5,B9)</f>
        <v>15400</v>
      </c>
      <c r="E9" s="7" t="inlineStr">
        <is>
          <t>仮ミックス S40:M40:L20 ／ 가정 믹스</t>
        </is>
      </c>
    </row>
    <row r="11">
      <c r="A11" s="10" t="inlineStr">
        <is>
          <t>注記</t>
        </is>
      </c>
    </row>
    <row r="12">
      <c r="A12" s="2" t="inlineStr">
        <is>
          <t>為替・月数・800個の通関費を変えると、全シートが自動で再計算されます。</t>
        </is>
      </c>
    </row>
    <row r="13">
      <c r="A13" s="2" t="inlineStr">
        <is>
          <t>환율·개월수·800개 통관비를 바꾸면 모든 시트가 자동으로 재계산됩니다.</t>
        </is>
      </c>
    </row>
  </sheetData>
  <mergeCells count="5">
    <mergeCell ref="A12:E12"/>
    <mergeCell ref="A2:E2"/>
    <mergeCell ref="A11:E11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2026-09-18T02:53:49Z</dcterms:created>
  <dcterms:modified xsi:type="dcterms:W3CDTF">2026-09-18T02:55:17Z</dcterms:modified>
</cp:coreProperties>
</file>