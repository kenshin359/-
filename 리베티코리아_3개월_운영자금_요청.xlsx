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상세내역" sheetId="2" state="visible" r:id="rId2"/>
    <sheet name="월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원&quot;"/>
    <numFmt numFmtId="165" formatCode="¥#,##0"/>
  </numFmts>
  <fonts count="13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sz val="9"/>
    </font>
    <font>
      <name val="Arial"/>
      <b val="1"/>
      <sz val="11"/>
    </font>
    <font>
      <name val="Arial"/>
      <b val="1"/>
      <sz val="13"/>
    </font>
    <font>
      <name val="Arial"/>
      <b val="1"/>
      <sz val="14"/>
    </font>
    <font>
      <name val="Arial"/>
      <b val="1"/>
      <sz val="12"/>
    </font>
    <font>
      <name val="Arial"/>
      <sz val="10"/>
    </font>
    <font>
      <name val="Arial"/>
      <sz val="11"/>
    </font>
    <font>
      <name val="Arial"/>
      <b val="1"/>
      <color rgb="FFFFFFFF"/>
      <sz val="9"/>
    </font>
    <font>
      <name val="Arial"/>
      <b val="1"/>
      <sz val="10"/>
    </font>
    <font>
      <name val="Arial"/>
      <color rgb="FFC00000"/>
      <sz val="10"/>
    </font>
    <font>
      <name val="Arial"/>
      <color rgb="FF8A9A99"/>
      <sz val="10"/>
    </font>
  </fonts>
  <fills count="9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1F4E78"/>
      </patternFill>
    </fill>
    <fill>
      <patternFill patternType="solid">
        <fgColor rgb="FFFFFF00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0" pivotButton="0" quotePrefix="0" xfId="0"/>
    <xf numFmtId="0" fontId="4" fillId="3" borderId="1" pivotButton="0" quotePrefix="0" xfId="0"/>
    <xf numFmtId="164" fontId="5" fillId="4" borderId="1" pivotButton="0" quotePrefix="0" xfId="0"/>
    <xf numFmtId="165" fontId="6" fillId="4" borderId="1" pivotButton="0" quotePrefix="0" xfId="0"/>
    <xf numFmtId="0" fontId="7" fillId="3" borderId="1" pivotButton="0" quotePrefix="0" xfId="0"/>
    <xf numFmtId="0" fontId="8" fillId="0" borderId="1" pivotButton="0" quotePrefix="0" xfId="0"/>
    <xf numFmtId="164" fontId="6" fillId="0" borderId="1" pivotButton="0" quotePrefix="0" xfId="0"/>
    <xf numFmtId="165" fontId="7" fillId="0" borderId="1" pivotButton="0" quotePrefix="0" xfId="0"/>
    <xf numFmtId="0" fontId="7" fillId="0" borderId="1" pivotButton="0" quotePrefix="0" xfId="0"/>
    <xf numFmtId="164" fontId="6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164" fontId="8" fillId="0" borderId="1" pivotButton="0" quotePrefix="0" xfId="0"/>
    <xf numFmtId="164" fontId="8" fillId="7" borderId="1" pivotButton="0" quotePrefix="0" xfId="0"/>
    <xf numFmtId="0" fontId="3" fillId="3" borderId="1" pivotButton="0" quotePrefix="0" xfId="0"/>
    <xf numFmtId="164" fontId="3" fillId="3" borderId="1" pivotButton="0" quotePrefix="0" xfId="0"/>
    <xf numFmtId="165" fontId="10" fillId="3" borderId="1" pivotButton="0" quotePrefix="0" xfId="0"/>
    <xf numFmtId="164" fontId="8" fillId="5" borderId="1" pivotButton="0" quotePrefix="0" xfId="0"/>
    <xf numFmtId="0" fontId="3" fillId="4" borderId="1" applyAlignment="1" pivotButton="0" quotePrefix="0" xfId="0">
      <alignment horizontal="center" vertical="center"/>
    </xf>
    <xf numFmtId="0" fontId="6" fillId="4" borderId="1" pivotButton="0" quotePrefix="0" xfId="0"/>
    <xf numFmtId="164" fontId="4" fillId="4" borderId="1" pivotButton="0" quotePrefix="0" xfId="0"/>
    <xf numFmtId="165" fontId="3" fillId="4" borderId="1" pivotButton="0" quotePrefix="0" xfId="0"/>
    <xf numFmtId="0" fontId="7" fillId="4" borderId="1" pivotButton="0" quotePrefix="0" xfId="0"/>
    <xf numFmtId="164" fontId="7" fillId="0" borderId="1" pivotButton="0" quotePrefix="0" xfId="0"/>
    <xf numFmtId="164" fontId="7" fillId="4" borderId="1" pivotButton="0" quotePrefix="0" xfId="0"/>
    <xf numFmtId="164" fontId="11" fillId="0" borderId="1" pivotButton="0" quotePrefix="0" xfId="0"/>
    <xf numFmtId="164" fontId="3" fillId="8" borderId="1" pivotButton="0" quotePrefix="0" xfId="0"/>
    <xf numFmtId="0" fontId="3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2" fillId="0" borderId="1" pivotButton="0" quotePrefix="0" xfId="0"/>
    <xf numFmtId="164" fontId="12" fillId="0" borderId="1" pivotButton="0" quotePrefix="0" xfId="0"/>
    <xf numFmtId="164" fontId="10" fillId="4" borderId="1" pivotButton="0" quotePrefix="0" xfId="0"/>
    <xf numFmtId="0" fontId="7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164" fontId="10" fillId="0" borderId="1" pivotButton="0" quotePrefix="0" xfId="0"/>
    <xf numFmtId="164" fontId="7" fillId="7" borderId="1" pivotButton="0" quotePrefix="0" xfId="0"/>
    <xf numFmtId="0" fontId="7" fillId="8" borderId="1" applyAlignment="1" pivotButton="0" quotePrefix="0" xfId="0">
      <alignment horizontal="center" vertical="center"/>
    </xf>
    <xf numFmtId="0" fontId="3" fillId="0" borderId="1" pivotButton="0" quotePrefix="0" xfId="0"/>
    <xf numFmtId="164" fontId="3" fillId="0" borderId="1" pivotButton="0" quotePrefix="0" xfId="0"/>
    <xf numFmtId="164" fontId="6" fillId="3" borderId="1" pivotButton="0" quotePrefix="0" xfId="0"/>
    <xf numFmtId="165" fontId="10" fillId="0" borderId="1" pivotButton="0" quotePrefix="0" xfId="0"/>
    <xf numFmtId="164" fontId="7" fillId="5" borderId="1" pivotButton="0" quotePrefix="0" xfId="0"/>
    <xf numFmtId="164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9" customWidth="1" min="3" max="3"/>
    <col width="17" customWidth="1" min="4" max="4"/>
    <col width="42" customWidth="1" min="5" max="5"/>
  </cols>
  <sheetData>
    <row r="1">
      <c r="A1" s="1" t="inlineStr">
        <is>
          <t>리베티코리아 3개월 운영자금 요청</t>
        </is>
      </c>
    </row>
    <row r="2">
      <c r="A2" s="2" t="inlineStr">
        <is>
          <t>대상 기간 2026-10 ~ 2026-12  |  제출처 일본 본사  |  작성일 2026-09-18  |  환율 0.11 엔/원</t>
        </is>
      </c>
    </row>
    <row r="4">
      <c r="A4" s="3" t="inlineStr">
        <is>
          <t>결론</t>
        </is>
      </c>
    </row>
    <row r="5" ht="28" customHeight="1">
      <c r="B5" s="4" t="inlineStr">
        <is>
          <t>요청 총액</t>
        </is>
      </c>
      <c r="C5" s="5">
        <f>상세내역!E29</f>
        <v>43193588</v>
      </c>
      <c r="D5" s="6">
        <f>C5*0.11</f>
        <v>4751294.68</v>
      </c>
      <c r="E5" s="7" t="inlineStr">
        <is>
          <t>실제 소진분 + 가배송 회전자금</t>
        </is>
      </c>
    </row>
    <row r="6" ht="24" customHeight="1">
      <c r="B6" s="8" t="inlineStr">
        <is>
          <t xml:space="preserve">  └ 실제 소진 금액</t>
        </is>
      </c>
      <c r="C6" s="9">
        <f>상세내역!E27</f>
        <v>29648588</v>
      </c>
      <c r="D6" s="10">
        <f>C6*0.11</f>
        <v>3261344.68</v>
      </c>
      <c r="E6" s="11" t="inlineStr">
        <is>
          <t>①+②+③+⑤  회수되지 않고 없어지는 돈</t>
        </is>
      </c>
    </row>
    <row r="7" ht="24" customHeight="1">
      <c r="B7" s="8" t="inlineStr">
        <is>
          <t xml:space="preserve">  └ 가배송 회전 운영자금</t>
        </is>
      </c>
      <c r="C7" s="12">
        <f>상세내역!E28</f>
        <v>13545000</v>
      </c>
      <c r="D7" s="10">
        <f>C7*0.11</f>
        <v>1489950</v>
      </c>
      <c r="E7" s="11" t="inlineStr">
        <is>
          <t>④  정산으로 회수 → 다음 달 재사용</t>
        </is>
      </c>
    </row>
    <row r="9">
      <c r="A9" s="3" t="inlineStr">
        <is>
          <t>구분별 금액</t>
        </is>
      </c>
    </row>
    <row r="10">
      <c r="A10" s="13" t="inlineStr"/>
      <c r="B10" s="13" t="inlineStr">
        <is>
          <t>구분</t>
        </is>
      </c>
      <c r="C10" s="13" t="inlineStr">
        <is>
          <t>3개월 금액</t>
        </is>
      </c>
      <c r="D10" s="13" t="inlineStr">
        <is>
          <t>엔 환산</t>
        </is>
      </c>
      <c r="E10" s="13" t="inlineStr">
        <is>
          <t>비고</t>
        </is>
      </c>
    </row>
    <row r="11" ht="24" customHeight="1">
      <c r="A11" s="14" t="inlineStr">
        <is>
          <t>①</t>
        </is>
      </c>
      <c r="B11" s="8" t="inlineStr">
        <is>
          <t>3개월 고정비</t>
        </is>
      </c>
      <c r="C11" s="15">
        <f>상세내역!E10</f>
        <v>17385000</v>
      </c>
      <c r="D11" s="10">
        <f>C11*0.11</f>
        <v>1912350</v>
      </c>
      <c r="E11" s="11" t="inlineStr">
        <is>
          <t>인건비·세무비·월세·관리비</t>
        </is>
      </c>
    </row>
    <row r="12" ht="24" customHeight="1">
      <c r="A12" s="14" t="inlineStr">
        <is>
          <t>②</t>
        </is>
      </c>
      <c r="B12" s="8" t="inlineStr">
        <is>
          <t>3개월 마케팅·운영비</t>
        </is>
      </c>
      <c r="C12" s="16">
        <f>상세내역!E18</f>
        <v>8340000</v>
      </c>
      <c r="D12" s="10">
        <f>C12*0.11</f>
        <v>917400</v>
      </c>
      <c r="E12" s="11" t="inlineStr">
        <is>
          <t>★ 절감 반영 (기존 15,960,000원)</t>
        </is>
      </c>
    </row>
    <row r="13" ht="24" customHeight="1">
      <c r="A13" s="14" t="inlineStr">
        <is>
          <t>③</t>
        </is>
      </c>
      <c r="B13" s="8" t="inlineStr">
        <is>
          <t>가배송 관련 비용</t>
        </is>
      </c>
      <c r="C13" s="15">
        <f>상세내역!E23</f>
        <v>2511750</v>
      </c>
      <c r="D13" s="10">
        <f>C13*0.11</f>
        <v>276292.5</v>
      </c>
      <c r="E13" s="11" t="inlineStr">
        <is>
          <t>배송비 + 세금계산서 수수료 5%</t>
        </is>
      </c>
    </row>
    <row r="14" ht="24" customHeight="1">
      <c r="A14" s="14" t="inlineStr">
        <is>
          <t>⑤</t>
        </is>
      </c>
      <c r="B14" s="8" t="inlineStr">
        <is>
          <t>예비비</t>
        </is>
      </c>
      <c r="C14" s="15">
        <f>상세내역!E25</f>
        <v>1411838</v>
      </c>
      <c r="D14" s="10">
        <f>C14*0.11</f>
        <v>155302.18</v>
      </c>
      <c r="E14" s="11" t="inlineStr">
        <is>
          <t>(①+②+③) × 5%</t>
        </is>
      </c>
    </row>
    <row r="15" ht="24" customHeight="1">
      <c r="A15" s="14" t="inlineStr"/>
      <c r="B15" s="17" t="inlineStr">
        <is>
          <t>실제 소진 소계</t>
        </is>
      </c>
      <c r="C15" s="18">
        <f>상세내역!E27</f>
        <v>29648588</v>
      </c>
      <c r="D15" s="19">
        <f>C15*0.11</f>
        <v>3261344.68</v>
      </c>
      <c r="E15" s="11" t="inlineStr">
        <is>
          <t>위 4개 항목의 합계</t>
        </is>
      </c>
    </row>
    <row r="16" ht="24" customHeight="1">
      <c r="A16" s="14" t="inlineStr">
        <is>
          <t>④</t>
        </is>
      </c>
      <c r="B16" s="8" t="inlineStr">
        <is>
          <t>가배송 회전 운영자금</t>
        </is>
      </c>
      <c r="C16" s="20">
        <f>상세내역!E28</f>
        <v>13545000</v>
      </c>
      <c r="D16" s="10">
        <f>C16*0.11</f>
        <v>1489950</v>
      </c>
      <c r="E16" s="11" t="inlineStr">
        <is>
          <t>1개월분만 필요 (정산으로 회수)</t>
        </is>
      </c>
    </row>
    <row r="17" ht="30" customHeight="1">
      <c r="A17" s="21" t="inlineStr">
        <is>
          <t>■</t>
        </is>
      </c>
      <c r="B17" s="22" t="inlineStr">
        <is>
          <t>요청 총액</t>
        </is>
      </c>
      <c r="C17" s="23">
        <f>상세내역!E29</f>
        <v>43193588</v>
      </c>
      <c r="D17" s="24">
        <f>C17*0.11</f>
        <v>4751294.68</v>
      </c>
      <c r="E17" s="25" t="inlineStr"/>
    </row>
    <row r="19">
      <c r="A19" s="3" t="inlineStr">
        <is>
          <t>절감 내역 (마케팅·운영비)</t>
        </is>
      </c>
    </row>
    <row r="20">
      <c r="A20" s="13" t="inlineStr"/>
      <c r="B20" s="13" t="inlineStr">
        <is>
          <t>항목</t>
        </is>
      </c>
      <c r="C20" s="13" t="inlineStr">
        <is>
          <t>기존 (월)</t>
        </is>
      </c>
      <c r="D20" s="13" t="inlineStr">
        <is>
          <t>절감 후 (월)</t>
        </is>
      </c>
      <c r="E20" s="13" t="inlineStr">
        <is>
          <t>차이</t>
        </is>
      </c>
    </row>
    <row r="21">
      <c r="A21" s="11" t="inlineStr"/>
      <c r="B21" s="11" t="inlineStr">
        <is>
          <t>메타 광고비</t>
        </is>
      </c>
      <c r="C21" s="26" t="n">
        <v>3960000</v>
      </c>
      <c r="D21" s="27" t="n">
        <v>2000000</v>
      </c>
      <c r="E21" s="28">
        <f>D21-C21</f>
        <v>-1960000</v>
      </c>
    </row>
    <row r="22">
      <c r="A22" s="11" t="inlineStr"/>
      <c r="B22" s="11" t="inlineStr">
        <is>
          <t>네이버·쿠팡 마케팅</t>
        </is>
      </c>
      <c r="C22" s="26" t="n">
        <v>500000</v>
      </c>
      <c r="D22" s="27" t="n">
        <v>300000</v>
      </c>
      <c r="E22" s="28">
        <f>D22-C22</f>
        <v>-200000</v>
      </c>
    </row>
    <row r="23">
      <c r="A23" s="11" t="inlineStr"/>
      <c r="B23" s="11" t="inlineStr">
        <is>
          <t>택배비</t>
        </is>
      </c>
      <c r="C23" s="26" t="n">
        <v>60000</v>
      </c>
      <c r="D23" s="26" t="n">
        <v>60000</v>
      </c>
      <c r="E23" s="26">
        <f>D23-C23</f>
        <v>0</v>
      </c>
    </row>
    <row r="24">
      <c r="A24" s="11" t="inlineStr"/>
      <c r="B24" s="11" t="inlineStr">
        <is>
          <t>교통비·출장</t>
        </is>
      </c>
      <c r="C24" s="26" t="n">
        <v>650000</v>
      </c>
      <c r="D24" s="27" t="n">
        <v>300000</v>
      </c>
      <c r="E24" s="28">
        <f>D24-C24</f>
        <v>-350000</v>
      </c>
    </row>
    <row r="25">
      <c r="A25" s="11" t="inlineStr"/>
      <c r="B25" s="11" t="inlineStr">
        <is>
          <t>기타 운영비</t>
        </is>
      </c>
      <c r="C25" s="26" t="n">
        <v>150000</v>
      </c>
      <c r="D25" s="27" t="n">
        <v>120000</v>
      </c>
      <c r="E25" s="28">
        <f>D25-C25</f>
        <v>-30000</v>
      </c>
    </row>
    <row r="26">
      <c r="A26" s="7" t="inlineStr"/>
      <c r="B26" s="17" t="inlineStr">
        <is>
          <t>3개월 합계</t>
        </is>
      </c>
      <c r="C26" s="18">
        <f>SUM(C21:C25)*3</f>
        <v>15960000</v>
      </c>
      <c r="D26" s="18">
        <f>SUM(D21:D25)*3</f>
        <v>8340000</v>
      </c>
      <c r="E26" s="29">
        <f>D26-C26</f>
        <v>-7620000</v>
      </c>
    </row>
    <row r="28">
      <c r="A28" s="3" t="inlineStr">
        <is>
          <t>注記</t>
        </is>
      </c>
    </row>
    <row r="29">
      <c r="A29" s="2" t="inlineStr">
        <is>
          <t>◆ 요청 총액이 51,194,588원 → 43,193,588원으로 8,001,000원(-15.6%) 줄었습니다. (엔 환산 ¥5,631,405 → ¥4,751,295)</t>
        </is>
      </c>
    </row>
    <row r="30">
      <c r="A30" s="2" t="inlineStr">
        <is>
          <t>◆ 요청 총액 43,193,588원 중 13,545,000원은 가배송 회전자금입니다. 정산으로 회수되어 다시 쓰므로, 실제로 없어지는 돈은 29,648,588원입니다.</t>
        </is>
      </c>
    </row>
    <row r="31">
      <c r="A31" s="2" t="inlineStr">
        <is>
          <t>◆ 메타 광고비를 실적(3,960,000원/월)의 절반인 2,000,000원/월로 잡았습니다. 10월은 재고가 22개뿐이라 대규모 집행이 불가능하고, 11월 입고 후 단계적으로 늘리는 전제입니다.</t>
        </is>
      </c>
    </row>
    <row r="32">
      <c r="A32" s="2" t="inlineStr">
        <is>
          <t>◆ 출장비(항공 980,000 + 숙박 135,500)는 이번 3개월 산정에서 제외했습니다. 촬영·콘텐츠 제작비와 EMS도 제외 상태입니다.</t>
        </is>
      </c>
    </row>
    <row r="33">
      <c r="A33" s="2" t="inlineStr">
        <is>
          <t>◆ 세금계산서 수수료(2,031,750원)가 발생하지 않으면 총액은 41,060,250원으로 줄어듭니다.</t>
        </is>
      </c>
    </row>
    <row r="34">
      <c r="A34" s="2" t="inlineStr">
        <is>
          <t>◆ 상품 매입 대금과 800개 통관 비용은 이 요청에 포함되지 않았습니다 (별도 건).</t>
        </is>
      </c>
    </row>
  </sheetData>
  <mergeCells count="12">
    <mergeCell ref="A30:E30"/>
    <mergeCell ref="A34:E34"/>
    <mergeCell ref="A29:E29"/>
    <mergeCell ref="A4:E4"/>
    <mergeCell ref="A2:E2"/>
    <mergeCell ref="A28:E28"/>
    <mergeCell ref="A19:E19"/>
    <mergeCell ref="A33:E33"/>
    <mergeCell ref="A1:E1"/>
    <mergeCell ref="A32:E32"/>
    <mergeCell ref="A31:E31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15" customWidth="1" min="3" max="3"/>
    <col width="15" customWidth="1" min="4" max="4"/>
    <col width="16" customWidth="1" min="5" max="5"/>
    <col width="15" customWidth="1" min="6" max="6"/>
    <col width="11" customWidth="1" min="7" max="7"/>
    <col width="46" customWidth="1" min="8" max="8"/>
  </cols>
  <sheetData>
    <row r="1">
      <c r="A1" s="1" t="inlineStr">
        <is>
          <t>상세 내역</t>
        </is>
      </c>
    </row>
    <row r="2">
      <c r="A2" s="2" t="inlineStr">
        <is>
          <t>「실적」은 2025.12~2026.08 실제 지출에서 산출, 「예상치」는 근거를 명시한 가정치입니다.</t>
        </is>
      </c>
    </row>
    <row r="4" ht="26" customHeight="1">
      <c r="A4" s="13" t="inlineStr"/>
      <c r="B4" s="13" t="inlineStr">
        <is>
          <t>항목</t>
        </is>
      </c>
      <c r="C4" s="13" t="inlineStr">
        <is>
          <t>기존(월)</t>
        </is>
      </c>
      <c r="D4" s="13" t="inlineStr">
        <is>
          <t>절감 후(월)</t>
        </is>
      </c>
      <c r="E4" s="13" t="inlineStr">
        <is>
          <t>3개월</t>
        </is>
      </c>
      <c r="F4" s="13" t="inlineStr">
        <is>
          <t>엔 환산</t>
        </is>
      </c>
      <c r="G4" s="13" t="inlineStr">
        <is>
          <t>구분</t>
        </is>
      </c>
      <c r="H4" s="13" t="inlineStr">
        <is>
          <t>산정 근거</t>
        </is>
      </c>
    </row>
    <row r="5">
      <c r="A5" s="30" t="inlineStr">
        <is>
          <t>①</t>
        </is>
      </c>
      <c r="B5" s="17" t="inlineStr">
        <is>
          <t>3개월 고정비</t>
        </is>
      </c>
      <c r="C5" s="7" t="n"/>
      <c r="D5" s="7" t="n"/>
      <c r="E5" s="7" t="n"/>
      <c r="F5" s="7" t="n"/>
      <c r="G5" s="7" t="n"/>
      <c r="H5" s="7" t="n"/>
    </row>
    <row r="6">
      <c r="A6" s="11" t="inlineStr"/>
      <c r="B6" s="11" t="inlineStr">
        <is>
          <t xml:space="preserve">  인건비</t>
        </is>
      </c>
      <c r="C6" s="26" t="n">
        <v>5000000</v>
      </c>
      <c r="D6" s="26" t="n">
        <v>5000000</v>
      </c>
      <c r="E6" s="26">
        <f>D6*3</f>
        <v>15000000</v>
      </c>
      <c r="F6" s="10">
        <f>E6*0.11</f>
        <v>1650000</v>
      </c>
      <c r="G6" s="31" t="inlineStr">
        <is>
          <t>확정</t>
        </is>
      </c>
      <c r="H6" s="32" t="inlineStr">
        <is>
          <t>지정 금액</t>
        </is>
      </c>
    </row>
    <row r="7">
      <c r="A7" s="11" t="inlineStr"/>
      <c r="B7" s="11" t="inlineStr">
        <is>
          <t xml:space="preserve">  세무비</t>
        </is>
      </c>
      <c r="C7" s="26" t="n">
        <v>80000</v>
      </c>
      <c r="D7" s="26" t="n">
        <v>80000</v>
      </c>
      <c r="E7" s="26">
        <f>D7*3</f>
        <v>240000</v>
      </c>
      <c r="F7" s="10">
        <f>E7*0.11</f>
        <v>26400</v>
      </c>
      <c r="G7" s="31" t="inlineStr">
        <is>
          <t>확정</t>
        </is>
      </c>
      <c r="H7" s="32" t="inlineStr">
        <is>
          <t>지정 금액</t>
        </is>
      </c>
    </row>
    <row r="8">
      <c r="A8" s="11" t="inlineStr"/>
      <c r="B8" s="11" t="inlineStr">
        <is>
          <t xml:space="preserve">  사무실 월세</t>
        </is>
      </c>
      <c r="C8" s="26" t="n">
        <v>550000</v>
      </c>
      <c r="D8" s="26" t="n">
        <v>550000</v>
      </c>
      <c r="E8" s="26">
        <f>D8*3</f>
        <v>1650000</v>
      </c>
      <c r="F8" s="10">
        <f>E8*0.11</f>
        <v>181500</v>
      </c>
      <c r="G8" s="31" t="inlineStr">
        <is>
          <t>확정</t>
        </is>
      </c>
      <c r="H8" s="32" t="inlineStr">
        <is>
          <t>지정 금액</t>
        </is>
      </c>
    </row>
    <row r="9">
      <c r="A9" s="11" t="inlineStr"/>
      <c r="B9" s="11" t="inlineStr">
        <is>
          <t xml:space="preserve">  관리비</t>
        </is>
      </c>
      <c r="C9" s="26" t="n">
        <v>165000</v>
      </c>
      <c r="D9" s="26" t="n">
        <v>165000</v>
      </c>
      <c r="E9" s="26">
        <f>D9*3</f>
        <v>495000</v>
      </c>
      <c r="F9" s="10">
        <f>E9*0.11</f>
        <v>54450</v>
      </c>
      <c r="G9" s="31" t="inlineStr">
        <is>
          <t>확정</t>
        </is>
      </c>
      <c r="H9" s="32" t="inlineStr">
        <is>
          <t>지정 금액</t>
        </is>
      </c>
    </row>
    <row r="10">
      <c r="A10" s="7" t="inlineStr"/>
      <c r="B10" s="17" t="inlineStr">
        <is>
          <t>① 소계</t>
        </is>
      </c>
      <c r="C10" s="18">
        <f>SUM(C6:C9)</f>
        <v>5795000</v>
      </c>
      <c r="D10" s="18">
        <f>SUM(D6:D9)</f>
        <v>5795000</v>
      </c>
      <c r="E10" s="18">
        <f>SUM(E6:E9)</f>
        <v>17385000</v>
      </c>
      <c r="F10" s="19">
        <f>E10*0.11</f>
        <v>1912350</v>
      </c>
      <c r="G10" s="7" t="n"/>
      <c r="H10" s="7" t="n"/>
    </row>
    <row r="12">
      <c r="A12" s="30" t="inlineStr">
        <is>
          <t>②</t>
        </is>
      </c>
      <c r="B12" s="17" t="inlineStr">
        <is>
          <t>3개월 마케팅·운영비</t>
        </is>
      </c>
      <c r="C12" s="7" t="n"/>
      <c r="D12" s="7" t="n"/>
      <c r="E12" s="7" t="n"/>
      <c r="F12" s="7" t="n"/>
      <c r="G12" s="7" t="n"/>
      <c r="H12" s="7" t="n"/>
    </row>
    <row r="13" ht="30" customHeight="1">
      <c r="A13" s="11" t="inlineStr"/>
      <c r="B13" s="11" t="inlineStr">
        <is>
          <t xml:space="preserve">  메타 광고비</t>
        </is>
      </c>
      <c r="C13" s="33" t="n">
        <v>3960000</v>
      </c>
      <c r="D13" s="34" t="n">
        <v>2000000</v>
      </c>
      <c r="E13" s="26">
        <f>D13*3</f>
        <v>6000000</v>
      </c>
      <c r="F13" s="10">
        <f>E13*0.11</f>
        <v>660000</v>
      </c>
      <c r="G13" s="35" t="inlineStr">
        <is>
          <t>절감</t>
        </is>
      </c>
      <c r="H13" s="36" t="inlineStr">
        <is>
          <t>실적 3,960,000은 7/18–8/19 집중 집행분. 10월은 재고 22개뿐이라 대규모 집행 불가, 11월 입고 후 단계적 확대 전제로 절반 수준</t>
        </is>
      </c>
    </row>
    <row r="14" ht="30" customHeight="1">
      <c r="A14" s="11" t="inlineStr"/>
      <c r="B14" s="11" t="inlineStr">
        <is>
          <t xml:space="preserve">  네이버·쿠팡 마케팅</t>
        </is>
      </c>
      <c r="C14" s="33" t="n">
        <v>500000</v>
      </c>
      <c r="D14" s="34" t="n">
        <v>300000</v>
      </c>
      <c r="E14" s="26">
        <f>D14*3</f>
        <v>900000</v>
      </c>
      <c r="F14" s="10">
        <f>E14*0.11</f>
        <v>99000</v>
      </c>
      <c r="G14" s="35" t="inlineStr">
        <is>
          <t>절감</t>
        </is>
      </c>
      <c r="H14" s="36" t="inlineStr">
        <is>
          <t>실적 기준 151,700원/월. 재개분을 감안해 실적의 약 2배로 축소</t>
        </is>
      </c>
    </row>
    <row r="15" ht="30" customHeight="1">
      <c r="A15" s="11" t="inlineStr"/>
      <c r="B15" s="11" t="inlineStr">
        <is>
          <t xml:space="preserve">  택배비</t>
        </is>
      </c>
      <c r="C15" s="33" t="n">
        <v>60000</v>
      </c>
      <c r="D15" s="37" t="n">
        <v>60000</v>
      </c>
      <c r="E15" s="26">
        <f>D15*3</f>
        <v>180000</v>
      </c>
      <c r="F15" s="10">
        <f>E15*0.11</f>
        <v>19800</v>
      </c>
      <c r="G15" s="31" t="inlineStr">
        <is>
          <t>유지</t>
        </is>
      </c>
      <c r="H15" s="36" t="inlineStr">
        <is>
          <t>실적 420,300÷7회=60,043. 이미 최소 수준이라 유지</t>
        </is>
      </c>
    </row>
    <row r="16" ht="30" customHeight="1">
      <c r="A16" s="11" t="inlineStr"/>
      <c r="B16" s="11" t="inlineStr">
        <is>
          <t xml:space="preserve">  교통비·출장</t>
        </is>
      </c>
      <c r="C16" s="33" t="n">
        <v>650000</v>
      </c>
      <c r="D16" s="34" t="n">
        <v>300000</v>
      </c>
      <c r="E16" s="26">
        <f>D16*3</f>
        <v>900000</v>
      </c>
      <c r="F16" s="10">
        <f>E16*0.11</f>
        <v>99000</v>
      </c>
      <c r="G16" s="35" t="inlineStr">
        <is>
          <t>절감</t>
        </is>
      </c>
      <c r="H16" s="36" t="inlineStr">
        <is>
          <t>출장(항공 980,000+숙박 135,500)을 제외. 일상 교통 256,667 + 주차 25,550 = 282,217 반올림</t>
        </is>
      </c>
    </row>
    <row r="17" ht="30" customHeight="1">
      <c r="A17" s="11" t="inlineStr"/>
      <c r="B17" s="11" t="inlineStr">
        <is>
          <t xml:space="preserve">  기타 운영비</t>
        </is>
      </c>
      <c r="C17" s="33" t="n">
        <v>150000</v>
      </c>
      <c r="D17" s="34" t="n">
        <v>120000</v>
      </c>
      <c r="E17" s="26">
        <f>D17*3</f>
        <v>360000</v>
      </c>
      <c r="F17" s="10">
        <f>E17*0.11</f>
        <v>39600</v>
      </c>
      <c r="G17" s="35" t="inlineStr">
        <is>
          <t>절감</t>
        </is>
      </c>
      <c r="H17" s="36" t="inlineStr">
        <is>
          <t>실적 휴대폰 55,500+기타 49,000+소프트웨어 9,900=114,400 반올림</t>
        </is>
      </c>
    </row>
    <row r="18">
      <c r="A18" s="7" t="inlineStr"/>
      <c r="B18" s="17" t="inlineStr">
        <is>
          <t>② 소계</t>
        </is>
      </c>
      <c r="C18" s="18">
        <f>SUM(C13:C17)</f>
        <v>5320000</v>
      </c>
      <c r="D18" s="18">
        <f>SUM(D13:D17)</f>
        <v>2780000</v>
      </c>
      <c r="E18" s="18">
        <f>SUM(E13:E17)</f>
        <v>8340000</v>
      </c>
      <c r="F18" s="19">
        <f>E18*0.11</f>
        <v>917400</v>
      </c>
      <c r="G18" s="7" t="n"/>
      <c r="H18" s="7" t="n"/>
    </row>
    <row r="20">
      <c r="A20" s="30" t="inlineStr">
        <is>
          <t>③</t>
        </is>
      </c>
      <c r="B20" s="17" t="inlineStr">
        <is>
          <t>가배송 관련 비용</t>
        </is>
      </c>
      <c r="C20" s="7" t="n"/>
      <c r="D20" s="7" t="n"/>
      <c r="E20" s="7" t="n"/>
      <c r="F20" s="7" t="n"/>
      <c r="G20" s="7" t="n"/>
      <c r="H20" s="7" t="n"/>
    </row>
    <row r="21" ht="26" customHeight="1">
      <c r="A21" s="11" t="inlineStr"/>
      <c r="B21" s="11" t="inlineStr">
        <is>
          <t xml:space="preserve">  가배송 배송비</t>
        </is>
      </c>
      <c r="C21" s="11" t="inlineStr"/>
      <c r="D21" s="11" t="inlineStr"/>
      <c r="E21" s="26" t="n">
        <v>480000</v>
      </c>
      <c r="F21" s="10">
        <f>E21*0.11</f>
        <v>52800</v>
      </c>
      <c r="G21" s="31" t="inlineStr">
        <is>
          <t>확정</t>
        </is>
      </c>
      <c r="H21" s="36" t="inlineStr">
        <is>
          <t>6개월 960,000원의 3개월분 (건당 3,000원 × 165건)</t>
        </is>
      </c>
    </row>
    <row r="22" ht="26" customHeight="1">
      <c r="A22" s="11" t="inlineStr"/>
      <c r="B22" s="11" t="inlineStr">
        <is>
          <t xml:space="preserve">  세금계산서 발행 수수료 5%</t>
        </is>
      </c>
      <c r="C22" s="11" t="inlineStr"/>
      <c r="D22" s="11" t="inlineStr"/>
      <c r="E22" s="38" t="n">
        <v>2031750</v>
      </c>
      <c r="F22" s="10">
        <f>E22*0.11</f>
        <v>223492.5</v>
      </c>
      <c r="G22" s="39" t="inlineStr">
        <is>
          <t>조건부</t>
        </is>
      </c>
      <c r="H22" s="36" t="inlineStr">
        <is>
          <t>가배송 주문액 13,545,000 × 5% × 3개월</t>
        </is>
      </c>
    </row>
    <row r="23">
      <c r="A23" s="7" t="inlineStr"/>
      <c r="B23" s="17" t="inlineStr">
        <is>
          <t>③ 소계</t>
        </is>
      </c>
      <c r="C23" s="7" t="n"/>
      <c r="D23" s="7" t="n"/>
      <c r="E23" s="18">
        <f>SUM(E21:E22)</f>
        <v>2511750</v>
      </c>
      <c r="F23" s="19">
        <f>E23*0.11</f>
        <v>276292.5</v>
      </c>
      <c r="G23" s="7" t="n"/>
      <c r="H23" s="7" t="n"/>
    </row>
    <row r="25" ht="26" customHeight="1">
      <c r="A25" s="14" t="inlineStr">
        <is>
          <t>⑤</t>
        </is>
      </c>
      <c r="B25" s="40" t="inlineStr">
        <is>
          <t>예비비</t>
        </is>
      </c>
      <c r="C25" s="11" t="n"/>
      <c r="D25" s="11" t="n"/>
      <c r="E25" s="41">
        <f>ROUND((E10+E18+E23)*0.05,0)</f>
        <v>1411838</v>
      </c>
      <c r="F25" s="10">
        <f>E25*0.11</f>
        <v>155302.18</v>
      </c>
      <c r="G25" s="35" t="inlineStr">
        <is>
          <t>예상치</t>
        </is>
      </c>
      <c r="H25" s="36" t="inlineStr">
        <is>
          <t>(①+②+③) × 5%. 환율 변동·긴급 대응용. 일반적인 10%보다 보수적으로 설정</t>
        </is>
      </c>
    </row>
    <row r="27">
      <c r="A27" s="7" t="inlineStr"/>
      <c r="B27" s="17" t="inlineStr">
        <is>
          <t>실제 소진 소계 (①+②+③+⑤)</t>
        </is>
      </c>
      <c r="C27" s="7" t="n"/>
      <c r="D27" s="7" t="n"/>
      <c r="E27" s="42">
        <f>E10+E18+E23+E25</f>
        <v>29648588</v>
      </c>
      <c r="F27" s="19">
        <f>E27*0.11</f>
        <v>3261344.68</v>
      </c>
      <c r="G27" s="7" t="n"/>
      <c r="H27" s="7" t="n"/>
    </row>
    <row r="28" ht="26" customHeight="1">
      <c r="A28" s="14" t="inlineStr">
        <is>
          <t>④</t>
        </is>
      </c>
      <c r="B28" s="40" t="inlineStr">
        <is>
          <t>가배송 회전 운영자금 (1개월분)</t>
        </is>
      </c>
      <c r="C28" s="11" t="n"/>
      <c r="D28" s="11" t="n"/>
      <c r="E28" s="12" t="n">
        <v>13545000</v>
      </c>
      <c r="F28" s="43">
        <f>E28*0.11</f>
        <v>1489950</v>
      </c>
      <c r="G28" s="31" t="inlineStr">
        <is>
          <t>확정</t>
        </is>
      </c>
      <c r="H28" s="36" t="inlineStr">
        <is>
          <t>S 30개×219,000 + M 25개×279,000. 정산으로 회수되어 다음 달 재사용</t>
        </is>
      </c>
    </row>
    <row r="29" ht="30" customHeight="1">
      <c r="A29" s="21" t="inlineStr">
        <is>
          <t>■</t>
        </is>
      </c>
      <c r="B29" s="22" t="inlineStr">
        <is>
          <t>요청 총액</t>
        </is>
      </c>
      <c r="C29" s="25" t="n"/>
      <c r="D29" s="25" t="n"/>
      <c r="E29" s="23">
        <f>E27+E28</f>
        <v>43193588</v>
      </c>
      <c r="F29" s="24">
        <f>E29*0.11</f>
        <v>4751294.68</v>
      </c>
      <c r="G29" s="25" t="n"/>
      <c r="H29" s="25" t="n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  <col width="17" customWidth="1" min="4" max="4"/>
    <col width="18" customWidth="1" min="5" max="5"/>
    <col width="38" customWidth="1" min="6" max="6"/>
  </cols>
  <sheetData>
    <row r="1">
      <c r="A1" s="1" t="inlineStr">
        <is>
          <t>월별 자금 소요</t>
        </is>
      </c>
    </row>
    <row r="2">
      <c r="A2" s="2" t="inlineStr">
        <is>
          <t>1개월차에 가배송 회전자금이 한 번에 들어가므로 첫 달만 큽니다. 2개월차부터는 동일합니다.</t>
        </is>
      </c>
    </row>
    <row r="4">
      <c r="A4" s="13" t="inlineStr">
        <is>
          <t>구분</t>
        </is>
      </c>
      <c r="B4" s="13" t="inlineStr">
        <is>
          <t>1개월차</t>
        </is>
      </c>
      <c r="C4" s="13" t="inlineStr">
        <is>
          <t>2개월차</t>
        </is>
      </c>
      <c r="D4" s="13" t="inlineStr">
        <is>
          <t>3개월차</t>
        </is>
      </c>
      <c r="E4" s="13" t="inlineStr">
        <is>
          <t>3개월 합계</t>
        </is>
      </c>
      <c r="F4" s="13" t="inlineStr">
        <is>
          <t>비고</t>
        </is>
      </c>
    </row>
    <row r="5" ht="24" customHeight="1">
      <c r="A5" s="8" t="inlineStr">
        <is>
          <t>① 고정비</t>
        </is>
      </c>
      <c r="B5" s="26" t="n">
        <v>5795000</v>
      </c>
      <c r="C5" s="26" t="n">
        <v>5795000</v>
      </c>
      <c r="D5" s="26" t="n">
        <v>5795000</v>
      </c>
      <c r="E5" s="26">
        <f>SUM(B5:D5)</f>
        <v>17385000</v>
      </c>
      <c r="F5" s="11" t="inlineStr">
        <is>
          <t>매월 동일</t>
        </is>
      </c>
    </row>
    <row r="6" ht="24" customHeight="1">
      <c r="A6" s="8" t="inlineStr">
        <is>
          <t>② 마케팅·운영비</t>
        </is>
      </c>
      <c r="B6" s="26" t="n">
        <v>2780000</v>
      </c>
      <c r="C6" s="26" t="n">
        <v>2780000</v>
      </c>
      <c r="D6" s="26" t="n">
        <v>2780000</v>
      </c>
      <c r="E6" s="26">
        <f>SUM(B6:D6)</f>
        <v>8340000</v>
      </c>
      <c r="F6" s="11" t="inlineStr">
        <is>
          <t>절감 반영</t>
        </is>
      </c>
    </row>
    <row r="7" ht="24" customHeight="1">
      <c r="A7" s="8" t="inlineStr">
        <is>
          <t>③ 가배송 배송비·수수료</t>
        </is>
      </c>
      <c r="B7" s="26" t="n">
        <v>837250</v>
      </c>
      <c r="C7" s="26" t="n">
        <v>837250</v>
      </c>
      <c r="D7" s="26" t="n">
        <v>837250</v>
      </c>
      <c r="E7" s="26">
        <f>SUM(B7:D7)</f>
        <v>2511750</v>
      </c>
      <c r="F7" s="11" t="inlineStr">
        <is>
          <t>배송비 160,000 + 수수료 677,250</t>
        </is>
      </c>
    </row>
    <row r="8" ht="24" customHeight="1">
      <c r="A8" s="8" t="inlineStr">
        <is>
          <t>⑤ 예비비</t>
        </is>
      </c>
      <c r="B8" s="26" t="n">
        <v>470612.6666666667</v>
      </c>
      <c r="C8" s="26" t="n">
        <v>470612.6666666667</v>
      </c>
      <c r="D8" s="26" t="n">
        <v>470612.6666666667</v>
      </c>
      <c r="E8" s="26">
        <f>SUM(B8:D8)</f>
        <v>1411838</v>
      </c>
      <c r="F8" s="11" t="inlineStr">
        <is>
          <t>3개월 균등 배분</t>
        </is>
      </c>
    </row>
    <row r="9" ht="24" customHeight="1">
      <c r="A9" s="8" t="inlineStr">
        <is>
          <t>④ 가배송 회전 운영자금</t>
        </is>
      </c>
      <c r="B9" s="44" t="n">
        <v>13545000</v>
      </c>
      <c r="C9" s="26" t="n"/>
      <c r="D9" s="26" t="n"/>
      <c r="E9" s="26">
        <f>SUM(B9:D9)</f>
        <v>13545000</v>
      </c>
      <c r="F9" s="11" t="inlineStr">
        <is>
          <t>1개월차에만 필요</t>
        </is>
      </c>
    </row>
    <row r="10" ht="30" customHeight="1">
      <c r="A10" s="22" t="inlineStr">
        <is>
          <t>월 소요액</t>
        </is>
      </c>
      <c r="B10" s="45">
        <f>SUM(A5:A9)</f>
        <v>23427862.666666664</v>
      </c>
      <c r="C10" s="45">
        <f>SUM(B5:B9)</f>
        <v>9882862.666666666</v>
      </c>
      <c r="D10" s="45">
        <f>SUM(C5:C9)</f>
        <v>9882862.666666666</v>
      </c>
      <c r="E10" s="45">
        <f>SUM(B10:D10)</f>
        <v>43193588</v>
      </c>
      <c r="F10" s="25" t="inlineStr"/>
    </row>
    <row r="11">
      <c r="A11" s="11" t="inlineStr">
        <is>
          <t>엔 환산</t>
        </is>
      </c>
      <c r="B11" s="10">
        <f>A10*0.11</f>
        <v>2577064.893333333</v>
      </c>
      <c r="C11" s="10">
        <f>B10*0.11</f>
        <v>1087114.8933333333</v>
      </c>
      <c r="D11" s="10">
        <f>C10*0.11</f>
        <v>1087114.8933333333</v>
      </c>
      <c r="E11" s="10">
        <f>E10*0.11</f>
        <v>4751294.68</v>
      </c>
      <c r="F11" s="11" t="inlineStr"/>
    </row>
    <row r="13">
      <c r="A13" s="3" t="inlineStr">
        <is>
          <t>注記</t>
        </is>
      </c>
    </row>
    <row r="14">
      <c r="A14" s="2" t="inlineStr">
        <is>
          <t>◆ 1개월차 23,427,863원 (¥2,577,065) / 2~3개월차 각 9,882,863원 (¥1,087,115)</t>
        </is>
      </c>
    </row>
    <row r="15">
      <c r="A15" s="2" t="inlineStr">
        <is>
          <t>◆ 가배송 회전자금 13,545,000원은 1개월차에만 투입하며, 이후에는 정산으로 회수한 자금을 재사용합니다.</t>
        </is>
      </c>
    </row>
    <row r="16">
      <c r="A16" s="2" t="inlineStr">
        <is>
          <t>◆ 현재 재고 22개 기준으로는 월 55건 가배송이 어렵습니다. 800개 입고(11월 중순) 이후 본격 진행이 가능하므로, 필요 시 회전자금 투입을 2개월차로 조정할 수 있습니다.</t>
        </is>
      </c>
    </row>
  </sheetData>
  <mergeCells count="6">
    <mergeCell ref="A2:F2"/>
    <mergeCell ref="A16:F16"/>
    <mergeCell ref="A13:F13"/>
    <mergeCell ref="A14:F14"/>
    <mergeCell ref="A1:F1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2026-09-18T09:09:53Z</dcterms:created>
  <dcterms:modified xsi:type="dcterms:W3CDTF">2026-09-18T09:09:53Z</dcterms:modified>
</cp:coreProperties>
</file>