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 Summary" sheetId="1" state="visible" r:id="rId1"/>
    <sheet name="02_Assumptions" sheetId="2" state="visible" r:id="rId2"/>
    <sheet name="03_Market" sheetId="3" state="visible" r:id="rId3"/>
    <sheet name="04_Competitor" sheetId="4" state="visible" r:id="rId4"/>
    <sheet name="05_Pricing" sheetId="5" state="visible" r:id="rId5"/>
    <sheet name="06_Unit Economics" sheetId="6" state="visible" r:id="rId6"/>
    <sheet name="07_Sales Forecast" sheetId="7" state="visible" r:id="rId7"/>
    <sheet name="08_Advertising" sheetId="8" state="visible" r:id="rId8"/>
    <sheet name="09_Funnel" sheetId="9" state="visible" r:id="rId9"/>
    <sheet name="10_P&amp;L" sheetId="10" state="visible" r:id="rId10"/>
    <sheet name="11_Cash Flow" sheetId="11" state="visible" r:id="rId11"/>
    <sheet name="12_Inventory" sheetId="12" state="visible" r:id="rId12"/>
    <sheet name="13_Scenario" sheetId="13" state="visible" r:id="rId13"/>
    <sheet name="14_Risk" sheetId="14" state="visible" r:id="rId14"/>
    <sheet name="15_MVP" sheetId="15" state="visible" r:id="rId15"/>
    <sheet name="16_KPI Dashboard" sheetId="16" state="visible" r:id="rId16"/>
    <sheet name="17_Action Plan" sheetId="17" state="visible" r:id="rId17"/>
    <sheet name="18_Premortem &amp; Scor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¥#,##0"/>
    <numFmt numFmtId="167" formatCode="#,##0.0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color rgb="FFFFFFFF"/>
      <sz val="9"/>
    </font>
    <font>
      <name val="Arial"/>
      <sz val="10"/>
    </font>
    <font>
      <name val="Arial"/>
      <color rgb="FF0000FF"/>
      <sz val="10"/>
    </font>
    <font>
      <name val="Arial"/>
      <b val="1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4" borderId="1" pivotButton="0" quotePrefix="0" xfId="0"/>
    <xf numFmtId="0" fontId="2" fillId="0" borderId="1" applyAlignment="1" pivotButton="0" quotePrefix="0" xfId="0">
      <alignment vertical="center" wrapText="1"/>
    </xf>
    <xf numFmtId="3" fontId="5" fillId="0" borderId="1" pivotButton="0" quotePrefix="0" xfId="0"/>
    <xf numFmtId="3" fontId="5" fillId="4" borderId="1" pivotButton="0" quotePrefix="0" xfId="0"/>
    <xf numFmtId="165" fontId="5" fillId="4" borderId="1" pivotButton="0" quotePrefix="0" xfId="0"/>
    <xf numFmtId="0" fontId="4" fillId="5" borderId="1" pivotButton="0" quotePrefix="0" xfId="0"/>
    <xf numFmtId="0" fontId="6" fillId="6" borderId="0" pivotButton="0" quotePrefix="0" xfId="0"/>
    <xf numFmtId="0" fontId="7" fillId="0" borderId="1" pivotButton="0" quotePrefix="0" xfId="0"/>
    <xf numFmtId="166" fontId="7" fillId="6" borderId="1" pivotButton="0" quotePrefix="0" xfId="0"/>
    <xf numFmtId="165" fontId="7" fillId="6" borderId="1" pivotButton="0" quotePrefix="0" xfId="0"/>
    <xf numFmtId="3" fontId="7" fillId="6" borderId="1" pivotButton="0" quotePrefix="0" xfId="0"/>
    <xf numFmtId="0" fontId="1" fillId="2" borderId="0" applyAlignment="1" pivotButton="0" quotePrefix="0" xfId="0">
      <alignment horizontal="center" vertical="center"/>
    </xf>
    <xf numFmtId="166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7" borderId="1" pivotButton="0" quotePrefix="0" xfId="0"/>
    <xf numFmtId="166" fontId="4" fillId="8" borderId="1" pivotButton="0" quotePrefix="0" xfId="0"/>
    <xf numFmtId="166" fontId="4" fillId="5" borderId="1" pivotButton="0" quotePrefix="0" xfId="0"/>
    <xf numFmtId="166" fontId="4" fillId="4" borderId="1" pivotButton="0" quotePrefix="0" xfId="0"/>
    <xf numFmtId="0" fontId="7" fillId="6" borderId="1" pivotButton="0" quotePrefix="0" xfId="0"/>
    <xf numFmtId="3" fontId="4" fillId="5" borderId="1" pivotButton="0" quotePrefix="0" xfId="0"/>
    <xf numFmtId="165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7" fillId="5" borderId="1" pivotButton="0" quotePrefix="0" xfId="0"/>
    <xf numFmtId="166" fontId="7" fillId="0" borderId="1" pivotButton="0" quotePrefix="0" xfId="0"/>
    <xf numFmtId="166" fontId="7" fillId="5" borderId="1" pivotButton="0" quotePrefix="0" xfId="0"/>
    <xf numFmtId="166" fontId="7" fillId="7" borderId="1" pivotButton="0" quotePrefix="0" xfId="0"/>
    <xf numFmtId="165" fontId="7" fillId="5" borderId="1" pivotButton="0" quotePrefix="0" xfId="0"/>
    <xf numFmtId="165" fontId="7" fillId="7" borderId="1" pivotButton="0" quotePrefix="0" xfId="0"/>
    <xf numFmtId="0" fontId="1" fillId="2" borderId="0" applyAlignment="1" pivotButton="0" quotePrefix="0" xfId="0">
      <alignment horizontal="center" vertical="center"/>
    </xf>
    <xf numFmtId="167" fontId="7" fillId="5" borderId="1" pivotButton="0" quotePrefix="0" xfId="0"/>
    <xf numFmtId="167" fontId="4" fillId="5" borderId="1" pivotButton="0" quotePrefix="0" xfId="0"/>
    <xf numFmtId="167" fontId="4" fillId="8" borderId="1" pivotButton="0" quotePrefix="0" xfId="0"/>
    <xf numFmtId="167" fontId="4" fillId="0" borderId="1" pivotButton="0" quotePrefix="0" xfId="0"/>
    <xf numFmtId="3" fontId="4" fillId="8" borderId="1" pivotButton="0" quotePrefix="0" xfId="0"/>
    <xf numFmtId="165" fontId="7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8" borderId="1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4" fillId="8" borderId="1" pivotButton="0" quotePrefix="0" xfId="0"/>
    <xf numFmtId="0" fontId="4" fillId="0" borderId="0" applyAlignment="1" pivotButton="0" quotePrefix="0" xfId="0">
      <alignment vertical="center" wrapText="1"/>
    </xf>
    <xf numFmtId="3" fontId="4" fillId="4" borderId="1" pivotButton="0" quotePrefix="0" xfId="0"/>
    <xf numFmtId="167" fontId="4" fillId="4" borderId="1" pivotButton="0" quotePrefix="0" xfId="0"/>
    <xf numFmtId="167" fontId="4" fillId="7" borderId="1" pivotButton="0" quotePrefix="0" xfId="0"/>
    <xf numFmtId="0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3" fontId="7" fillId="0" borderId="1" pivotButton="0" quotePrefix="0" xfId="0"/>
    <xf numFmtId="3" fontId="7" fillId="5" borderId="1" pivotButton="0" quotePrefix="0" xfId="0"/>
    <xf numFmtId="0" fontId="1" fillId="2" borderId="0" applyAlignment="1" pivotButton="0" quotePrefix="0" xfId="0">
      <alignment horizontal="center" vertical="center"/>
    </xf>
    <xf numFmtId="3" fontId="7" fillId="7" borderId="1" pivotButton="0" quotePrefix="0" xfId="0"/>
    <xf numFmtId="0" fontId="7" fillId="0" borderId="0" applyAlignment="1" pivotButton="0" quotePrefix="0" xfId="0">
      <alignment vertical="center" wrapText="1"/>
    </xf>
    <xf numFmtId="0" fontId="4" fillId="8" borderId="1" pivotButton="0" quotePrefix="0" xfId="0"/>
    <xf numFmtId="0" fontId="4" fillId="7" borderId="1" pivotButton="0" quotePrefix="0" xfId="0"/>
    <xf numFmtId="168" fontId="7" fillId="5" borderId="1" pivotButton="0" quotePrefix="0" xfId="0"/>
    <xf numFmtId="0" fontId="7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6" customWidth="1" min="4" max="4"/>
    <col width="62" customWidth="1" min="5" max="5"/>
  </cols>
  <sheetData>
    <row r="1">
      <c r="A1" s="52" t="inlineStr">
        <is>
          <t>LIBETEE KOREA ｜ スーツケース700個 大量入荷 投資審査</t>
        </is>
      </c>
    </row>
    <row r="2">
      <c r="A2" s="2" t="inlineStr">
        <is>
          <t>対象: 今後入荷予定700個への投資判断 ／ 審査日 2026-09-11 ／ A=投資委員会・B=経営者モード ／ 数値は 02_Assumptions と連動</t>
        </is>
      </c>
    </row>
    <row r="4">
      <c r="A4" s="11" t="inlineStr">
        <is>
          <t>【結論】</t>
        </is>
      </c>
    </row>
    <row r="5">
      <c r="A5" s="42" t="inlineStr">
        <is>
          <t>1. 700個の一括発注は、完売しても標準ケースで年間営業赤字（−1,268,328円）。数量そのものが損益分岐に届いていない。</t>
        </is>
      </c>
    </row>
    <row r="6">
      <c r="A6" s="42" t="inlineStr">
        <is>
          <t>2. 損益分岐は月78個＝年936個。700個／年では固定費を回収できない。</t>
        </is>
      </c>
    </row>
    <row r="7">
      <c r="A7" s="42" t="inlineStr">
        <is>
          <t>3. 投資額 約1,078万円・最大運転資金 約1,420万円は、過去9ヶ月の全支出（約417万円）の2.6〜3.4倍。実績販売データ無しでこの規模は承認できない。</t>
        </is>
      </c>
    </row>
    <row r="9">
      <c r="A9" s="11" t="inlineStr">
        <is>
          <t>【投資判断】</t>
        </is>
      </c>
    </row>
    <row r="10">
      <c r="A10" s="3" t="inlineStr">
        <is>
          <t>項目</t>
        </is>
      </c>
      <c r="B10" s="3" t="inlineStr">
        <is>
          <t>判定・数値</t>
        </is>
      </c>
      <c r="C10" s="3" t="inlineStr"/>
      <c r="D10" s="3" t="inlineStr"/>
      <c r="E10" s="3" t="inlineStr">
        <is>
          <t>根拠</t>
        </is>
      </c>
    </row>
    <row r="11">
      <c r="A11" s="12" t="inlineStr">
        <is>
          <t>投資判断（700個一括）</t>
        </is>
      </c>
      <c r="B11" s="28" t="inlineStr">
        <is>
          <t>NO GO</t>
        </is>
      </c>
      <c r="C11" s="12" t="inlineStr"/>
      <c r="D11" s="12" t="inlineStr"/>
      <c r="E11" s="12" t="inlineStr">
        <is>
          <t>総合38.3点／即却下レンジ。完売しても標準ケースで年間赤字</t>
        </is>
      </c>
    </row>
    <row r="12">
      <c r="A12" s="12" t="inlineStr">
        <is>
          <t>投資判断（小ロット追加）</t>
        </is>
      </c>
      <c r="B12" s="43" t="inlineStr">
        <is>
          <t>条件付きGO</t>
        </is>
      </c>
      <c r="C12" s="12" t="inlineStr"/>
      <c r="D12" s="12" t="inlineStr"/>
      <c r="E12" s="44" t="inlineStr">
        <is>
          <t>100〜150個に縮小し、実績CPA・販売数を取得してから再審査</t>
        </is>
      </c>
    </row>
    <row r="13">
      <c r="A13" s="4" t="inlineStr">
        <is>
          <t>総合スコア</t>
        </is>
      </c>
      <c r="B13" s="10" t="inlineStr">
        <is>
          <t>38.3 / 100</t>
        </is>
      </c>
      <c r="C13" s="4" t="inlineStr"/>
      <c r="D13" s="4" t="inlineStr"/>
      <c r="E13" s="4" t="inlineStr">
        <is>
          <t>18_Premortem &amp; Score の12項目評価</t>
        </is>
      </c>
    </row>
    <row r="14">
      <c r="A14" s="4" t="inlineStr">
        <is>
          <t>投資可能上限</t>
        </is>
      </c>
      <c r="B14" s="4" t="inlineStr">
        <is>
          <t>¥2,200,000</t>
        </is>
      </c>
      <c r="C14" s="4" t="inlineStr"/>
      <c r="D14" s="4" t="inlineStr"/>
      <c r="E14" s="45" t="inlineStr">
        <is>
          <t>小ロット150個相当。700個には出さない（15_MVP Gate4まで）</t>
        </is>
      </c>
    </row>
    <row r="15">
      <c r="A15" s="4" t="inlineStr">
        <is>
          <t>最大損失許容額</t>
        </is>
      </c>
      <c r="B15" s="4" t="inlineStr">
        <is>
          <t>¥3,500,000</t>
        </is>
      </c>
      <c r="C15" s="4" t="inlineStr"/>
      <c r="D15" s="4" t="inlineStr"/>
      <c r="E15" s="4" t="inlineStr">
        <is>
          <t>★手元資金が未開示のため暫定。Gate0で確定させること</t>
        </is>
      </c>
    </row>
    <row r="16">
      <c r="A16" s="4" t="inlineStr">
        <is>
          <t>損益分岐売上（月）</t>
        </is>
      </c>
      <c r="B16" s="17">
        <f>'02_Assumptions'!$B$42</f>
        <v>2082600</v>
      </c>
      <c r="C16" s="4" t="inlineStr"/>
      <c r="D16" s="4" t="inlineStr"/>
      <c r="E16" s="4" t="inlineStr">
        <is>
          <t>損益分岐数量×平均単価</t>
        </is>
      </c>
    </row>
    <row r="17">
      <c r="A17" s="4" t="inlineStr">
        <is>
          <t>損益分岐販売数（月）</t>
        </is>
      </c>
      <c r="B17" s="18">
        <f>'02_Assumptions'!$B$40</f>
        <v>78</v>
      </c>
      <c r="C17" s="4" t="inlineStr"/>
      <c r="D17" s="4" t="inlineStr"/>
      <c r="E17" s="4" t="inlineStr">
        <is>
          <t>固定費 ÷ 平均限界利益</t>
        </is>
      </c>
    </row>
    <row r="18">
      <c r="A18" s="4" t="inlineStr">
        <is>
          <t>損益分岐販売数（年）</t>
        </is>
      </c>
      <c r="B18" s="18">
        <f>'02_Assumptions'!$B$41</f>
        <v>936</v>
      </c>
      <c r="C18" s="4" t="inlineStr"/>
      <c r="D18" s="4" t="inlineStr"/>
      <c r="E18" s="4" t="inlineStr">
        <is>
          <t>700個／年では未達</t>
        </is>
      </c>
    </row>
    <row r="19">
      <c r="A19" s="4" t="inlineStr">
        <is>
          <t>目標CPA</t>
        </is>
      </c>
      <c r="B19" s="17">
        <f>'02_Assumptions'!$B$17</f>
        <v>4500</v>
      </c>
      <c r="C19" s="4" t="inlineStr"/>
      <c r="D19" s="4" t="inlineStr"/>
      <c r="E19" s="4" t="inlineStr">
        <is>
          <t>客単価3万円×15%（社内基準）</t>
        </is>
      </c>
    </row>
    <row r="20">
      <c r="A20" s="4" t="inlineStr">
        <is>
          <t>許容CPA上限</t>
        </is>
      </c>
      <c r="B20" s="17">
        <f>'02_Assumptions'!$B$18</f>
        <v>6000</v>
      </c>
      <c r="C20" s="4" t="inlineStr"/>
      <c r="D20" s="4" t="inlineStr"/>
      <c r="E20" s="4" t="inlineStr">
        <is>
          <t>超えたら広告停止</t>
        </is>
      </c>
    </row>
    <row r="21">
      <c r="A21" s="4" t="inlineStr">
        <is>
          <t>現状の粗利率</t>
        </is>
      </c>
      <c r="B21" s="46">
        <f>'02_Assumptions'!$B$37/'02_Assumptions'!$B$35</f>
        <v>0.3719850187265918</v>
      </c>
      <c r="C21" s="4" t="inlineStr"/>
      <c r="D21" s="4" t="inlineStr"/>
      <c r="E21" s="4" t="inlineStr">
        <is>
          <t>EC物販の健全値50%に対し不足</t>
        </is>
      </c>
    </row>
    <row r="22">
      <c r="A22" s="4" t="inlineStr">
        <is>
          <t>必要粗利率</t>
        </is>
      </c>
      <c r="B22" s="4" t="inlineStr">
        <is>
          <t>50% 以上</t>
        </is>
      </c>
      <c r="C22" s="4" t="inlineStr"/>
      <c r="D22" s="4" t="inlineStr"/>
      <c r="E22" s="4" t="inlineStr">
        <is>
          <t>値上げ・原価低減・手数料低減のいずれかが必須</t>
        </is>
      </c>
    </row>
    <row r="24">
      <c r="A24" s="11" t="inlineStr">
        <is>
          <t>【最大の勝ち筋】</t>
        </is>
      </c>
    </row>
    <row r="25">
      <c r="A25" s="47" t="inlineStr">
        <is>
          <t>1. 700個発注による仕入単価の引き下げ。▲20%取れれば限界利益は5,432→8,512円、損益分岐は78→50個/月に改善する。ここが唯一の反転条件。</t>
        </is>
      </c>
    </row>
    <row r="26">
      <c r="A26" s="47" t="inlineStr">
        <is>
          <t>2. L（大型）の予約販売。在庫を持つ前に実需・CVRを実測できる、キャッシュを使わない唯一の検証手段。</t>
        </is>
      </c>
    </row>
    <row r="27">
      <c r="A27" s="47" t="inlineStr">
        <is>
          <t>3. レビュー資産とオーガニック流入の積み上げでCPAを下げる。CPA4,500→3,600で月58個でも黒字転換する。</t>
        </is>
      </c>
    </row>
    <row r="29">
      <c r="A29" s="11" t="inlineStr">
        <is>
          <t>【最大のリスク】</t>
        </is>
      </c>
    </row>
    <row r="30">
      <c r="A30" s="47" t="inlineStr">
        <is>
          <t>1. 在庫の不良化。標準ペースでも消化12ヶ月、悲観なら24ヶ月。悲観ケースの滞留352個は半額処分で約271万円の損失。</t>
        </is>
      </c>
    </row>
    <row r="31">
      <c r="A31" s="47" t="inlineStr">
        <is>
          <t>2. キャッシュ枯渇。最大運転資金 約1,420万円を回収前に先出しする。手元資金が未開示のまま発注はできない。</t>
        </is>
      </c>
    </row>
    <row r="32">
      <c r="A32" s="47" t="inlineStr">
        <is>
          <t>3. 手数料前提の崩壊。4%はモール手数料として異常に低い。実態が12%なら限界利益は5,432→3,472円に落ちる。</t>
        </is>
      </c>
    </row>
    <row r="34">
      <c r="A34" s="11" t="inlineStr">
        <is>
          <t>前提と限界</t>
        </is>
      </c>
    </row>
    <row r="35">
      <c r="A35" s="2" t="inlineStr">
        <is>
          <t>本審査は提供データ（支出実績2025.12-2026.08／原価S10万W・M15万W／売価S21,900・M27,900円／手数料4%／送料300円／社内CPA基準）に基づく。</t>
        </is>
      </c>
    </row>
    <row r="36">
      <c r="A36" s="2" t="inlineStr">
        <is>
          <t>★最重要不足データ：実績販売数・実績CPA/CVR・返品率・関税/国際送料/倉庫費・手元キャッシュ・700個のSKU内訳と数量割引後単価・リピート率。</t>
        </is>
      </c>
    </row>
    <row r="37">
      <c r="A37" s="2" t="inlineStr">
        <is>
          <t>為替0.11円/ウォン、L価格33,900円・原価20万W、ミックスS40:M40:L20 は仮定値。02_Assumptions で変更すると全シートが再計算されます。</t>
        </is>
      </c>
    </row>
  </sheetData>
  <mergeCells count="19">
    <mergeCell ref="A30:E30"/>
    <mergeCell ref="A34:E34"/>
    <mergeCell ref="A24:E24"/>
    <mergeCell ref="A1:E1"/>
    <mergeCell ref="A36:E36"/>
    <mergeCell ref="A6:E6"/>
    <mergeCell ref="A7:E7"/>
    <mergeCell ref="A25:E25"/>
    <mergeCell ref="A37:E37"/>
    <mergeCell ref="A27:E27"/>
    <mergeCell ref="A26:E26"/>
    <mergeCell ref="A2:E2"/>
    <mergeCell ref="A5:E5"/>
    <mergeCell ref="A32:E32"/>
    <mergeCell ref="A29:E29"/>
    <mergeCell ref="A4:E4"/>
    <mergeCell ref="A35:E35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56" customWidth="1" min="5" max="5"/>
  </cols>
  <sheetData>
    <row r="1">
      <c r="A1" s="52" t="inlineStr">
        <is>
          <t>前提条件（Assumptions）— 全シートはここを参照</t>
        </is>
      </c>
    </row>
    <row r="2">
      <c r="A2" s="2" t="inlineStr">
        <is>
          <t>黄色セル＝入力欄。ここを書き換えると 05/06/07/10/11/12/13 が自動再計算されます。確度: 確定=実データ／仮定=分析用に置いた値／★要確認=判断を左右する未確認値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確度</t>
        </is>
      </c>
      <c r="E4" s="3" t="inlineStr">
        <is>
          <t>根拠・リスク</t>
        </is>
      </c>
    </row>
    <row r="5">
      <c r="A5" s="4" t="inlineStr">
        <is>
          <t>為替レート</t>
        </is>
      </c>
      <c r="B5" s="5" t="n">
        <v>0.11</v>
      </c>
      <c r="C5" s="4" t="inlineStr">
        <is>
          <t>円/ウォン</t>
        </is>
      </c>
      <c r="D5" s="4" t="inlineStr">
        <is>
          <t>仮定</t>
        </is>
      </c>
      <c r="E5" s="6" t="inlineStr">
        <is>
          <t>実レートで要更新。±10%で限界利益が±1,540円動く</t>
        </is>
      </c>
    </row>
    <row r="6">
      <c r="A6" s="4" t="inlineStr">
        <is>
          <t>売価 S</t>
        </is>
      </c>
      <c r="B6" s="7" t="n">
        <v>21900</v>
      </c>
      <c r="C6" s="4" t="inlineStr">
        <is>
          <t>円</t>
        </is>
      </c>
      <c r="D6" s="4" t="inlineStr">
        <is>
          <t>確定</t>
        </is>
      </c>
      <c r="E6" s="6" t="inlineStr">
        <is>
          <t>ご指定</t>
        </is>
      </c>
    </row>
    <row r="7">
      <c r="A7" s="4" t="inlineStr">
        <is>
          <t>売価 M</t>
        </is>
      </c>
      <c r="B7" s="7" t="n">
        <v>27900</v>
      </c>
      <c r="C7" s="4" t="inlineStr">
        <is>
          <t>円</t>
        </is>
      </c>
      <c r="D7" s="4" t="inlineStr">
        <is>
          <t>確定</t>
        </is>
      </c>
      <c r="E7" s="6" t="inlineStr">
        <is>
          <t>ご指定</t>
        </is>
      </c>
    </row>
    <row r="8">
      <c r="A8" s="4" t="inlineStr">
        <is>
          <t>売価 L</t>
        </is>
      </c>
      <c r="B8" s="8" t="n">
        <v>33900</v>
      </c>
      <c r="C8" s="4" t="inlineStr">
        <is>
          <t>円</t>
        </is>
      </c>
      <c r="D8" s="4" t="inlineStr">
        <is>
          <t>仮定</t>
        </is>
      </c>
      <c r="E8" s="6" t="inlineStr">
        <is>
          <t>未指定。S→Mの刻み+6,000円から推定</t>
        </is>
      </c>
    </row>
    <row r="9">
      <c r="A9" s="4" t="inlineStr">
        <is>
          <t>仕入原価 S</t>
        </is>
      </c>
      <c r="B9" s="7" t="n">
        <v>100000</v>
      </c>
      <c r="C9" s="4" t="inlineStr">
        <is>
          <t>ウォン</t>
        </is>
      </c>
      <c r="D9" s="4" t="inlineStr">
        <is>
          <t>確定</t>
        </is>
      </c>
      <c r="E9" s="6" t="inlineStr">
        <is>
          <t>スーツケース_仕入状況</t>
        </is>
      </c>
    </row>
    <row r="10">
      <c r="A10" s="4" t="inlineStr">
        <is>
          <t>仕入原価 M</t>
        </is>
      </c>
      <c r="B10" s="7" t="n">
        <v>150000</v>
      </c>
      <c r="C10" s="4" t="inlineStr">
        <is>
          <t>ウォン</t>
        </is>
      </c>
      <c r="D10" s="4" t="inlineStr">
        <is>
          <t>確定</t>
        </is>
      </c>
      <c r="E10" s="6" t="inlineStr">
        <is>
          <t>スーツケース_仕入状況</t>
        </is>
      </c>
    </row>
    <row r="11">
      <c r="A11" s="4" t="inlineStr">
        <is>
          <t>仕入原価 L</t>
        </is>
      </c>
      <c r="B11" s="8" t="n">
        <v>200000</v>
      </c>
      <c r="C11" s="4" t="inlineStr">
        <is>
          <t>ウォン</t>
        </is>
      </c>
      <c r="D11" s="4" t="inlineStr">
        <is>
          <t>仮定</t>
        </is>
      </c>
      <c r="E11" s="6" t="inlineStr">
        <is>
          <t>未指定。S→Mの刻み+50,000Wから推定</t>
        </is>
      </c>
    </row>
    <row r="12">
      <c r="A12" s="4" t="inlineStr">
        <is>
          <t>モール/決済手数料率</t>
        </is>
      </c>
      <c r="B12" s="9" t="n">
        <v>0.04</v>
      </c>
      <c r="C12" s="4" t="inlineStr">
        <is>
          <t>—</t>
        </is>
      </c>
      <c r="D12" s="10" t="inlineStr">
        <is>
          <t>★要確認</t>
        </is>
      </c>
      <c r="E12" s="6" t="inlineStr">
        <is>
          <t>★楽天・Amazonは通常10〜15%。4%は自社EC/PGのみの水準</t>
        </is>
      </c>
    </row>
    <row r="13">
      <c r="A13" s="4" t="inlineStr">
        <is>
          <t>送料（自社負担）</t>
        </is>
      </c>
      <c r="B13" s="7" t="n">
        <v>300</v>
      </c>
      <c r="C13" s="4" t="inlineStr">
        <is>
          <t>円/個</t>
        </is>
      </c>
      <c r="D13" s="4" t="inlineStr">
        <is>
          <t>確定</t>
        </is>
      </c>
      <c r="E13" s="6" t="inlineStr">
        <is>
          <t>ご指定。大型商品のため実額要検証</t>
        </is>
      </c>
    </row>
    <row r="14">
      <c r="A14" s="4" t="inlineStr">
        <is>
          <t>関税・国際送料・倉庫費</t>
        </is>
      </c>
      <c r="B14" s="8" t="n">
        <v>0</v>
      </c>
      <c r="C14" s="4" t="inlineStr">
        <is>
          <t>円/個</t>
        </is>
      </c>
      <c r="D14" s="10" t="inlineStr">
        <is>
          <t>★要確認</t>
        </is>
      </c>
      <c r="E14" s="6" t="inlineStr">
        <is>
          <t>★未算入。+1,000円で損益分岐は78→95個/月</t>
        </is>
      </c>
    </row>
    <row r="15">
      <c r="A15" s="4" t="inlineStr">
        <is>
          <t>返品引当</t>
        </is>
      </c>
      <c r="B15" s="8" t="n">
        <v>0</v>
      </c>
      <c r="C15" s="4" t="inlineStr">
        <is>
          <t>円/個</t>
        </is>
      </c>
      <c r="D15" s="10" t="inlineStr">
        <is>
          <t>★要確認</t>
        </is>
      </c>
      <c r="E15" s="6" t="inlineStr">
        <is>
          <t>★未算入。EC平均で売価の2〜5%</t>
        </is>
      </c>
    </row>
    <row r="16">
      <c r="A16" s="4" t="inlineStr">
        <is>
          <t>ポイント/クーポン負担</t>
        </is>
      </c>
      <c r="B16" s="8" t="n">
        <v>0</v>
      </c>
      <c r="C16" s="4" t="inlineStr">
        <is>
          <t>円/個</t>
        </is>
      </c>
      <c r="D16" s="10" t="inlineStr">
        <is>
          <t>★要確認</t>
        </is>
      </c>
      <c r="E16" s="6" t="inlineStr">
        <is>
          <t>★未算入。楽天SPU等で実質3〜10%</t>
        </is>
      </c>
    </row>
    <row r="17">
      <c r="A17" s="4" t="inlineStr">
        <is>
          <t>目標CPA</t>
        </is>
      </c>
      <c r="B17" s="7" t="n">
        <v>4500</v>
      </c>
      <c r="C17" s="4" t="inlineStr">
        <is>
          <t>円</t>
        </is>
      </c>
      <c r="D17" s="4" t="inlineStr">
        <is>
          <t>確定</t>
        </is>
      </c>
      <c r="E17" s="6" t="inlineStr">
        <is>
          <t>社内基準（客単価3万×15%）</t>
        </is>
      </c>
    </row>
    <row r="18">
      <c r="A18" s="4" t="inlineStr">
        <is>
          <t>許容CPA上限</t>
        </is>
      </c>
      <c r="B18" s="7" t="n">
        <v>6000</v>
      </c>
      <c r="C18" s="4" t="inlineStr">
        <is>
          <t>円</t>
        </is>
      </c>
      <c r="D18" s="4" t="inlineStr">
        <is>
          <t>確定</t>
        </is>
      </c>
      <c r="E18" s="6" t="inlineStr">
        <is>
          <t>社内基準（客単価3万×20%）</t>
        </is>
      </c>
    </row>
    <row r="19">
      <c r="A19" s="4" t="inlineStr">
        <is>
          <t>固定費（今後予想）</t>
        </is>
      </c>
      <c r="B19" s="7" t="n">
        <v>3825000</v>
      </c>
      <c r="C19" s="4" t="inlineStr">
        <is>
          <t>ウォン/月</t>
        </is>
      </c>
      <c r="D19" s="4" t="inlineStr">
        <is>
          <t>確定</t>
        </is>
      </c>
      <c r="E19" s="6" t="inlineStr">
        <is>
          <t>給与300万+家賃55万+管理費16.5万+税理士11万</t>
        </is>
      </c>
    </row>
    <row r="20">
      <c r="A20" s="4" t="inlineStr">
        <is>
          <t>固定費（実績平均）</t>
        </is>
      </c>
      <c r="B20" s="7" t="n">
        <v>4208383</v>
      </c>
      <c r="C20" s="4" t="inlineStr">
        <is>
          <t>ウォン/月</t>
        </is>
      </c>
      <c r="D20" s="4" t="inlineStr">
        <is>
          <t>確定</t>
        </is>
      </c>
      <c r="E20" s="6" t="inlineStr">
        <is>
          <t>2025.12-2026.08 総支出37,875,450W÷9ヶ月</t>
        </is>
      </c>
    </row>
    <row r="21">
      <c r="A21" s="4" t="inlineStr">
        <is>
          <t>SKUミックス S</t>
        </is>
      </c>
      <c r="B21" s="9" t="n">
        <v>0.4</v>
      </c>
      <c r="C21" s="4" t="inlineStr">
        <is>
          <t>—</t>
        </is>
      </c>
      <c r="D21" s="4" t="inlineStr">
        <is>
          <t>仮定</t>
        </is>
      </c>
      <c r="E21" s="6" t="inlineStr">
        <is>
          <t>700個の内訳が未指定のため仮置き</t>
        </is>
      </c>
    </row>
    <row r="22">
      <c r="A22" s="4" t="inlineStr">
        <is>
          <t>SKUミックス M</t>
        </is>
      </c>
      <c r="B22" s="9" t="n">
        <v>0.4</v>
      </c>
      <c r="C22" s="4" t="inlineStr">
        <is>
          <t>—</t>
        </is>
      </c>
      <c r="D22" s="4" t="inlineStr">
        <is>
          <t>仮定</t>
        </is>
      </c>
      <c r="E22" s="6" t="inlineStr">
        <is>
          <t>同上</t>
        </is>
      </c>
    </row>
    <row r="23">
      <c r="A23" s="4" t="inlineStr">
        <is>
          <t>SKUミックス L</t>
        </is>
      </c>
      <c r="B23" s="9" t="n">
        <v>0.2</v>
      </c>
      <c r="C23" s="4" t="inlineStr">
        <is>
          <t>—</t>
        </is>
      </c>
      <c r="D23" s="4" t="inlineStr">
        <is>
          <t>仮定</t>
        </is>
      </c>
      <c r="E23" s="6" t="inlineStr">
        <is>
          <t>同上</t>
        </is>
      </c>
    </row>
    <row r="24">
      <c r="A24" s="4" t="inlineStr">
        <is>
          <t>700個 発注数量</t>
        </is>
      </c>
      <c r="B24" s="7" t="n">
        <v>700</v>
      </c>
      <c r="C24" s="4" t="inlineStr">
        <is>
          <t>個</t>
        </is>
      </c>
      <c r="D24" s="4" t="inlineStr">
        <is>
          <t>確定</t>
        </is>
      </c>
      <c r="E24" s="6" t="inlineStr">
        <is>
          <t>今後入荷予定</t>
        </is>
      </c>
    </row>
    <row r="25">
      <c r="A25" s="4" t="inlineStr">
        <is>
          <t>悲観 数量係数</t>
        </is>
      </c>
      <c r="B25" s="9" t="n">
        <v>0.5</v>
      </c>
      <c r="C25" s="4" t="inlineStr">
        <is>
          <t>—</t>
        </is>
      </c>
      <c r="D25" s="4" t="inlineStr">
        <is>
          <t>仮定</t>
        </is>
      </c>
      <c r="E25" s="6" t="inlineStr">
        <is>
          <t>標準の50%</t>
        </is>
      </c>
    </row>
    <row r="26">
      <c r="A26" s="4" t="inlineStr">
        <is>
          <t>悲観 CPA係数</t>
        </is>
      </c>
      <c r="B26" s="9" t="n">
        <v>1.5</v>
      </c>
      <c r="C26" s="4" t="inlineStr">
        <is>
          <t>—</t>
        </is>
      </c>
      <c r="D26" s="4" t="inlineStr">
        <is>
          <t>仮定</t>
        </is>
      </c>
      <c r="E26" s="6" t="inlineStr">
        <is>
          <t>標準の150%</t>
        </is>
      </c>
    </row>
    <row r="27">
      <c r="A27" s="4" t="inlineStr">
        <is>
          <t>楽観 数量係数</t>
        </is>
      </c>
      <c r="B27" s="9" t="n">
        <v>1.5</v>
      </c>
      <c r="C27" s="4" t="inlineStr">
        <is>
          <t>—</t>
        </is>
      </c>
      <c r="D27" s="4" t="inlineStr">
        <is>
          <t>仮定</t>
        </is>
      </c>
      <c r="E27" s="6" t="inlineStr">
        <is>
          <t>標準の150%</t>
        </is>
      </c>
    </row>
    <row r="28">
      <c r="A28" s="4" t="inlineStr">
        <is>
          <t>楽観 CPA係数</t>
        </is>
      </c>
      <c r="B28" s="9" t="n">
        <v>0.8</v>
      </c>
      <c r="C28" s="4" t="inlineStr">
        <is>
          <t>—</t>
        </is>
      </c>
      <c r="D28" s="4" t="inlineStr">
        <is>
          <t>仮定</t>
        </is>
      </c>
      <c r="E28" s="6" t="inlineStr">
        <is>
          <t>標準の80%</t>
        </is>
      </c>
    </row>
    <row r="29">
      <c r="A29" s="4" t="inlineStr">
        <is>
          <t>前金比率</t>
        </is>
      </c>
      <c r="B29" s="9" t="n">
        <v>0.3</v>
      </c>
      <c r="C29" s="4" t="inlineStr">
        <is>
          <t>—</t>
        </is>
      </c>
      <c r="D29" s="4" t="inlineStr">
        <is>
          <t>仮定</t>
        </is>
      </c>
      <c r="E29" s="6" t="inlineStr">
        <is>
          <t>一般的な商慣行。実契約で要確認</t>
        </is>
      </c>
    </row>
    <row r="30">
      <c r="A30" s="4" t="inlineStr">
        <is>
          <t>製造+輸送+通関 日数</t>
        </is>
      </c>
      <c r="B30" s="8" t="n">
        <v>90</v>
      </c>
      <c r="C30" s="4" t="inlineStr">
        <is>
          <t>日</t>
        </is>
      </c>
      <c r="D30" s="4" t="inlineStr">
        <is>
          <t>仮定</t>
        </is>
      </c>
      <c r="E30" s="6" t="inlineStr">
        <is>
          <t>製造60+輸送20+通関10</t>
        </is>
      </c>
    </row>
    <row r="31">
      <c r="A31" s="4" t="inlineStr">
        <is>
          <t>入金サイト</t>
        </is>
      </c>
      <c r="B31" s="8" t="n">
        <v>30</v>
      </c>
      <c r="C31" s="4" t="inlineStr">
        <is>
          <t>日</t>
        </is>
      </c>
      <c r="D31" s="4" t="inlineStr">
        <is>
          <t>仮定</t>
        </is>
      </c>
      <c r="E31" s="6" t="inlineStr">
        <is>
          <t>モール締め日基準</t>
        </is>
      </c>
    </row>
    <row r="32">
      <c r="A32" s="11" t="inlineStr">
        <is>
          <t>派生値（自動計算）</t>
        </is>
      </c>
    </row>
    <row r="33">
      <c r="A33" s="12" t="inlineStr">
        <is>
          <t>固定費（予想）円/月</t>
        </is>
      </c>
      <c r="B33" s="13">
        <f>'02_Assumptions'!$B$19*'02_Assumptions'!$B$5</f>
        <v>420750</v>
      </c>
      <c r="C33" s="4" t="inlineStr"/>
      <c r="D33" s="4" t="inlineStr">
        <is>
          <t>算出</t>
        </is>
      </c>
      <c r="E33" s="6" t="inlineStr">
        <is>
          <t>ウォン→円換算</t>
        </is>
      </c>
    </row>
    <row r="34">
      <c r="A34" s="12" t="inlineStr">
        <is>
          <t>固定費（実績平均）円/月</t>
        </is>
      </c>
      <c r="B34" s="13">
        <f>'02_Assumptions'!$B$20*'02_Assumptions'!$B$5</f>
        <v>462922.13</v>
      </c>
      <c r="C34" s="4" t="inlineStr"/>
      <c r="D34" s="4" t="inlineStr">
        <is>
          <t>算出</t>
        </is>
      </c>
      <c r="E34" s="6" t="inlineStr">
        <is>
          <t>悲観ケースで使用</t>
        </is>
      </c>
    </row>
    <row r="35">
      <c r="A35" s="12" t="inlineStr">
        <is>
          <t>MIX 平均売価</t>
        </is>
      </c>
      <c r="B35" s="13">
        <f>'02_Assumptions'!$B$21*'02_Assumptions'!$B$6+'02_Assumptions'!$B$22*'02_Assumptions'!$B$7+'02_Assumptions'!$B$23*'02_Assumptions'!$B$8</f>
        <v>26700</v>
      </c>
      <c r="C35" s="4" t="inlineStr"/>
      <c r="D35" s="4" t="inlineStr">
        <is>
          <t>算出</t>
        </is>
      </c>
      <c r="E35" s="6" t="inlineStr">
        <is>
          <t>ミックス加重平均</t>
        </is>
      </c>
    </row>
    <row r="36">
      <c r="A36" s="12" t="inlineStr">
        <is>
          <t>MIX 平均原価（円）</t>
        </is>
      </c>
      <c r="B36" s="13">
        <f>('02_Assumptions'!$B$21*'02_Assumptions'!$B$9+'02_Assumptions'!$B$22*'02_Assumptions'!$B$10+'02_Assumptions'!$B$23*'02_Assumptions'!$B$11)*'02_Assumptions'!$B$5</f>
        <v>15400</v>
      </c>
      <c r="C36" s="4" t="inlineStr"/>
      <c r="D36" s="4" t="inlineStr">
        <is>
          <t>算出</t>
        </is>
      </c>
      <c r="E36" s="6" t="inlineStr"/>
    </row>
    <row r="37">
      <c r="A37" s="12" t="inlineStr">
        <is>
          <t>MIX 粗利/個</t>
        </is>
      </c>
      <c r="B37" s="13">
        <f>$B$35-$B$35*'02_Assumptions'!$B$12-'02_Assumptions'!$B$13-$B$36-'02_Assumptions'!$B$14-'02_Assumptions'!$B$15-'02_Assumptions'!$B$16</f>
        <v>9932</v>
      </c>
      <c r="C37" s="4" t="inlineStr"/>
      <c r="D37" s="4" t="inlineStr">
        <is>
          <t>算出</t>
        </is>
      </c>
      <c r="E37" s="6" t="inlineStr">
        <is>
          <t>売価−手数料−送料−原価−追加費</t>
        </is>
      </c>
    </row>
    <row r="38">
      <c r="A38" s="12" t="inlineStr">
        <is>
          <t>MIX 限界利益/個（@目標CPA）</t>
        </is>
      </c>
      <c r="B38" s="13">
        <f>$B$37-'02_Assumptions'!$B$17</f>
        <v>5432</v>
      </c>
      <c r="C38" s="4" t="inlineStr"/>
      <c r="D38" s="4" t="inlineStr">
        <is>
          <t>算出</t>
        </is>
      </c>
      <c r="E38" s="6" t="inlineStr">
        <is>
          <t>粗利−広告CPA</t>
        </is>
      </c>
    </row>
    <row r="39">
      <c r="A39" s="12" t="inlineStr">
        <is>
          <t>MIX 限界利益率</t>
        </is>
      </c>
      <c r="B39" s="14">
        <f>$B$38/$B$35</f>
        <v>0.20344569288389514</v>
      </c>
      <c r="C39" s="4" t="inlineStr"/>
      <c r="D39" s="4" t="inlineStr">
        <is>
          <t>算出</t>
        </is>
      </c>
      <c r="E39" s="6" t="inlineStr"/>
    </row>
    <row r="40">
      <c r="A40" s="12" t="inlineStr">
        <is>
          <t>損益分岐 販売数/月</t>
        </is>
      </c>
      <c r="B40" s="15">
        <f>ROUNDUP($B$33/$B$38,0)</f>
        <v>78</v>
      </c>
      <c r="C40" s="4" t="inlineStr"/>
      <c r="D40" s="4" t="inlineStr">
        <is>
          <t>算出</t>
        </is>
      </c>
      <c r="E40" s="6" t="inlineStr">
        <is>
          <t>固定費÷限界利益</t>
        </is>
      </c>
    </row>
    <row r="41">
      <c r="A41" s="12" t="inlineStr">
        <is>
          <t>損益分岐 販売数/年</t>
        </is>
      </c>
      <c r="B41" s="15">
        <f>$B$40*12</f>
        <v>936</v>
      </c>
      <c r="C41" s="4" t="inlineStr"/>
      <c r="D41" s="4" t="inlineStr">
        <is>
          <t>算出</t>
        </is>
      </c>
      <c r="E41" s="6" t="inlineStr"/>
    </row>
    <row r="42">
      <c r="A42" s="12" t="inlineStr">
        <is>
          <t>損益分岐 売上/月</t>
        </is>
      </c>
      <c r="B42" s="13">
        <f>$B$40*$B$35</f>
        <v>2082600</v>
      </c>
      <c r="C42" s="4" t="inlineStr"/>
      <c r="D42" s="4" t="inlineStr">
        <is>
          <t>算出</t>
        </is>
      </c>
      <c r="E42" s="6" t="inlineStr"/>
    </row>
    <row r="43">
      <c r="A43" s="12" t="inlineStr">
        <is>
          <t>標準ケース 月販売数</t>
        </is>
      </c>
      <c r="B43" s="15">
        <f>ROUND('02_Assumptions'!$B$24/12,0)</f>
        <v>58</v>
      </c>
      <c r="C43" s="4" t="inlineStr"/>
      <c r="D43" s="4" t="inlineStr">
        <is>
          <t>算出</t>
        </is>
      </c>
      <c r="E43" s="6" t="inlineStr">
        <is>
          <t>700個を12ヶ月で消化する前提</t>
        </is>
      </c>
    </row>
    <row r="44">
      <c r="A44" s="12" t="inlineStr">
        <is>
          <t>700個 仕入原価（円）</t>
        </is>
      </c>
      <c r="B44" s="13">
        <f>('02_Assumptions'!$B$21*'02_Assumptions'!$B$9+'02_Assumptions'!$B$22*'02_Assumptions'!$B$10+'02_Assumptions'!$B$23*'02_Assumptions'!$B$11)*'02_Assumptions'!$B$24*'02_Assumptions'!$B$5</f>
        <v>10780000</v>
      </c>
      <c r="C44" s="4" t="inlineStr"/>
      <c r="D44" s="4" t="inlineStr">
        <is>
          <t>算出</t>
        </is>
      </c>
      <c r="E44" s="6" t="inlineStr">
        <is>
          <t>ミックス加重</t>
        </is>
      </c>
    </row>
    <row r="45">
      <c r="A45" s="11" t="inlineStr">
        <is>
          <t>注記</t>
        </is>
      </c>
    </row>
    <row r="46">
      <c r="A46" s="2" t="inlineStr">
        <is>
          <t>★要確認（赤）＝この値が変わると投資判断そのものが変わる「最重要不足データ」。</t>
        </is>
      </c>
    </row>
    <row r="47">
      <c r="A47" s="2" t="inlineStr">
        <is>
          <t>青字＝入力値、黒太字＝自動計算。黄色セルを書き換えれば全シートが連動して再計算されます。</t>
        </is>
      </c>
    </row>
    <row r="48">
      <c r="A48" s="2" t="inlineStr">
        <is>
          <t>未提出の重要データ：実績販売数／実績CPA・CVR／返品率／手元キャッシュ／700個のSKU内訳と数量割引後単価／リピート率。</t>
        </is>
      </c>
    </row>
  </sheetData>
  <mergeCells count="7">
    <mergeCell ref="A48:E48"/>
    <mergeCell ref="A2:E2"/>
    <mergeCell ref="A47:E47"/>
    <mergeCell ref="A1:E1"/>
    <mergeCell ref="A45:E45"/>
    <mergeCell ref="A32:E32"/>
    <mergeCell ref="A46:E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6" customWidth="1" min="4" max="4"/>
    <col width="58" customWidth="1" min="5" max="5"/>
  </cols>
  <sheetData>
    <row r="1">
      <c r="A1" s="52" t="inlineStr">
        <is>
          <t>市場分析（TAM / SAM / SOM）</t>
        </is>
      </c>
    </row>
    <row r="2">
      <c r="A2" s="2" t="inlineStr">
        <is>
          <t>★市場データ未提出。数値を捏造せず「埋めるべき枠」と調査方法を提示する。</t>
        </is>
      </c>
    </row>
    <row r="4">
      <c r="A4" s="3" t="inlineStr">
        <is>
          <t>区分</t>
        </is>
      </c>
      <c r="B4" s="3" t="inlineStr">
        <is>
          <t>定義</t>
        </is>
      </c>
      <c r="C4" s="3" t="inlineStr">
        <is>
          <t>規模</t>
        </is>
      </c>
      <c r="D4" s="3" t="inlineStr">
        <is>
          <t>出典</t>
        </is>
      </c>
      <c r="E4" s="3" t="inlineStr">
        <is>
          <t>調査方法・注記</t>
        </is>
      </c>
    </row>
    <row r="5">
      <c r="A5" s="4" t="inlineStr">
        <is>
          <t>TAM</t>
        </is>
      </c>
      <c r="B5" s="4" t="inlineStr">
        <is>
          <t>日本の旅行用スーツケース市場全体</t>
        </is>
      </c>
      <c r="C5" s="18" t="inlineStr">
        <is>
          <t>要調査</t>
        </is>
      </c>
      <c r="D5" s="4" t="inlineStr">
        <is>
          <t>—</t>
        </is>
      </c>
      <c r="E5" s="4" t="inlineStr">
        <is>
          <t>経産省 生産動態統計／矢野経済・富士経済／インバウンド統計</t>
        </is>
      </c>
    </row>
    <row r="6">
      <c r="A6" s="4" t="inlineStr">
        <is>
          <t>SAM</t>
        </is>
      </c>
      <c r="B6" s="4" t="inlineStr">
        <is>
          <t>EC流通・価格帯2〜3万円</t>
        </is>
      </c>
      <c r="C6" s="18" t="inlineStr">
        <is>
          <t>要調査</t>
        </is>
      </c>
      <c r="D6" s="4" t="inlineStr">
        <is>
          <t>—</t>
        </is>
      </c>
      <c r="E6" s="45" t="inlineStr">
        <is>
          <t>楽天/Amazonカテゴリ上位100SKUの推定月販×単価を積み上げ</t>
        </is>
      </c>
    </row>
    <row r="7">
      <c r="A7" s="4" t="inlineStr">
        <is>
          <t>SOM</t>
        </is>
      </c>
      <c r="B7" s="4" t="inlineStr">
        <is>
          <t>自社が12ヶ月で獲得可能な数量</t>
        </is>
      </c>
      <c r="C7" s="18">
        <f>'02_Assumptions'!$B$41</f>
        <v>936</v>
      </c>
      <c r="D7" s="4" t="inlineStr">
        <is>
          <t>自社試算</t>
        </is>
      </c>
      <c r="E7" s="4" t="inlineStr">
        <is>
          <t>損益分岐から逆算した必要数量。市場から取れる保証はない</t>
        </is>
      </c>
    </row>
    <row r="8">
      <c r="A8" s="4" t="inlineStr">
        <is>
          <t>市場成長率</t>
        </is>
      </c>
      <c r="B8" s="4" t="inlineStr">
        <is>
          <t>—</t>
        </is>
      </c>
      <c r="C8" s="18" t="inlineStr">
        <is>
          <t>要調査</t>
        </is>
      </c>
      <c r="D8" s="4" t="inlineStr">
        <is>
          <t>—</t>
        </is>
      </c>
      <c r="E8" s="4" t="inlineStr">
        <is>
          <t>コロナ後の旅行需要回復は一巡。横ばい〜微増を疑うべき</t>
        </is>
      </c>
    </row>
    <row r="9">
      <c r="A9" s="4" t="inlineStr">
        <is>
          <t>検索需要</t>
        </is>
      </c>
      <c r="B9" s="4" t="inlineStr">
        <is>
          <t>「スーツケース Mサイズ」等</t>
        </is>
      </c>
      <c r="C9" s="18" t="inlineStr">
        <is>
          <t>要調査</t>
        </is>
      </c>
      <c r="D9" s="4" t="inlineStr">
        <is>
          <t>—</t>
        </is>
      </c>
      <c r="E9" s="45" t="inlineStr">
        <is>
          <t>Googleキーワードプランナー／楽天サジェスト／Amazonブランド分析</t>
        </is>
      </c>
    </row>
    <row r="10">
      <c r="A10" s="4" t="inlineStr">
        <is>
          <t>季節性</t>
        </is>
      </c>
      <c r="B10" s="4" t="inlineStr">
        <is>
          <t>GW前・夏休み前・年末年始前</t>
        </is>
      </c>
      <c r="C10" s="18" t="inlineStr">
        <is>
          <t>要調査</t>
        </is>
      </c>
      <c r="D10" s="4" t="inlineStr">
        <is>
          <t>—</t>
        </is>
      </c>
      <c r="E10" s="4" t="inlineStr">
        <is>
          <t>閑散期の在庫滞留リスクを発注量に織り込むこと</t>
        </is>
      </c>
    </row>
    <row r="12">
      <c r="A12" s="11" t="inlineStr">
        <is>
          <t>A｜投資委員会の指摘</t>
        </is>
      </c>
    </row>
    <row r="13">
      <c r="A13" s="47" t="inlineStr">
        <is>
          <t>・市場が大きいことと自社が取れることは別問題。TAMは判断材料にしない。</t>
        </is>
      </c>
    </row>
    <row r="14">
      <c r="A14" s="47" t="inlineStr">
        <is>
          <t>・スーツケース市場は成熟・レッドオーシャン。価格競争が常態で、差別化なき中価格帯が最も苦しい。</t>
        </is>
      </c>
    </row>
    <row r="15">
      <c r="A15" s="47" t="inlineStr">
        <is>
          <t>・2〜3万円帯はブランド勢（サムソナイト等）と廉価勢（無印・ニトリ・ノーブランド）に挟まれる。真ん中は最も選ばれにくい。</t>
        </is>
      </c>
    </row>
    <row r="16">
      <c r="A16" s="47" t="inlineStr">
        <is>
          <t>・「競合がいない」ではなく「その価格帯で勝っているプレイヤーの実売上」を測ること。</t>
        </is>
      </c>
    </row>
  </sheetData>
  <mergeCells count="7">
    <mergeCell ref="A12:E12"/>
    <mergeCell ref="A2:E2"/>
    <mergeCell ref="A16:E16"/>
    <mergeCell ref="A15:E15"/>
    <mergeCell ref="A1:E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4" customWidth="1" min="4" max="4"/>
    <col width="14" customWidth="1" min="5" max="5"/>
    <col width="52" customWidth="1" min="6" max="6"/>
  </cols>
  <sheetData>
    <row r="1">
      <c r="A1" s="52" t="inlineStr">
        <is>
          <t>競合分析</t>
        </is>
      </c>
    </row>
    <row r="2">
      <c r="A2" s="2" t="inlineStr">
        <is>
          <t>★競合データ未提出。枠と観点を提示。楽天/Amazonランキング・レビュー数・価格の実データで埋めること。</t>
        </is>
      </c>
    </row>
    <row r="4">
      <c r="A4" s="3" t="inlineStr">
        <is>
          <t>競合区分</t>
        </is>
      </c>
      <c r="B4" s="3" t="inlineStr">
        <is>
          <t>想定プレイヤー</t>
        </is>
      </c>
      <c r="C4" s="3" t="inlineStr">
        <is>
          <t>価格帯</t>
        </is>
      </c>
      <c r="D4" s="3" t="inlineStr">
        <is>
          <t>レビュー数</t>
        </is>
      </c>
      <c r="E4" s="3" t="inlineStr">
        <is>
          <t>推定月販</t>
        </is>
      </c>
      <c r="F4" s="3" t="inlineStr">
        <is>
          <t>評価観点</t>
        </is>
      </c>
    </row>
    <row r="5">
      <c r="A5" s="4" t="inlineStr">
        <is>
          <t>直接競合</t>
        </is>
      </c>
      <c r="B5" s="4" t="inlineStr">
        <is>
          <t>同価格帯ECブランド</t>
        </is>
      </c>
      <c r="C5" s="4" t="inlineStr">
        <is>
          <t>2〜3万円</t>
        </is>
      </c>
      <c r="D5" s="4" t="inlineStr">
        <is>
          <t>要調査</t>
        </is>
      </c>
      <c r="E5" s="4" t="inlineStr">
        <is>
          <t>要調査</t>
        </is>
      </c>
      <c r="F5" s="45" t="inlineStr">
        <is>
          <t>レビュー数＝参入障壁。1,000件超の先行者に後発が勝つのは困難</t>
        </is>
      </c>
    </row>
    <row r="6">
      <c r="A6" s="4" t="inlineStr">
        <is>
          <t>直接競合</t>
        </is>
      </c>
      <c r="B6" s="4" t="inlineStr">
        <is>
          <t>ノーブランド廉価</t>
        </is>
      </c>
      <c r="C6" s="4" t="inlineStr">
        <is>
          <t>0.8〜1.5万円</t>
        </is>
      </c>
      <c r="D6" s="4" t="inlineStr">
        <is>
          <t>要調査</t>
        </is>
      </c>
      <c r="E6" s="4" t="inlineStr">
        <is>
          <t>要調査</t>
        </is>
      </c>
      <c r="F6" s="4" t="inlineStr">
        <is>
          <t>価格勝負に引き込まれると粗利37%が即崩壊</t>
        </is>
      </c>
    </row>
    <row r="7">
      <c r="A7" s="4" t="inlineStr">
        <is>
          <t>間接競合</t>
        </is>
      </c>
      <c r="B7" s="4" t="inlineStr">
        <is>
          <t>大手ブランド</t>
        </is>
      </c>
      <c r="C7" s="4" t="inlineStr">
        <is>
          <t>3〜8万円</t>
        </is>
      </c>
      <c r="D7" s="4" t="inlineStr">
        <is>
          <t>要調査</t>
        </is>
      </c>
      <c r="E7" s="4" t="inlineStr">
        <is>
          <t>要調査</t>
        </is>
      </c>
      <c r="F7" s="4" t="inlineStr">
        <is>
          <t>ブランド指名検索を持つ。広告で正面衝突するとCPAが上がる</t>
        </is>
      </c>
    </row>
    <row r="8">
      <c r="A8" s="4" t="inlineStr">
        <is>
          <t>間接競合</t>
        </is>
      </c>
      <c r="B8" s="4" t="inlineStr">
        <is>
          <t>小売（無印・ニトリ・量販）</t>
        </is>
      </c>
      <c r="C8" s="4" t="inlineStr">
        <is>
          <t>1〜3万円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実店舗で触って買える。EC単独の弱点が出る</t>
        </is>
      </c>
    </row>
    <row r="9">
      <c r="A9" s="4" t="inlineStr">
        <is>
          <t>代替手段</t>
        </is>
      </c>
      <c r="B9" s="4" t="inlineStr">
        <is>
          <t>レンタル</t>
        </is>
      </c>
      <c r="C9" s="4" t="inlineStr">
        <is>
          <t>2,000〜8,000円/回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年1回しか旅行しない層はレンタルに流れる</t>
        </is>
      </c>
    </row>
    <row r="10">
      <c r="A10" s="4" t="inlineStr">
        <is>
          <t>代替手段</t>
        </is>
      </c>
      <c r="B10" s="4" t="inlineStr">
        <is>
          <t>買わない／借りる</t>
        </is>
      </c>
      <c r="C10" s="4" t="inlineStr">
        <is>
          <t>¥0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Vitamin商材の宿命。購入を先送りされる</t>
        </is>
      </c>
    </row>
    <row r="12">
      <c r="A12" s="11" t="inlineStr">
        <is>
          <t>競合が自社をコピーした場合</t>
        </is>
      </c>
    </row>
    <row r="13">
      <c r="A13" s="47" t="inlineStr">
        <is>
          <t>・スーツケースは意匠以外に参入障壁がほぼない。OEM元が同じなら競合も同じ商品を出せる。</t>
        </is>
      </c>
    </row>
    <row r="14">
      <c r="A14" s="47" t="inlineStr">
        <is>
          <t>・自社が広告で需要を掘り起こした瞬間、同型番の廉価版が相乗りしてくる構造。</t>
        </is>
      </c>
    </row>
    <row r="15">
      <c r="A15" s="47" t="inlineStr">
        <is>
          <t>・防御策は「レビュー数」「ブランド想起」「独自機能の意匠登録」の3つのみ。現状いずれも未確認。</t>
        </is>
      </c>
    </row>
  </sheetData>
  <mergeCells count="6">
    <mergeCell ref="A2:F2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42" customWidth="1" min="12" max="12"/>
  </cols>
  <sheetData>
    <row r="1">
      <c r="A1" s="52" t="inlineStr">
        <is>
          <t>価格設計と値引き耐性</t>
        </is>
      </c>
    </row>
    <row r="2">
      <c r="A2" s="2" t="inlineStr">
        <is>
          <t>売価S/Mは確定、Lは仮定。値引き耐性＝どこまで下げると1個売るごとに赤字になるか</t>
        </is>
      </c>
    </row>
    <row r="4">
      <c r="A4" s="3" t="inlineStr">
        <is>
          <t>SKU</t>
        </is>
      </c>
      <c r="B4" s="3" t="inlineStr">
        <is>
          <t>売価</t>
        </is>
      </c>
      <c r="C4" s="3" t="inlineStr">
        <is>
          <t>原価(W)</t>
        </is>
      </c>
      <c r="D4" s="3" t="inlineStr">
        <is>
          <t>原価(円)</t>
        </is>
      </c>
      <c r="E4" s="3" t="inlineStr">
        <is>
          <t>粗利</t>
        </is>
      </c>
      <c r="F4" s="3" t="inlineStr">
        <is>
          <t>粗利率</t>
        </is>
      </c>
      <c r="G4" s="3" t="inlineStr">
        <is>
          <t>限界益@目標CPA</t>
        </is>
      </c>
      <c r="H4" s="3" t="inlineStr">
        <is>
          <t>限界益@許容CPA</t>
        </is>
      </c>
      <c r="I4" s="3" t="inlineStr"/>
      <c r="J4" s="3" t="inlineStr"/>
      <c r="K4" s="3" t="inlineStr"/>
      <c r="L4" s="3" t="inlineStr">
        <is>
          <t>注記</t>
        </is>
      </c>
    </row>
    <row r="5">
      <c r="A5" s="4" t="inlineStr">
        <is>
          <t>S</t>
        </is>
      </c>
      <c r="B5" s="17">
        <f>'02_Assumptions'!$B$6</f>
        <v>21900</v>
      </c>
      <c r="C5" s="18">
        <f>'02_Assumptions'!$B$9</f>
        <v>100000</v>
      </c>
      <c r="D5" s="17">
        <f>'02_Assumptions'!$B$9*'02_Assumptions'!$B$5</f>
        <v>11000</v>
      </c>
      <c r="E5" s="17">
        <f>B5-B5*'02_Assumptions'!$B$12-'02_Assumptions'!$B$13-D5-'02_Assumptions'!$B$14-'02_Assumptions'!$B$15-'02_Assumptions'!$B$16</f>
        <v>9724</v>
      </c>
      <c r="F5" s="19">
        <f>E5/B5</f>
        <v>0.44401826484018264</v>
      </c>
      <c r="G5" s="20">
        <f>E5-'02_Assumptions'!$B$17</f>
        <v>5224</v>
      </c>
      <c r="H5" s="21">
        <f>E5-'02_Assumptions'!$B$18</f>
        <v>3724</v>
      </c>
      <c r="I5" s="4" t="inlineStr"/>
      <c r="J5" s="4" t="inlineStr"/>
      <c r="K5" s="4" t="inlineStr"/>
      <c r="L5" s="4" t="inlineStr">
        <is>
          <t>確定</t>
        </is>
      </c>
    </row>
    <row r="6">
      <c r="A6" s="4" t="inlineStr">
        <is>
          <t>M</t>
        </is>
      </c>
      <c r="B6" s="17">
        <f>'02_Assumptions'!$B$7</f>
        <v>27900</v>
      </c>
      <c r="C6" s="18">
        <f>'02_Assumptions'!$B$10</f>
        <v>150000</v>
      </c>
      <c r="D6" s="17">
        <f>'02_Assumptions'!$B$10*'02_Assumptions'!$B$5</f>
        <v>16500</v>
      </c>
      <c r="E6" s="17">
        <f>B6-B6*'02_Assumptions'!$B$12-'02_Assumptions'!$B$13-D6-'02_Assumptions'!$B$14-'02_Assumptions'!$B$15-'02_Assumptions'!$B$16</f>
        <v>9984</v>
      </c>
      <c r="F6" s="19">
        <f>E6/B6</f>
        <v>0.3578494623655914</v>
      </c>
      <c r="G6" s="20">
        <f>E6-'02_Assumptions'!$B$17</f>
        <v>5484</v>
      </c>
      <c r="H6" s="21">
        <f>E6-'02_Assumptions'!$B$18</f>
        <v>3984</v>
      </c>
      <c r="I6" s="4" t="inlineStr"/>
      <c r="J6" s="4" t="inlineStr"/>
      <c r="K6" s="4" t="inlineStr"/>
      <c r="L6" s="4" t="inlineStr">
        <is>
          <t>確定</t>
        </is>
      </c>
    </row>
    <row r="7">
      <c r="A7" s="4" t="inlineStr">
        <is>
          <t>L</t>
        </is>
      </c>
      <c r="B7" s="17">
        <f>'02_Assumptions'!$B$8</f>
        <v>33900</v>
      </c>
      <c r="C7" s="18">
        <f>'02_Assumptions'!$B$11</f>
        <v>200000</v>
      </c>
      <c r="D7" s="17">
        <f>'02_Assumptions'!$B$11*'02_Assumptions'!$B$5</f>
        <v>22000</v>
      </c>
      <c r="E7" s="17">
        <f>B7-B7*'02_Assumptions'!$B$12-'02_Assumptions'!$B$13-D7-'02_Assumptions'!$B$14-'02_Assumptions'!$B$15-'02_Assumptions'!$B$16</f>
        <v>10244</v>
      </c>
      <c r="F7" s="19">
        <f>E7/B7</f>
        <v>0.30218289085545724</v>
      </c>
      <c r="G7" s="20">
        <f>E7-'02_Assumptions'!$B$17</f>
        <v>5744</v>
      </c>
      <c r="H7" s="21">
        <f>E7-'02_Assumptions'!$B$18</f>
        <v>4244</v>
      </c>
      <c r="I7" s="4" t="inlineStr"/>
      <c r="J7" s="4" t="inlineStr"/>
      <c r="K7" s="4" t="inlineStr"/>
      <c r="L7" s="10" t="inlineStr">
        <is>
          <t>★売価・原価とも仮定</t>
        </is>
      </c>
    </row>
    <row r="9">
      <c r="A9" s="11" t="inlineStr">
        <is>
          <t>値引き耐性（@目標CPA4,500での限界利益）</t>
        </is>
      </c>
    </row>
    <row r="10">
      <c r="A10" s="3" t="inlineStr">
        <is>
          <t>SKU</t>
        </is>
      </c>
      <c r="B10" s="3" t="inlineStr">
        <is>
          <t>定価</t>
        </is>
      </c>
      <c r="C10" s="3" t="inlineStr">
        <is>
          <t>▲5%</t>
        </is>
      </c>
      <c r="D10" s="3" t="inlineStr">
        <is>
          <t>▲10%</t>
        </is>
      </c>
      <c r="E10" s="3" t="inlineStr">
        <is>
          <t>▲15%</t>
        </is>
      </c>
      <c r="F10" s="3" t="inlineStr">
        <is>
          <t>▲20%</t>
        </is>
      </c>
      <c r="G10" s="3" t="inlineStr">
        <is>
          <t>▲25%</t>
        </is>
      </c>
      <c r="H10" s="3" t="inlineStr">
        <is>
          <t>限界益ゼロ点</t>
        </is>
      </c>
      <c r="I10" s="3" t="inlineStr"/>
      <c r="J10" s="3" t="inlineStr"/>
      <c r="K10" s="3" t="inlineStr"/>
      <c r="L10" s="3" t="inlineStr"/>
    </row>
    <row r="11">
      <c r="A11" s="4" t="inlineStr">
        <is>
          <t>S</t>
        </is>
      </c>
      <c r="B11" s="17">
        <f>$B$5*(1-0)-$B$5*(1-0)*'02_Assumptions'!$B$12-'02_Assumptions'!$B$13-$D$5-'02_Assumptions'!$B$14-'02_Assumptions'!$B$15-'02_Assumptions'!$B$16-'02_Assumptions'!$B$17</f>
        <v>5224</v>
      </c>
      <c r="C11" s="17">
        <f>$B$5*(1-0.05)-$B$5*(1-0.05)*'02_Assumptions'!$B$12-'02_Assumptions'!$B$13-$D$5-'02_Assumptions'!$B$14-'02_Assumptions'!$B$15-'02_Assumptions'!$B$16-'02_Assumptions'!$B$17</f>
        <v>4172.799999999999</v>
      </c>
      <c r="D11" s="17">
        <f>$B$5*(1-0.1)-$B$5*(1-0.1)*'02_Assumptions'!$B$12-'02_Assumptions'!$B$13-$D$5-'02_Assumptions'!$B$14-'02_Assumptions'!$B$15-'02_Assumptions'!$B$16-'02_Assumptions'!$B$17</f>
        <v>3121.5999999999985</v>
      </c>
      <c r="E11" s="17">
        <f>$B$5*(1-0.15)-$B$5*(1-0.15)*'02_Assumptions'!$B$12-'02_Assumptions'!$B$13-$D$5-'02_Assumptions'!$B$14-'02_Assumptions'!$B$15-'02_Assumptions'!$B$16-'02_Assumptions'!$B$17</f>
        <v>2070.4000000000015</v>
      </c>
      <c r="F11" s="21">
        <f>$B$5*(1-0.2)-$B$5*(1-0.2)*'02_Assumptions'!$B$12-'02_Assumptions'!$B$13-$D$5-'02_Assumptions'!$B$14-'02_Assumptions'!$B$15-'02_Assumptions'!$B$16-'02_Assumptions'!$B$17</f>
        <v>1019.2000000000007</v>
      </c>
      <c r="G11" s="22">
        <f>$B$5*(1-0.25)-$B$5*(1-0.25)*'02_Assumptions'!$B$12-'02_Assumptions'!$B$13-$D$5-'02_Assumptions'!$B$14-'02_Assumptions'!$B$15-'02_Assumptions'!$B$16-'02_Assumptions'!$B$17</f>
        <v>-32</v>
      </c>
      <c r="H11" s="19" t="n">
        <v>0.249</v>
      </c>
      <c r="I11" s="4" t="inlineStr"/>
      <c r="J11" s="4" t="inlineStr"/>
      <c r="K11" s="4" t="inlineStr"/>
      <c r="L11" s="4" t="inlineStr"/>
    </row>
    <row r="12">
      <c r="A12" s="4" t="inlineStr">
        <is>
          <t>M</t>
        </is>
      </c>
      <c r="B12" s="17">
        <f>$B$6*(1-0)-$B$6*(1-0)*'02_Assumptions'!$B$12-'02_Assumptions'!$B$13-$D$6-'02_Assumptions'!$B$14-'02_Assumptions'!$B$15-'02_Assumptions'!$B$16-'02_Assumptions'!$B$17</f>
        <v>5484</v>
      </c>
      <c r="C12" s="17">
        <f>$B$6*(1-0.05)-$B$6*(1-0.05)*'02_Assumptions'!$B$12-'02_Assumptions'!$B$13-$D$6-'02_Assumptions'!$B$14-'02_Assumptions'!$B$15-'02_Assumptions'!$B$16-'02_Assumptions'!$B$17</f>
        <v>4144.799999999999</v>
      </c>
      <c r="D12" s="17">
        <f>$B$6*(1-0.1)-$B$6*(1-0.1)*'02_Assumptions'!$B$12-'02_Assumptions'!$B$13-$D$6-'02_Assumptions'!$B$14-'02_Assumptions'!$B$15-'02_Assumptions'!$B$16-'02_Assumptions'!$B$17</f>
        <v>2805.5999999999985</v>
      </c>
      <c r="E12" s="21">
        <f>$B$6*(1-0.15)-$B$6*(1-0.15)*'02_Assumptions'!$B$12-'02_Assumptions'!$B$13-$D$6-'02_Assumptions'!$B$14-'02_Assumptions'!$B$15-'02_Assumptions'!$B$16-'02_Assumptions'!$B$17</f>
        <v>1466.4000000000015</v>
      </c>
      <c r="F12" s="21">
        <f>$B$6*(1-0.2)-$B$6*(1-0.2)*'02_Assumptions'!$B$12-'02_Assumptions'!$B$13-$D$6-'02_Assumptions'!$B$14-'02_Assumptions'!$B$15-'02_Assumptions'!$B$16-'02_Assumptions'!$B$17</f>
        <v>127.20000000000073</v>
      </c>
      <c r="G12" s="22">
        <f>$B$6*(1-0.25)-$B$6*(1-0.25)*'02_Assumptions'!$B$12-'02_Assumptions'!$B$13-$D$6-'02_Assumptions'!$B$14-'02_Assumptions'!$B$15-'02_Assumptions'!$B$16-'02_Assumptions'!$B$17</f>
        <v>-1212</v>
      </c>
      <c r="H12" s="19" t="n">
        <v>0.205</v>
      </c>
      <c r="I12" s="4" t="inlineStr"/>
      <c r="J12" s="4" t="inlineStr"/>
      <c r="K12" s="4" t="inlineStr"/>
      <c r="L12" s="4" t="inlineStr"/>
    </row>
    <row r="13">
      <c r="A13" s="4" t="inlineStr">
        <is>
          <t>L</t>
        </is>
      </c>
      <c r="B13" s="17">
        <f>$B$7*(1-0)-$B$7*(1-0)*'02_Assumptions'!$B$12-'02_Assumptions'!$B$13-$D$7-'02_Assumptions'!$B$14-'02_Assumptions'!$B$15-'02_Assumptions'!$B$16-'02_Assumptions'!$B$17</f>
        <v>5744</v>
      </c>
      <c r="C13" s="17">
        <f>$B$7*(1-0.05)-$B$7*(1-0.05)*'02_Assumptions'!$B$12-'02_Assumptions'!$B$13-$D$7-'02_Assumptions'!$B$14-'02_Assumptions'!$B$15-'02_Assumptions'!$B$16-'02_Assumptions'!$B$17</f>
        <v>4116.799999999999</v>
      </c>
      <c r="D13" s="17">
        <f>$B$7*(1-0.1)-$B$7*(1-0.1)*'02_Assumptions'!$B$12-'02_Assumptions'!$B$13-$D$7-'02_Assumptions'!$B$14-'02_Assumptions'!$B$15-'02_Assumptions'!$B$16-'02_Assumptions'!$B$17</f>
        <v>2489.5999999999985</v>
      </c>
      <c r="E13" s="21">
        <f>$B$7*(1-0.15)-$B$7*(1-0.15)*'02_Assumptions'!$B$12-'02_Assumptions'!$B$13-$D$7-'02_Assumptions'!$B$14-'02_Assumptions'!$B$15-'02_Assumptions'!$B$16-'02_Assumptions'!$B$17</f>
        <v>862.4000000000015</v>
      </c>
      <c r="F13" s="22">
        <f>$B$7*(1-0.2)-$B$7*(1-0.2)*'02_Assumptions'!$B$12-'02_Assumptions'!$B$13-$D$7-'02_Assumptions'!$B$14-'02_Assumptions'!$B$15-'02_Assumptions'!$B$16-'02_Assumptions'!$B$17</f>
        <v>-764.7999999999993</v>
      </c>
      <c r="G13" s="22">
        <f>$B$7*(1-0.25)-$B$7*(1-0.25)*'02_Assumptions'!$B$12-'02_Assumptions'!$B$13-$D$7-'02_Assumptions'!$B$14-'02_Assumptions'!$B$15-'02_Assumptions'!$B$16-'02_Assumptions'!$B$17</f>
        <v>-2392</v>
      </c>
      <c r="H13" s="19" t="n">
        <v>0.177</v>
      </c>
      <c r="I13" s="4" t="inlineStr"/>
      <c r="J13" s="4" t="inlineStr"/>
      <c r="K13" s="4" t="inlineStr"/>
      <c r="L13" s="4" t="inlineStr"/>
    </row>
    <row r="14">
      <c r="A14" s="11" t="inlineStr">
        <is>
          <t>注記</t>
        </is>
      </c>
    </row>
    <row r="15">
      <c r="A15" s="2" t="inlineStr">
        <is>
          <t>S は約▲25%、M/L は約▲20%で限界利益がゼロ。セール耐性は低い。</t>
        </is>
      </c>
    </row>
    <row r="16">
      <c r="A16" s="2" t="inlineStr">
        <is>
          <t>クーポン・ポイント還元は実質値引き。楽天SPU等で10%相当を負担すると M/L は赤字圏に入る。</t>
        </is>
      </c>
    </row>
    <row r="17">
      <c r="A17" s="2" t="inlineStr">
        <is>
          <t>※ 02_Assumptions の「ポイント/クーポン負担」を実額で入れれば、この表に自動反映されます。</t>
        </is>
      </c>
    </row>
  </sheetData>
  <mergeCells count="7">
    <mergeCell ref="A2:L2"/>
    <mergeCell ref="A16:L16"/>
    <mergeCell ref="A15:L15"/>
    <mergeCell ref="A1:L1"/>
    <mergeCell ref="A14:L14"/>
    <mergeCell ref="A17:L17"/>
    <mergeCell ref="A9:L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36" customWidth="1" min="15" max="15"/>
  </cols>
  <sheetData>
    <row r="1">
      <c r="A1" s="52" t="inlineStr">
        <is>
          <t>ユニットエコノミクス（1個あたり）</t>
        </is>
      </c>
    </row>
    <row r="2">
      <c r="A2" s="2" t="inlineStr">
        <is>
          <t>黄色の0円列は★未算入＝現在の利益は過大評価。02_Assumptions で実額を入れると全て連動します。</t>
        </is>
      </c>
    </row>
    <row r="4">
      <c r="A4" s="3" t="inlineStr">
        <is>
          <t>SKU</t>
        </is>
      </c>
      <c r="B4" s="3" t="inlineStr">
        <is>
          <t>売価</t>
        </is>
      </c>
      <c r="C4" s="3" t="inlineStr">
        <is>
          <t>仕入原価</t>
        </is>
      </c>
      <c r="D4" s="3" t="inlineStr">
        <is>
          <t>国際送料/関税/倉庫</t>
        </is>
      </c>
      <c r="E4" s="3" t="inlineStr">
        <is>
          <t>返品引当</t>
        </is>
      </c>
      <c r="F4" s="3" t="inlineStr">
        <is>
          <t>ポイント</t>
        </is>
      </c>
      <c r="G4" s="3" t="inlineStr">
        <is>
          <t>国内送料</t>
        </is>
      </c>
      <c r="H4" s="3" t="inlineStr">
        <is>
          <t>モール/決済手数料</t>
        </is>
      </c>
      <c r="I4" s="3" t="inlineStr"/>
      <c r="J4" s="3" t="inlineStr"/>
      <c r="K4" s="3" t="inlineStr"/>
      <c r="L4" s="3" t="inlineStr">
        <is>
          <t>広告CPA</t>
        </is>
      </c>
      <c r="M4" s="3" t="inlineStr">
        <is>
          <t>限界利益</t>
        </is>
      </c>
      <c r="N4" s="3" t="inlineStr">
        <is>
          <t>限界利益率</t>
        </is>
      </c>
      <c r="O4" s="3" t="inlineStr">
        <is>
          <t>注記</t>
        </is>
      </c>
    </row>
    <row r="5">
      <c r="A5" s="4" t="inlineStr">
        <is>
          <t>S</t>
        </is>
      </c>
      <c r="B5" s="17">
        <f>'02_Assumptions'!$B$6</f>
        <v>21900</v>
      </c>
      <c r="C5" s="17">
        <f>'02_Assumptions'!$B$9*'02_Assumptions'!$B$5</f>
        <v>11000</v>
      </c>
      <c r="D5" s="23">
        <f>'02_Assumptions'!$B$14</f>
        <v>0</v>
      </c>
      <c r="E5" s="23">
        <f>'02_Assumptions'!$B$15</f>
        <v>0</v>
      </c>
      <c r="F5" s="23">
        <f>'02_Assumptions'!$B$16</f>
        <v>0</v>
      </c>
      <c r="G5" s="17">
        <f>'02_Assumptions'!$B$13</f>
        <v>300</v>
      </c>
      <c r="H5" s="17">
        <f>B5*'02_Assumptions'!$B$12</f>
        <v>876</v>
      </c>
      <c r="I5" s="4" t="inlineStr"/>
      <c r="J5" s="4" t="inlineStr"/>
      <c r="K5" s="4" t="inlineStr"/>
      <c r="L5" s="17">
        <f>'02_Assumptions'!$B$17</f>
        <v>4500</v>
      </c>
      <c r="M5" s="20">
        <f>B5-C5-D5-E5-F5-G5-H5-L5</f>
        <v>5224</v>
      </c>
      <c r="N5" s="19">
        <f>M5/B5</f>
        <v>0.23853881278538813</v>
      </c>
      <c r="O5" s="10" t="inlineStr">
        <is>
          <t>★未算入項目あり</t>
        </is>
      </c>
    </row>
    <row r="6">
      <c r="A6" s="4" t="inlineStr">
        <is>
          <t>M</t>
        </is>
      </c>
      <c r="B6" s="17">
        <f>'02_Assumptions'!$B$7</f>
        <v>27900</v>
      </c>
      <c r="C6" s="17">
        <f>'02_Assumptions'!$B$10*'02_Assumptions'!$B$5</f>
        <v>16500</v>
      </c>
      <c r="D6" s="23">
        <f>'02_Assumptions'!$B$14</f>
        <v>0</v>
      </c>
      <c r="E6" s="23">
        <f>'02_Assumptions'!$B$15</f>
        <v>0</v>
      </c>
      <c r="F6" s="23">
        <f>'02_Assumptions'!$B$16</f>
        <v>0</v>
      </c>
      <c r="G6" s="17">
        <f>'02_Assumptions'!$B$13</f>
        <v>300</v>
      </c>
      <c r="H6" s="17">
        <f>B6*'02_Assumptions'!$B$12</f>
        <v>1116</v>
      </c>
      <c r="I6" s="4" t="inlineStr"/>
      <c r="J6" s="4" t="inlineStr"/>
      <c r="K6" s="4" t="inlineStr"/>
      <c r="L6" s="17">
        <f>'02_Assumptions'!$B$17</f>
        <v>4500</v>
      </c>
      <c r="M6" s="20">
        <f>B6-C6-D6-E6-F6-G6-H6-L6</f>
        <v>5484</v>
      </c>
      <c r="N6" s="19">
        <f>M6/B6</f>
        <v>0.19655913978494624</v>
      </c>
      <c r="O6" s="10" t="inlineStr">
        <is>
          <t>★未算入項目あり</t>
        </is>
      </c>
    </row>
    <row r="7">
      <c r="A7" s="4" t="inlineStr">
        <is>
          <t>L</t>
        </is>
      </c>
      <c r="B7" s="17">
        <f>'02_Assumptions'!$B$8</f>
        <v>33900</v>
      </c>
      <c r="C7" s="17">
        <f>'02_Assumptions'!$B$11*'02_Assumptions'!$B$5</f>
        <v>22000</v>
      </c>
      <c r="D7" s="23">
        <f>'02_Assumptions'!$B$14</f>
        <v>0</v>
      </c>
      <c r="E7" s="23">
        <f>'02_Assumptions'!$B$15</f>
        <v>0</v>
      </c>
      <c r="F7" s="23">
        <f>'02_Assumptions'!$B$16</f>
        <v>0</v>
      </c>
      <c r="G7" s="17">
        <f>'02_Assumptions'!$B$13</f>
        <v>300</v>
      </c>
      <c r="H7" s="17">
        <f>B7*'02_Assumptions'!$B$12</f>
        <v>1356</v>
      </c>
      <c r="I7" s="4" t="inlineStr"/>
      <c r="J7" s="4" t="inlineStr"/>
      <c r="K7" s="4" t="inlineStr"/>
      <c r="L7" s="17">
        <f>'02_Assumptions'!$B$17</f>
        <v>4500</v>
      </c>
      <c r="M7" s="20">
        <f>B7-C7-D7-E7-F7-G7-H7-L7</f>
        <v>5744</v>
      </c>
      <c r="N7" s="19">
        <f>M7/B7</f>
        <v>0.16943952802359882</v>
      </c>
      <c r="O7" s="10" t="inlineStr">
        <is>
          <t>★未算入項目あり</t>
        </is>
      </c>
    </row>
    <row r="8">
      <c r="A8" s="24" t="inlineStr">
        <is>
          <t>MIX</t>
        </is>
      </c>
      <c r="B8" s="13">
        <f>'02_Assumptions'!$B$35</f>
        <v>26700</v>
      </c>
      <c r="C8" s="13">
        <f>'02_Assumptions'!$B$36</f>
        <v>15400</v>
      </c>
      <c r="D8" s="13">
        <f>'02_Assumptions'!$B$14</f>
        <v>0</v>
      </c>
      <c r="E8" s="13">
        <f>'02_Assumptions'!$B$15</f>
        <v>0</v>
      </c>
      <c r="F8" s="13">
        <f>'02_Assumptions'!$B$16</f>
        <v>0</v>
      </c>
      <c r="G8" s="13">
        <f>'02_Assumptions'!$B$13</f>
        <v>300</v>
      </c>
      <c r="H8" s="13">
        <f>B8*'02_Assumptions'!$B$12</f>
        <v>1068</v>
      </c>
      <c r="I8" s="24" t="inlineStr"/>
      <c r="J8" s="24" t="inlineStr"/>
      <c r="K8" s="24" t="inlineStr"/>
      <c r="L8" s="13">
        <f>'02_Assumptions'!$B$17</f>
        <v>4500</v>
      </c>
      <c r="M8" s="13">
        <f>'02_Assumptions'!$B$38</f>
        <v>5432</v>
      </c>
      <c r="N8" s="14">
        <f>'02_Assumptions'!$B$39</f>
        <v>0.20344569288389514</v>
      </c>
      <c r="O8" s="24" t="inlineStr">
        <is>
          <t>仮定ミックス S40:M40:L20</t>
        </is>
      </c>
    </row>
    <row r="10">
      <c r="A10" s="11" t="inlineStr">
        <is>
          <t>感応度①：未算入コストを入れた場合（MIX・目標CPA）</t>
        </is>
      </c>
    </row>
    <row r="11">
      <c r="A11" s="3" t="inlineStr">
        <is>
          <t>追加コスト/個</t>
        </is>
      </c>
      <c r="B11" s="3" t="inlineStr">
        <is>
          <t>限界利益</t>
        </is>
      </c>
      <c r="C11" s="3" t="inlineStr">
        <is>
          <t>限界利益率</t>
        </is>
      </c>
      <c r="D11" s="3" t="inlineStr">
        <is>
          <t>損益分岐(個/月)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17" t="n">
        <v>0</v>
      </c>
      <c r="B12" s="17">
        <f>'02_Assumptions'!$B$38-A12</f>
        <v>5432</v>
      </c>
      <c r="C12" s="19">
        <f>B12/'02_Assumptions'!$B$35</f>
        <v>0.20344569288389514</v>
      </c>
      <c r="D12" s="18">
        <f>IF(B12&lt;=0,"—",ROUNDUP('02_Assumptions'!$B$33/B12,0))</f>
        <v>78</v>
      </c>
    </row>
    <row r="13">
      <c r="A13" s="17" t="n">
        <v>500</v>
      </c>
      <c r="B13" s="17">
        <f>'02_Assumptions'!$B$38-A13</f>
        <v>4932</v>
      </c>
      <c r="C13" s="19">
        <f>B13/'02_Assumptions'!$B$35</f>
        <v>0.18471910112359552</v>
      </c>
      <c r="D13" s="18">
        <f>IF(B13&lt;=0,"—",ROUNDUP('02_Assumptions'!$B$33/B13,0))</f>
        <v>86</v>
      </c>
    </row>
    <row r="14">
      <c r="A14" s="17" t="n">
        <v>1000</v>
      </c>
      <c r="B14" s="17">
        <f>'02_Assumptions'!$B$38-A14</f>
        <v>4432</v>
      </c>
      <c r="C14" s="19">
        <f>B14/'02_Assumptions'!$B$35</f>
        <v>0.16599250936329588</v>
      </c>
      <c r="D14" s="18">
        <f>IF(B14&lt;=0,"—",ROUNDUP('02_Assumptions'!$B$33/B14,0))</f>
        <v>95</v>
      </c>
    </row>
    <row r="15">
      <c r="A15" s="17" t="n">
        <v>1500</v>
      </c>
      <c r="B15" s="22">
        <f>'02_Assumptions'!$B$38-A15</f>
        <v>3932</v>
      </c>
      <c r="C15" s="19">
        <f>B15/'02_Assumptions'!$B$35</f>
        <v>0.14726591760299626</v>
      </c>
      <c r="D15" s="25">
        <f>IF(B15&lt;=0,"—",ROUNDUP('02_Assumptions'!$B$33/B15,0))</f>
        <v>108</v>
      </c>
    </row>
    <row r="16">
      <c r="A16" s="17" t="n">
        <v>2000</v>
      </c>
      <c r="B16" s="22">
        <f>'02_Assumptions'!$B$38-A16</f>
        <v>3432</v>
      </c>
      <c r="C16" s="19">
        <f>B16/'02_Assumptions'!$B$35</f>
        <v>0.12853932584269662</v>
      </c>
      <c r="D16" s="25">
        <f>IF(B16&lt;=0,"—",ROUNDUP('02_Assumptions'!$B$33/B16,0))</f>
        <v>123</v>
      </c>
    </row>
    <row r="17">
      <c r="A17" s="17" t="n">
        <v>3000</v>
      </c>
      <c r="B17" s="22">
        <f>'02_Assumptions'!$B$38-A17</f>
        <v>2432</v>
      </c>
      <c r="C17" s="19">
        <f>B17/'02_Assumptions'!$B$35</f>
        <v>0.09108614232209737</v>
      </c>
      <c r="D17" s="25">
        <f>IF(B17&lt;=0,"—",ROUNDUP('02_Assumptions'!$B$33/B17,0))</f>
        <v>174</v>
      </c>
    </row>
    <row r="19">
      <c r="A19" s="11" t="inlineStr">
        <is>
          <t>感応度②：モール手数料率（S・目標CPA）</t>
        </is>
      </c>
    </row>
    <row r="20">
      <c r="A20" s="3" t="inlineStr">
        <is>
          <t>手数料率</t>
        </is>
      </c>
      <c r="B20" s="3" t="inlineStr">
        <is>
          <t>粗利</t>
        </is>
      </c>
      <c r="C20" s="3" t="inlineStr">
        <is>
          <t>粗利率</t>
        </is>
      </c>
      <c r="D20" s="3" t="inlineStr">
        <is>
          <t>限界利益</t>
        </is>
      </c>
      <c r="E20" s="3" t="inlineStr">
        <is>
          <t>限界利益率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26" t="n">
        <v>0.04</v>
      </c>
      <c r="B21" s="17">
        <f>'02_Assumptions'!$B$6-'02_Assumptions'!$B$6*A21-'02_Assumptions'!$B$13-'02_Assumptions'!$B$9*'02_Assumptions'!$B$5-'02_Assumptions'!$B$14-'02_Assumptions'!$B$15-'02_Assumptions'!$B$16</f>
        <v>9724</v>
      </c>
      <c r="C21" s="19">
        <f>B21/'02_Assumptions'!$B$6</f>
        <v>0.44401826484018264</v>
      </c>
      <c r="D21" s="17">
        <f>B21-'02_Assumptions'!$B$17</f>
        <v>5224</v>
      </c>
      <c r="E21" s="19">
        <f>D21/'02_Assumptions'!$B$6</f>
        <v>0.23853881278538813</v>
      </c>
    </row>
    <row r="22">
      <c r="A22" s="19" t="n">
        <v>0.08</v>
      </c>
      <c r="B22" s="17">
        <f>'02_Assumptions'!$B$6-'02_Assumptions'!$B$6*A22-'02_Assumptions'!$B$13-'02_Assumptions'!$B$9*'02_Assumptions'!$B$5-'02_Assumptions'!$B$14-'02_Assumptions'!$B$15-'02_Assumptions'!$B$16</f>
        <v>8848</v>
      </c>
      <c r="C22" s="19">
        <f>B22/'02_Assumptions'!$B$6</f>
        <v>0.40401826484018266</v>
      </c>
      <c r="D22" s="17">
        <f>B22-'02_Assumptions'!$B$17</f>
        <v>4348</v>
      </c>
      <c r="E22" s="19">
        <f>D22/'02_Assumptions'!$B$6</f>
        <v>0.19853881278538812</v>
      </c>
    </row>
    <row r="23">
      <c r="A23" s="19" t="n">
        <v>0.1</v>
      </c>
      <c r="B23" s="17">
        <f>'02_Assumptions'!$B$6-'02_Assumptions'!$B$6*A23-'02_Assumptions'!$B$13-'02_Assumptions'!$B$9*'02_Assumptions'!$B$5-'02_Assumptions'!$B$14-'02_Assumptions'!$B$15-'02_Assumptions'!$B$16</f>
        <v>8410</v>
      </c>
      <c r="C23" s="19">
        <f>B23/'02_Assumptions'!$B$6</f>
        <v>0.38401826484018264</v>
      </c>
      <c r="D23" s="17">
        <f>B23-'02_Assumptions'!$B$17</f>
        <v>3910</v>
      </c>
      <c r="E23" s="19">
        <f>D23/'02_Assumptions'!$B$6</f>
        <v>0.17853881278538813</v>
      </c>
    </row>
    <row r="24">
      <c r="A24" s="19" t="n">
        <v>0.12</v>
      </c>
      <c r="B24" s="17">
        <f>'02_Assumptions'!$B$6-'02_Assumptions'!$B$6*A24-'02_Assumptions'!$B$13-'02_Assumptions'!$B$9*'02_Assumptions'!$B$5-'02_Assumptions'!$B$14-'02_Assumptions'!$B$15-'02_Assumptions'!$B$16</f>
        <v>7972</v>
      </c>
      <c r="C24" s="19">
        <f>B24/'02_Assumptions'!$B$6</f>
        <v>0.3640182648401826</v>
      </c>
      <c r="D24" s="22">
        <f>B24-'02_Assumptions'!$B$17</f>
        <v>3472</v>
      </c>
      <c r="E24" s="19">
        <f>D24/'02_Assumptions'!$B$6</f>
        <v>0.15853881278538812</v>
      </c>
    </row>
    <row r="25">
      <c r="A25" s="19" t="n">
        <v>0.15</v>
      </c>
      <c r="B25" s="17">
        <f>'02_Assumptions'!$B$6-'02_Assumptions'!$B$6*A25-'02_Assumptions'!$B$13-'02_Assumptions'!$B$9*'02_Assumptions'!$B$5-'02_Assumptions'!$B$14-'02_Assumptions'!$B$15-'02_Assumptions'!$B$16</f>
        <v>7315</v>
      </c>
      <c r="C25" s="19">
        <f>B25/'02_Assumptions'!$B$6</f>
        <v>0.33401826484018265</v>
      </c>
      <c r="D25" s="22">
        <f>B25-'02_Assumptions'!$B$17</f>
        <v>2815</v>
      </c>
      <c r="E25" s="19">
        <f>D25/'02_Assumptions'!$B$6</f>
        <v>0.12853881278538812</v>
      </c>
    </row>
    <row r="26">
      <c r="A26" s="11" t="inlineStr">
        <is>
          <t>注記</t>
        </is>
      </c>
    </row>
    <row r="27">
      <c r="A27" s="2" t="inlineStr">
        <is>
          <t>LTV/CAC：スーツケースは買替サイクル5〜10年の低頻度商材。LTV≒初回購入額として評価する。</t>
        </is>
      </c>
    </row>
    <row r="28">
      <c r="A28" s="2" t="inlineStr">
        <is>
          <t>売上ベース LTV/CAC＝26,700÷4,500＝5.9倍。ただし限界利益ベースでは 5,432÷4,500＝1.2倍しかない（健全値3倍）。</t>
        </is>
      </c>
    </row>
    <row r="29">
      <c r="A29" s="2" t="inlineStr">
        <is>
          <t>回収期間：1個単位では即時。ただし700個ロットでは全量販売完了まで12ヶ月以上（12_Inventory参照）。</t>
        </is>
      </c>
    </row>
    <row r="30">
      <c r="A30" s="2" t="inlineStr">
        <is>
          <t>★未算入コストを1,000円/個入れるだけで、損益分岐は78→95個/月に悪化する。</t>
        </is>
      </c>
    </row>
  </sheetData>
  <mergeCells count="9">
    <mergeCell ref="A29:O29"/>
    <mergeCell ref="A26:O26"/>
    <mergeCell ref="A2:O2"/>
    <mergeCell ref="A10:O10"/>
    <mergeCell ref="A28:O28"/>
    <mergeCell ref="A19:O19"/>
    <mergeCell ref="A1:O1"/>
    <mergeCell ref="A27:O27"/>
    <mergeCell ref="A30:O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4" customWidth="1" min="10" max="10"/>
    <col width="32" customWidth="1" min="11" max="11"/>
  </cols>
  <sheetData>
    <row r="1">
      <c r="A1" s="52" t="inlineStr">
        <is>
          <t>販売計画（12ヶ月・標準ケース）</t>
        </is>
      </c>
    </row>
    <row r="2">
      <c r="A2" s="2" t="inlineStr">
        <is>
          <t>★販売実績が未提出のため、「700個を12ヶ月で消化」＝月58個を標準として置いた計画値。実績ではない。</t>
        </is>
      </c>
    </row>
    <row r="4">
      <c r="A4" s="3" t="inlineStr">
        <is>
          <t>月</t>
        </is>
      </c>
      <c r="B4" s="3" t="inlineStr">
        <is>
          <t>販売数</t>
        </is>
      </c>
      <c r="C4" s="3" t="inlineStr">
        <is>
          <t>平均単価</t>
        </is>
      </c>
      <c r="D4" s="3" t="inlineStr">
        <is>
          <t>売上</t>
        </is>
      </c>
      <c r="E4" s="3" t="inlineStr">
        <is>
          <t>原価計</t>
        </is>
      </c>
      <c r="F4" s="3" t="inlineStr">
        <is>
          <t>粗利</t>
        </is>
      </c>
      <c r="G4" s="3" t="inlineStr">
        <is>
          <t>広告費</t>
        </is>
      </c>
      <c r="H4" s="3" t="inlineStr">
        <is>
          <t>限界利益</t>
        </is>
      </c>
      <c r="I4" s="3" t="inlineStr">
        <is>
          <t>固定費</t>
        </is>
      </c>
      <c r="J4" s="3" t="inlineStr">
        <is>
          <t>営業利益</t>
        </is>
      </c>
      <c r="K4" s="3" t="inlineStr">
        <is>
          <t>注記</t>
        </is>
      </c>
    </row>
    <row r="5">
      <c r="A5" s="4" t="inlineStr">
        <is>
          <t>M1</t>
        </is>
      </c>
      <c r="B5" s="18">
        <f>'02_Assumptions'!$B$43</f>
        <v>58</v>
      </c>
      <c r="C5" s="17">
        <f>'02_Assumptions'!$B$35</f>
        <v>26700</v>
      </c>
      <c r="D5" s="17">
        <f>B5*C5</f>
        <v>1548600</v>
      </c>
      <c r="E5" s="17">
        <f>B5*('02_Assumptions'!$B$36+'02_Assumptions'!$B$13+'02_Assumptions'!$B$35*'02_Assumptions'!$B$12+'02_Assumptions'!$B$14+'02_Assumptions'!$B$15+'02_Assumptions'!$B$16)</f>
        <v>972544</v>
      </c>
      <c r="F5" s="17">
        <f>D5-E5</f>
        <v>576056</v>
      </c>
      <c r="G5" s="17">
        <f>B5*'02_Assumptions'!$B$17</f>
        <v>261000</v>
      </c>
      <c r="H5" s="17">
        <f>F5-G5</f>
        <v>315056</v>
      </c>
      <c r="I5" s="17">
        <f>'02_Assumptions'!$B$33</f>
        <v>420750</v>
      </c>
      <c r="J5" s="22">
        <f>H5-I5</f>
        <v>-105694</v>
      </c>
      <c r="K5" s="4" t="inlineStr">
        <is>
          <t>月58個＝700個÷12ヶ月</t>
        </is>
      </c>
    </row>
    <row r="6">
      <c r="A6" s="4" t="inlineStr">
        <is>
          <t>M2</t>
        </is>
      </c>
      <c r="B6" s="18">
        <f>'02_Assumptions'!$B$43</f>
        <v>58</v>
      </c>
      <c r="C6" s="17">
        <f>'02_Assumptions'!$B$35</f>
        <v>26700</v>
      </c>
      <c r="D6" s="17">
        <f>B6*C6</f>
        <v>1548600</v>
      </c>
      <c r="E6" s="17">
        <f>B6*('02_Assumptions'!$B$36+'02_Assumptions'!$B$13+'02_Assumptions'!$B$35*'02_Assumptions'!$B$12+'02_Assumptions'!$B$14+'02_Assumptions'!$B$15+'02_Assumptions'!$B$16)</f>
        <v>972544</v>
      </c>
      <c r="F6" s="17">
        <f>D6-E6</f>
        <v>576056</v>
      </c>
      <c r="G6" s="17">
        <f>B6*'02_Assumptions'!$B$17</f>
        <v>261000</v>
      </c>
      <c r="H6" s="17">
        <f>F6-G6</f>
        <v>315056</v>
      </c>
      <c r="I6" s="17">
        <f>'02_Assumptions'!$B$33</f>
        <v>420750</v>
      </c>
      <c r="J6" s="22">
        <f>H6-I6</f>
        <v>-105694</v>
      </c>
      <c r="K6" s="4" t="inlineStr"/>
    </row>
    <row r="7">
      <c r="A7" s="4" t="inlineStr">
        <is>
          <t>M3</t>
        </is>
      </c>
      <c r="B7" s="18">
        <f>'02_Assumptions'!$B$43</f>
        <v>58</v>
      </c>
      <c r="C7" s="17">
        <f>'02_Assumptions'!$B$35</f>
        <v>26700</v>
      </c>
      <c r="D7" s="17">
        <f>B7*C7</f>
        <v>1548600</v>
      </c>
      <c r="E7" s="17">
        <f>B7*('02_Assumptions'!$B$36+'02_Assumptions'!$B$13+'02_Assumptions'!$B$35*'02_Assumptions'!$B$12+'02_Assumptions'!$B$14+'02_Assumptions'!$B$15+'02_Assumptions'!$B$16)</f>
        <v>972544</v>
      </c>
      <c r="F7" s="17">
        <f>D7-E7</f>
        <v>576056</v>
      </c>
      <c r="G7" s="17">
        <f>B7*'02_Assumptions'!$B$17</f>
        <v>261000</v>
      </c>
      <c r="H7" s="17">
        <f>F7-G7</f>
        <v>315056</v>
      </c>
      <c r="I7" s="17">
        <f>'02_Assumptions'!$B$33</f>
        <v>420750</v>
      </c>
      <c r="J7" s="22">
        <f>H7-I7</f>
        <v>-105694</v>
      </c>
      <c r="K7" s="4" t="inlineStr"/>
    </row>
    <row r="8">
      <c r="A8" s="4" t="inlineStr">
        <is>
          <t>M4</t>
        </is>
      </c>
      <c r="B8" s="18">
        <f>'02_Assumptions'!$B$43</f>
        <v>58</v>
      </c>
      <c r="C8" s="17">
        <f>'02_Assumptions'!$B$35</f>
        <v>26700</v>
      </c>
      <c r="D8" s="17">
        <f>B8*C8</f>
        <v>1548600</v>
      </c>
      <c r="E8" s="17">
        <f>B8*('02_Assumptions'!$B$36+'02_Assumptions'!$B$13+'02_Assumptions'!$B$35*'02_Assumptions'!$B$12+'02_Assumptions'!$B$14+'02_Assumptions'!$B$15+'02_Assumptions'!$B$16)</f>
        <v>972544</v>
      </c>
      <c r="F8" s="17">
        <f>D8-E8</f>
        <v>576056</v>
      </c>
      <c r="G8" s="17">
        <f>B8*'02_Assumptions'!$B$17</f>
        <v>261000</v>
      </c>
      <c r="H8" s="17">
        <f>F8-G8</f>
        <v>315056</v>
      </c>
      <c r="I8" s="17">
        <f>'02_Assumptions'!$B$33</f>
        <v>420750</v>
      </c>
      <c r="J8" s="22">
        <f>H8-I8</f>
        <v>-105694</v>
      </c>
      <c r="K8" s="4" t="inlineStr"/>
    </row>
    <row r="9">
      <c r="A9" s="4" t="inlineStr">
        <is>
          <t>M5</t>
        </is>
      </c>
      <c r="B9" s="18">
        <f>'02_Assumptions'!$B$43</f>
        <v>58</v>
      </c>
      <c r="C9" s="17">
        <f>'02_Assumptions'!$B$35</f>
        <v>26700</v>
      </c>
      <c r="D9" s="17">
        <f>B9*C9</f>
        <v>1548600</v>
      </c>
      <c r="E9" s="17">
        <f>B9*('02_Assumptions'!$B$36+'02_Assumptions'!$B$13+'02_Assumptions'!$B$35*'02_Assumptions'!$B$12+'02_Assumptions'!$B$14+'02_Assumptions'!$B$15+'02_Assumptions'!$B$16)</f>
        <v>972544</v>
      </c>
      <c r="F9" s="17">
        <f>D9-E9</f>
        <v>576056</v>
      </c>
      <c r="G9" s="17">
        <f>B9*'02_Assumptions'!$B$17</f>
        <v>261000</v>
      </c>
      <c r="H9" s="17">
        <f>F9-G9</f>
        <v>315056</v>
      </c>
      <c r="I9" s="17">
        <f>'02_Assumptions'!$B$33</f>
        <v>420750</v>
      </c>
      <c r="J9" s="22">
        <f>H9-I9</f>
        <v>-105694</v>
      </c>
      <c r="K9" s="4" t="inlineStr"/>
    </row>
    <row r="10">
      <c r="A10" s="4" t="inlineStr">
        <is>
          <t>M6</t>
        </is>
      </c>
      <c r="B10" s="18">
        <f>'02_Assumptions'!$B$43</f>
        <v>58</v>
      </c>
      <c r="C10" s="17">
        <f>'02_Assumptions'!$B$35</f>
        <v>26700</v>
      </c>
      <c r="D10" s="17">
        <f>B10*C10</f>
        <v>1548600</v>
      </c>
      <c r="E10" s="17">
        <f>B10*('02_Assumptions'!$B$36+'02_Assumptions'!$B$13+'02_Assumptions'!$B$35*'02_Assumptions'!$B$12+'02_Assumptions'!$B$14+'02_Assumptions'!$B$15+'02_Assumptions'!$B$16)</f>
        <v>972544</v>
      </c>
      <c r="F10" s="17">
        <f>D10-E10</f>
        <v>576056</v>
      </c>
      <c r="G10" s="17">
        <f>B10*'02_Assumptions'!$B$17</f>
        <v>261000</v>
      </c>
      <c r="H10" s="17">
        <f>F10-G10</f>
        <v>315056</v>
      </c>
      <c r="I10" s="17">
        <f>'02_Assumptions'!$B$33</f>
        <v>420750</v>
      </c>
      <c r="J10" s="22">
        <f>H10-I10</f>
        <v>-105694</v>
      </c>
      <c r="K10" s="4" t="inlineStr"/>
    </row>
    <row r="11">
      <c r="A11" s="4" t="inlineStr">
        <is>
          <t>M7</t>
        </is>
      </c>
      <c r="B11" s="18">
        <f>'02_Assumptions'!$B$43</f>
        <v>58</v>
      </c>
      <c r="C11" s="17">
        <f>'02_Assumptions'!$B$35</f>
        <v>26700</v>
      </c>
      <c r="D11" s="17">
        <f>B11*C11</f>
        <v>1548600</v>
      </c>
      <c r="E11" s="17">
        <f>B11*('02_Assumptions'!$B$36+'02_Assumptions'!$B$13+'02_Assumptions'!$B$35*'02_Assumptions'!$B$12+'02_Assumptions'!$B$14+'02_Assumptions'!$B$15+'02_Assumptions'!$B$16)</f>
        <v>972544</v>
      </c>
      <c r="F11" s="17">
        <f>D11-E11</f>
        <v>576056</v>
      </c>
      <c r="G11" s="17">
        <f>B11*'02_Assumptions'!$B$17</f>
        <v>261000</v>
      </c>
      <c r="H11" s="17">
        <f>F11-G11</f>
        <v>315056</v>
      </c>
      <c r="I11" s="17">
        <f>'02_Assumptions'!$B$33</f>
        <v>420750</v>
      </c>
      <c r="J11" s="22">
        <f>H11-I11</f>
        <v>-105694</v>
      </c>
      <c r="K11" s="4" t="inlineStr"/>
    </row>
    <row r="12">
      <c r="A12" s="4" t="inlineStr">
        <is>
          <t>M8</t>
        </is>
      </c>
      <c r="B12" s="18">
        <f>'02_Assumptions'!$B$43</f>
        <v>58</v>
      </c>
      <c r="C12" s="17">
        <f>'02_Assumptions'!$B$35</f>
        <v>26700</v>
      </c>
      <c r="D12" s="17">
        <f>B12*C12</f>
        <v>1548600</v>
      </c>
      <c r="E12" s="17">
        <f>B12*('02_Assumptions'!$B$36+'02_Assumptions'!$B$13+'02_Assumptions'!$B$35*'02_Assumptions'!$B$12+'02_Assumptions'!$B$14+'02_Assumptions'!$B$15+'02_Assumptions'!$B$16)</f>
        <v>972544</v>
      </c>
      <c r="F12" s="17">
        <f>D12-E12</f>
        <v>576056</v>
      </c>
      <c r="G12" s="17">
        <f>B12*'02_Assumptions'!$B$17</f>
        <v>261000</v>
      </c>
      <c r="H12" s="17">
        <f>F12-G12</f>
        <v>315056</v>
      </c>
      <c r="I12" s="17">
        <f>'02_Assumptions'!$B$33</f>
        <v>420750</v>
      </c>
      <c r="J12" s="22">
        <f>H12-I12</f>
        <v>-105694</v>
      </c>
      <c r="K12" s="4" t="inlineStr"/>
    </row>
    <row r="13">
      <c r="A13" s="4" t="inlineStr">
        <is>
          <t>M9</t>
        </is>
      </c>
      <c r="B13" s="18">
        <f>'02_Assumptions'!$B$43</f>
        <v>58</v>
      </c>
      <c r="C13" s="17">
        <f>'02_Assumptions'!$B$35</f>
        <v>26700</v>
      </c>
      <c r="D13" s="17">
        <f>B13*C13</f>
        <v>1548600</v>
      </c>
      <c r="E13" s="17">
        <f>B13*('02_Assumptions'!$B$36+'02_Assumptions'!$B$13+'02_Assumptions'!$B$35*'02_Assumptions'!$B$12+'02_Assumptions'!$B$14+'02_Assumptions'!$B$15+'02_Assumptions'!$B$16)</f>
        <v>972544</v>
      </c>
      <c r="F13" s="17">
        <f>D13-E13</f>
        <v>576056</v>
      </c>
      <c r="G13" s="17">
        <f>B13*'02_Assumptions'!$B$17</f>
        <v>261000</v>
      </c>
      <c r="H13" s="17">
        <f>F13-G13</f>
        <v>315056</v>
      </c>
      <c r="I13" s="17">
        <f>'02_Assumptions'!$B$33</f>
        <v>420750</v>
      </c>
      <c r="J13" s="22">
        <f>H13-I13</f>
        <v>-105694</v>
      </c>
      <c r="K13" s="4" t="inlineStr"/>
    </row>
    <row r="14">
      <c r="A14" s="4" t="inlineStr">
        <is>
          <t>M10</t>
        </is>
      </c>
      <c r="B14" s="18">
        <f>'02_Assumptions'!$B$43</f>
        <v>58</v>
      </c>
      <c r="C14" s="17">
        <f>'02_Assumptions'!$B$35</f>
        <v>26700</v>
      </c>
      <c r="D14" s="17">
        <f>B14*C14</f>
        <v>1548600</v>
      </c>
      <c r="E14" s="17">
        <f>B14*('02_Assumptions'!$B$36+'02_Assumptions'!$B$13+'02_Assumptions'!$B$35*'02_Assumptions'!$B$12+'02_Assumptions'!$B$14+'02_Assumptions'!$B$15+'02_Assumptions'!$B$16)</f>
        <v>972544</v>
      </c>
      <c r="F14" s="17">
        <f>D14-E14</f>
        <v>576056</v>
      </c>
      <c r="G14" s="17">
        <f>B14*'02_Assumptions'!$B$17</f>
        <v>261000</v>
      </c>
      <c r="H14" s="17">
        <f>F14-G14</f>
        <v>315056</v>
      </c>
      <c r="I14" s="17">
        <f>'02_Assumptions'!$B$33</f>
        <v>420750</v>
      </c>
      <c r="J14" s="22">
        <f>H14-I14</f>
        <v>-105694</v>
      </c>
      <c r="K14" s="4" t="inlineStr"/>
    </row>
    <row r="15">
      <c r="A15" s="4" t="inlineStr">
        <is>
          <t>M11</t>
        </is>
      </c>
      <c r="B15" s="18">
        <f>'02_Assumptions'!$B$43</f>
        <v>58</v>
      </c>
      <c r="C15" s="17">
        <f>'02_Assumptions'!$B$35</f>
        <v>26700</v>
      </c>
      <c r="D15" s="17">
        <f>B15*C15</f>
        <v>1548600</v>
      </c>
      <c r="E15" s="17">
        <f>B15*('02_Assumptions'!$B$36+'02_Assumptions'!$B$13+'02_Assumptions'!$B$35*'02_Assumptions'!$B$12+'02_Assumptions'!$B$14+'02_Assumptions'!$B$15+'02_Assumptions'!$B$16)</f>
        <v>972544</v>
      </c>
      <c r="F15" s="17">
        <f>D15-E15</f>
        <v>576056</v>
      </c>
      <c r="G15" s="17">
        <f>B15*'02_Assumptions'!$B$17</f>
        <v>261000</v>
      </c>
      <c r="H15" s="17">
        <f>F15-G15</f>
        <v>315056</v>
      </c>
      <c r="I15" s="17">
        <f>'02_Assumptions'!$B$33</f>
        <v>420750</v>
      </c>
      <c r="J15" s="22">
        <f>H15-I15</f>
        <v>-105694</v>
      </c>
      <c r="K15" s="4" t="inlineStr"/>
    </row>
    <row r="16">
      <c r="A16" s="4" t="inlineStr">
        <is>
          <t>M12</t>
        </is>
      </c>
      <c r="B16" s="18">
        <f>'02_Assumptions'!$B$43</f>
        <v>58</v>
      </c>
      <c r="C16" s="17">
        <f>'02_Assumptions'!$B$35</f>
        <v>26700</v>
      </c>
      <c r="D16" s="17">
        <f>B16*C16</f>
        <v>1548600</v>
      </c>
      <c r="E16" s="17">
        <f>B16*('02_Assumptions'!$B$36+'02_Assumptions'!$B$13+'02_Assumptions'!$B$35*'02_Assumptions'!$B$12+'02_Assumptions'!$B$14+'02_Assumptions'!$B$15+'02_Assumptions'!$B$16)</f>
        <v>972544</v>
      </c>
      <c r="F16" s="17">
        <f>D16-E16</f>
        <v>576056</v>
      </c>
      <c r="G16" s="17">
        <f>B16*'02_Assumptions'!$B$17</f>
        <v>261000</v>
      </c>
      <c r="H16" s="17">
        <f>F16-G16</f>
        <v>315056</v>
      </c>
      <c r="I16" s="17">
        <f>'02_Assumptions'!$B$33</f>
        <v>420750</v>
      </c>
      <c r="J16" s="22">
        <f>H16-I16</f>
        <v>-105694</v>
      </c>
      <c r="K16" s="4" t="inlineStr"/>
    </row>
    <row r="17">
      <c r="A17" s="24" t="inlineStr">
        <is>
          <t>年計</t>
        </is>
      </c>
      <c r="B17" s="15">
        <f>SUM(B5:B16)</f>
        <v>696</v>
      </c>
      <c r="C17" s="13">
        <f>'02_Assumptions'!$B$35</f>
        <v>26700</v>
      </c>
      <c r="D17" s="13">
        <f>SUM(D5:D16)</f>
        <v>18583200</v>
      </c>
      <c r="E17" s="13">
        <f>SUM(E5:E16)</f>
        <v>11670528</v>
      </c>
      <c r="F17" s="13">
        <f>SUM(F5:F16)</f>
        <v>6912672</v>
      </c>
      <c r="G17" s="13">
        <f>SUM(G5:G16)</f>
        <v>3132000</v>
      </c>
      <c r="H17" s="13">
        <f>SUM(H5:H16)</f>
        <v>3780672</v>
      </c>
      <c r="I17" s="13">
        <f>SUM(I5:I16)</f>
        <v>5049000</v>
      </c>
      <c r="J17" s="13">
        <f>SUM(J5:J16)</f>
        <v>-1268328</v>
      </c>
      <c r="K17" s="28" t="inlineStr">
        <is>
          <t>完売しても年間営業赤字</t>
        </is>
      </c>
    </row>
    <row r="18">
      <c r="A18" s="11" t="inlineStr">
        <is>
          <t>注記</t>
        </is>
      </c>
    </row>
    <row r="19">
      <c r="A19" s="2" t="inlineStr">
        <is>
          <t>この計画は「700個を全て売り切った」最良の消化ケース。それでも営業利益は年 −1,268,328円。</t>
        </is>
      </c>
    </row>
    <row r="20">
      <c r="A20" s="2" t="inlineStr">
        <is>
          <t>黒字化には月78個（年936個）が必要。700個では数量そのものが足りない。</t>
        </is>
      </c>
    </row>
    <row r="21">
      <c r="A21" s="2" t="inlineStr">
        <is>
          <t>★実績販売数が判明次第、B列を実績で置き換えること。</t>
        </is>
      </c>
    </row>
  </sheetData>
  <mergeCells count="6">
    <mergeCell ref="A18:K18"/>
    <mergeCell ref="A20:K20"/>
    <mergeCell ref="A21:K21"/>
    <mergeCell ref="A19:K19"/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2" customWidth="1" min="15" max="15"/>
    <col width="11" customWidth="1" min="16" max="16"/>
    <col width="13" customWidth="1" min="17" max="17"/>
    <col width="34" customWidth="1" min="18" max="18"/>
  </cols>
  <sheetData>
    <row r="1">
      <c r="A1" s="52" t="inlineStr">
        <is>
          <t>広告分析</t>
        </is>
      </c>
    </row>
    <row r="2">
      <c r="A2" s="2" t="inlineStr">
        <is>
          <t>★広告実績が未提出。媒体別の入力枠と判定基準を提示。ROASではなく「限界利益ROAS」で判断する。</t>
        </is>
      </c>
    </row>
    <row r="4">
      <c r="A4" s="3" t="inlineStr">
        <is>
          <t>日付</t>
        </is>
      </c>
      <c r="B4" s="3" t="inlineStr">
        <is>
          <t>媒体</t>
        </is>
      </c>
      <c r="C4" s="3" t="inlineStr">
        <is>
          <t>Campaign</t>
        </is>
      </c>
      <c r="D4" s="3" t="inlineStr">
        <is>
          <t>Creative</t>
        </is>
      </c>
      <c r="E4" s="3" t="inlineStr">
        <is>
          <t>広告費</t>
        </is>
      </c>
      <c r="F4" s="3" t="inlineStr">
        <is>
          <t>Imp</t>
        </is>
      </c>
      <c r="G4" s="3" t="inlineStr">
        <is>
          <t>CPM</t>
        </is>
      </c>
      <c r="H4" s="3" t="inlineStr">
        <is>
          <t>Click</t>
        </is>
      </c>
      <c r="I4" s="3" t="inlineStr">
        <is>
          <t>CTR</t>
        </is>
      </c>
      <c r="J4" s="3" t="inlineStr">
        <is>
          <t>CPC</t>
        </is>
      </c>
      <c r="K4" s="3" t="inlineStr">
        <is>
          <t>LP View</t>
        </is>
      </c>
      <c r="L4" s="3" t="inlineStr">
        <is>
          <t>CV</t>
        </is>
      </c>
      <c r="M4" s="3" t="inlineStr">
        <is>
          <t>CVR</t>
        </is>
      </c>
      <c r="N4" s="3" t="inlineStr">
        <is>
          <t>CPA</t>
        </is>
      </c>
      <c r="O4" s="3" t="inlineStr">
        <is>
          <t>売上</t>
        </is>
      </c>
      <c r="P4" s="3" t="inlineStr">
        <is>
          <t>ROAS</t>
        </is>
      </c>
      <c r="Q4" s="3" t="inlineStr">
        <is>
          <t>限界利益ROAS</t>
        </is>
      </c>
      <c r="R4" s="3" t="inlineStr">
        <is>
          <t>注記</t>
        </is>
      </c>
    </row>
    <row r="5">
      <c r="A5" s="4" t="inlineStr"/>
      <c r="B5" s="4" t="inlineStr">
        <is>
          <t>Meta</t>
        </is>
      </c>
      <c r="C5" s="4" t="inlineStr"/>
      <c r="D5" s="4" t="inlineStr"/>
      <c r="E5" s="23" t="n"/>
      <c r="F5" s="48" t="n"/>
      <c r="G5" s="23" t="n"/>
      <c r="H5" s="48" t="n"/>
      <c r="I5" s="26" t="n"/>
      <c r="J5" s="23" t="n"/>
      <c r="K5" s="48" t="n"/>
      <c r="L5" s="48" t="n"/>
      <c r="M5" s="26" t="n"/>
      <c r="N5" s="23" t="n"/>
      <c r="O5" s="23" t="n"/>
      <c r="P5" s="49" t="n"/>
      <c r="Q5" s="49" t="n"/>
      <c r="R5" s="4" t="inlineStr"/>
    </row>
    <row r="6">
      <c r="A6" s="4" t="inlineStr"/>
      <c r="B6" s="4" t="inlineStr">
        <is>
          <t>Google</t>
        </is>
      </c>
      <c r="C6" s="4" t="inlineStr"/>
      <c r="D6" s="4" t="inlineStr"/>
      <c r="E6" s="23" t="n"/>
      <c r="F6" s="48" t="n"/>
      <c r="G6" s="23" t="n"/>
      <c r="H6" s="48" t="n"/>
      <c r="I6" s="26" t="n"/>
      <c r="J6" s="23" t="n"/>
      <c r="K6" s="48" t="n"/>
      <c r="L6" s="48" t="n"/>
      <c r="M6" s="26" t="n"/>
      <c r="N6" s="23" t="n"/>
      <c r="O6" s="23" t="n"/>
      <c r="P6" s="49" t="n"/>
      <c r="Q6" s="49" t="n"/>
      <c r="R6" s="4" t="inlineStr"/>
    </row>
    <row r="7">
      <c r="A7" s="4" t="inlineStr"/>
      <c r="B7" s="4" t="inlineStr">
        <is>
          <t>Amazon</t>
        </is>
      </c>
      <c r="C7" s="4" t="inlineStr"/>
      <c r="D7" s="4" t="inlineStr"/>
      <c r="E7" s="23" t="n"/>
      <c r="F7" s="48" t="n"/>
      <c r="G7" s="23" t="n"/>
      <c r="H7" s="48" t="n"/>
      <c r="I7" s="26" t="n"/>
      <c r="J7" s="23" t="n"/>
      <c r="K7" s="48" t="n"/>
      <c r="L7" s="48" t="n"/>
      <c r="M7" s="26" t="n"/>
      <c r="N7" s="23" t="n"/>
      <c r="O7" s="23" t="n"/>
      <c r="P7" s="49" t="n"/>
      <c r="Q7" s="49" t="n"/>
      <c r="R7" s="4" t="inlineStr"/>
    </row>
    <row r="8">
      <c r="A8" s="4" t="inlineStr"/>
      <c r="B8" s="4" t="inlineStr">
        <is>
          <t>楽天RPP</t>
        </is>
      </c>
      <c r="C8" s="4" t="inlineStr"/>
      <c r="D8" s="4" t="inlineStr"/>
      <c r="E8" s="23" t="n"/>
      <c r="F8" s="48" t="n"/>
      <c r="G8" s="23" t="n"/>
      <c r="H8" s="48" t="n"/>
      <c r="I8" s="26" t="n"/>
      <c r="J8" s="23" t="n"/>
      <c r="K8" s="48" t="n"/>
      <c r="L8" s="48" t="n"/>
      <c r="M8" s="26" t="n"/>
      <c r="N8" s="23" t="n"/>
      <c r="O8" s="23" t="n"/>
      <c r="P8" s="49" t="n"/>
      <c r="Q8" s="49" t="n"/>
      <c r="R8" s="4" t="inlineStr"/>
    </row>
    <row r="9">
      <c r="A9" s="4" t="inlineStr"/>
      <c r="B9" s="4" t="inlineStr">
        <is>
          <t>TikTok</t>
        </is>
      </c>
      <c r="C9" s="4" t="inlineStr"/>
      <c r="D9" s="4" t="inlineStr"/>
      <c r="E9" s="23" t="n"/>
      <c r="F9" s="48" t="n"/>
      <c r="G9" s="23" t="n"/>
      <c r="H9" s="48" t="n"/>
      <c r="I9" s="26" t="n"/>
      <c r="J9" s="23" t="n"/>
      <c r="K9" s="48" t="n"/>
      <c r="L9" s="48" t="n"/>
      <c r="M9" s="26" t="n"/>
      <c r="N9" s="23" t="n"/>
      <c r="O9" s="23" t="n"/>
      <c r="P9" s="49" t="n"/>
      <c r="Q9" s="49" t="n"/>
      <c r="R9" s="4" t="inlineStr"/>
    </row>
    <row r="10">
      <c r="A10" s="4" t="inlineStr"/>
      <c r="B10" s="4" t="inlineStr">
        <is>
          <t>インフルエンサー</t>
        </is>
      </c>
      <c r="C10" s="4" t="inlineStr"/>
      <c r="D10" s="4" t="inlineStr"/>
      <c r="E10" s="23" t="n"/>
      <c r="F10" s="48" t="n"/>
      <c r="G10" s="23" t="n"/>
      <c r="H10" s="48" t="n"/>
      <c r="I10" s="26" t="n"/>
      <c r="J10" s="23" t="n"/>
      <c r="K10" s="48" t="n"/>
      <c r="L10" s="48" t="n"/>
      <c r="M10" s="26" t="n"/>
      <c r="N10" s="23" t="n"/>
      <c r="O10" s="23" t="n"/>
      <c r="P10" s="49" t="n"/>
      <c r="Q10" s="49" t="n"/>
      <c r="R10" s="4" t="inlineStr"/>
    </row>
    <row r="11">
      <c r="A11" s="4" t="inlineStr"/>
      <c r="B11" s="4" t="inlineStr">
        <is>
          <t>アフィリエイト</t>
        </is>
      </c>
      <c r="C11" s="4" t="inlineStr"/>
      <c r="D11" s="4" t="inlineStr"/>
      <c r="E11" s="23" t="n"/>
      <c r="F11" s="48" t="n"/>
      <c r="G11" s="23" t="n"/>
      <c r="H11" s="48" t="n"/>
      <c r="I11" s="26" t="n"/>
      <c r="J11" s="23" t="n"/>
      <c r="K11" s="48" t="n"/>
      <c r="L11" s="48" t="n"/>
      <c r="M11" s="26" t="n"/>
      <c r="N11" s="23" t="n"/>
      <c r="O11" s="23" t="n"/>
      <c r="P11" s="49" t="n"/>
      <c r="Q11" s="49" t="n"/>
      <c r="R11" s="4" t="inlineStr"/>
    </row>
    <row r="12">
      <c r="A12" s="4" t="inlineStr"/>
      <c r="B12" s="4" t="inlineStr">
        <is>
          <t>SEO/オーガニック</t>
        </is>
      </c>
      <c r="C12" s="4" t="inlineStr"/>
      <c r="D12" s="4" t="inlineStr"/>
      <c r="E12" s="23" t="n"/>
      <c r="F12" s="48" t="n"/>
      <c r="G12" s="23" t="n"/>
      <c r="H12" s="48" t="n"/>
      <c r="I12" s="26" t="n"/>
      <c r="J12" s="23" t="n"/>
      <c r="K12" s="48" t="n"/>
      <c r="L12" s="48" t="n"/>
      <c r="M12" s="26" t="n"/>
      <c r="N12" s="23" t="n"/>
      <c r="O12" s="23" t="n"/>
      <c r="P12" s="49" t="n"/>
      <c r="Q12" s="49" t="n"/>
      <c r="R12" s="4" t="inlineStr"/>
    </row>
    <row r="13">
      <c r="A13" s="4" t="inlineStr"/>
      <c r="B13" s="4" t="inlineStr">
        <is>
          <t>PR</t>
        </is>
      </c>
      <c r="C13" s="4" t="inlineStr"/>
      <c r="D13" s="4" t="inlineStr"/>
      <c r="E13" s="23" t="n"/>
      <c r="F13" s="48" t="n"/>
      <c r="G13" s="23" t="n"/>
      <c r="H13" s="48" t="n"/>
      <c r="I13" s="26" t="n"/>
      <c r="J13" s="23" t="n"/>
      <c r="K13" s="48" t="n"/>
      <c r="L13" s="48" t="n"/>
      <c r="M13" s="26" t="n"/>
      <c r="N13" s="23" t="n"/>
      <c r="O13" s="23" t="n"/>
      <c r="P13" s="49" t="n"/>
      <c r="Q13" s="49" t="n"/>
      <c r="R13" s="4" t="inlineStr"/>
    </row>
    <row r="15">
      <c r="A15" s="11" t="inlineStr">
        <is>
          <t>判定基準（社内基準）</t>
        </is>
      </c>
    </row>
    <row r="16">
      <c r="A16" s="3" t="inlineStr">
        <is>
          <t>指標</t>
        </is>
      </c>
      <c r="B16" s="3" t="inlineStr">
        <is>
          <t>目標</t>
        </is>
      </c>
      <c r="C16" s="3" t="inlineStr">
        <is>
          <t>許容上限</t>
        </is>
      </c>
      <c r="D16" s="3" t="inlineStr">
        <is>
          <t>停止ライン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4" t="inlineStr">
        <is>
          <t>CPA</t>
        </is>
      </c>
      <c r="B17" s="4" t="inlineStr">
        <is>
          <t>¥4,500</t>
        </is>
      </c>
      <c r="C17" s="4" t="inlineStr">
        <is>
          <t>¥6,000</t>
        </is>
      </c>
      <c r="D17" s="4" t="inlineStr">
        <is>
          <t>¥6,000超が7日連続 → 停止</t>
        </is>
      </c>
    </row>
    <row r="18">
      <c r="A18" s="4" t="inlineStr">
        <is>
          <t>広告費率（広告費÷売上）</t>
        </is>
      </c>
      <c r="B18" s="4" t="inlineStr">
        <is>
          <t>15%</t>
        </is>
      </c>
      <c r="C18" s="4" t="inlineStr">
        <is>
          <t>20%</t>
        </is>
      </c>
      <c r="D18" s="4" t="inlineStr">
        <is>
          <t>20%超が継続 → 停止</t>
        </is>
      </c>
    </row>
    <row r="19">
      <c r="A19" s="4" t="inlineStr">
        <is>
          <t>限界利益ROAS</t>
        </is>
      </c>
      <c r="B19" s="4" t="inlineStr">
        <is>
          <t>2.0以上</t>
        </is>
      </c>
      <c r="C19" s="4" t="inlineStr">
        <is>
          <t>1.0</t>
        </is>
      </c>
      <c r="D19" s="4" t="inlineStr">
        <is>
          <t>1.0未満＝売るほど赤字。即停止</t>
        </is>
      </c>
    </row>
    <row r="20">
      <c r="A20" s="4" t="inlineStr">
        <is>
          <t>ROAS（売上ベース）</t>
        </is>
      </c>
      <c r="B20" s="4" t="inlineStr">
        <is>
          <t>参考値</t>
        </is>
      </c>
      <c r="C20" s="4" t="inlineStr">
        <is>
          <t>—</t>
        </is>
      </c>
      <c r="D20" s="4" t="inlineStr">
        <is>
          <t>★ROAS単独で黒字判断しない</t>
        </is>
      </c>
    </row>
    <row r="22">
      <c r="A22" s="11" t="inlineStr">
        <is>
          <t>限界利益ROAS の現在値</t>
        </is>
      </c>
    </row>
    <row r="23">
      <c r="A23" s="3" t="inlineStr">
        <is>
          <t>CPA</t>
        </is>
      </c>
      <c r="B23" s="3" t="inlineStr">
        <is>
          <t>限界利益ROAS</t>
        </is>
      </c>
      <c r="C23" s="3" t="inlineStr">
        <is>
          <t>判定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17" t="n">
        <v>3600</v>
      </c>
      <c r="B24" s="50" t="n">
        <v>2.758888888888889</v>
      </c>
      <c r="C24" s="4" t="inlineStr">
        <is>
          <t>楽観</t>
        </is>
      </c>
    </row>
    <row r="25">
      <c r="A25" s="17" t="n">
        <v>4500</v>
      </c>
      <c r="B25" s="50" t="n">
        <v>2.207111111111111</v>
      </c>
      <c r="C25" s="4" t="inlineStr">
        <is>
          <t>目標</t>
        </is>
      </c>
    </row>
    <row r="26">
      <c r="A26" s="17" t="n">
        <v>6000</v>
      </c>
      <c r="B26" s="37" t="n">
        <v>1.655333333333333</v>
      </c>
      <c r="C26" s="4" t="inlineStr">
        <is>
          <t>許容上限</t>
        </is>
      </c>
    </row>
    <row r="27">
      <c r="A27" s="17" t="n">
        <v>9932</v>
      </c>
      <c r="B27" s="36" t="n">
        <v>1</v>
      </c>
      <c r="C27" s="4" t="inlineStr">
        <is>
          <t>完全赤字ライン</t>
        </is>
      </c>
    </row>
    <row r="28">
      <c r="A28" s="11" t="inlineStr">
        <is>
          <t>注記</t>
        </is>
      </c>
    </row>
    <row r="29">
      <c r="A29" s="2" t="inlineStr">
        <is>
          <t>限界利益ROAS ＝ 粗利 ÷ 広告費。1.0を割ったら、売上が伸びていても赤字。</t>
        </is>
      </c>
    </row>
    <row r="30">
      <c r="A30" s="2" t="inlineStr">
        <is>
          <t>MIX粗利 9,932円 ÷ CPA4,500 = 2.21。CPA6,000なら1.66。CPA9,932で1.00＝完全赤字ライン。</t>
        </is>
      </c>
    </row>
    <row r="31">
      <c r="A31" s="2" t="inlineStr">
        <is>
          <t>広告依存率：オーガニック流入比率が未計測。広告停止で売上がゼロになる構造なら、事業価値はほぼゼロと評価する。</t>
        </is>
      </c>
    </row>
  </sheetData>
  <mergeCells count="8">
    <mergeCell ref="A30:R30"/>
    <mergeCell ref="A15:R15"/>
    <mergeCell ref="A29:R29"/>
    <mergeCell ref="A2:R2"/>
    <mergeCell ref="A28:R28"/>
    <mergeCell ref="A1:R1"/>
    <mergeCell ref="A31:R31"/>
    <mergeCell ref="A22:R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42" customWidth="1" min="8" max="8"/>
  </cols>
  <sheetData>
    <row r="1">
      <c r="A1" s="52" t="inlineStr">
        <is>
          <t>ファネル分析</t>
        </is>
      </c>
    </row>
    <row r="2">
      <c r="A2" s="2" t="inlineStr">
        <is>
          <t>★各段階の実数が未提出。枠とボトルネック仮説を提示。責任者は必ず1名置くこと。</t>
        </is>
      </c>
    </row>
    <row r="4">
      <c r="A4" s="3" t="inlineStr">
        <is>
          <t>段階</t>
        </is>
      </c>
      <c r="B4" s="3" t="inlineStr">
        <is>
          <t>母数</t>
        </is>
      </c>
      <c r="C4" s="3" t="inlineStr">
        <is>
          <t>CV数</t>
        </is>
      </c>
      <c r="D4" s="3" t="inlineStr">
        <is>
          <t>CVR</t>
        </is>
      </c>
      <c r="E4" s="3" t="inlineStr">
        <is>
          <t>業界目安</t>
        </is>
      </c>
      <c r="F4" s="3" t="inlineStr">
        <is>
          <t>改善余地</t>
        </is>
      </c>
      <c r="G4" s="3" t="inlineStr">
        <is>
          <t>責任者</t>
        </is>
      </c>
      <c r="H4" s="3" t="inlineStr">
        <is>
          <t>注記</t>
        </is>
      </c>
    </row>
    <row r="5">
      <c r="A5" s="4" t="inlineStr">
        <is>
          <t>認知（Imp）</t>
        </is>
      </c>
      <c r="B5" s="48" t="n"/>
      <c r="C5" s="48" t="n"/>
      <c r="D5" s="19" t="n"/>
      <c r="E5" s="4" t="inlineStr"/>
      <c r="F5" s="4" t="inlineStr"/>
      <c r="G5" s="51" t="inlineStr"/>
      <c r="H5" s="4" t="inlineStr"/>
    </row>
    <row r="6">
      <c r="A6" s="4" t="inlineStr">
        <is>
          <t>クリック</t>
        </is>
      </c>
      <c r="B6" s="48" t="n"/>
      <c r="C6" s="48" t="n"/>
      <c r="D6" s="19">
        <f>IF(B6=0,0,C6/B6)</f>
        <v>0</v>
      </c>
      <c r="E6" s="4" t="inlineStr"/>
      <c r="F6" s="4" t="inlineStr"/>
      <c r="G6" s="51" t="inlineStr"/>
      <c r="H6" s="4" t="inlineStr"/>
    </row>
    <row r="7">
      <c r="A7" s="4" t="inlineStr">
        <is>
          <t>LP到達</t>
        </is>
      </c>
      <c r="B7" s="48" t="n"/>
      <c r="C7" s="48" t="n"/>
      <c r="D7" s="19">
        <f>IF(B7=0,0,C7/B7)</f>
        <v>0</v>
      </c>
      <c r="E7" s="4" t="inlineStr"/>
      <c r="F7" s="4" t="inlineStr"/>
      <c r="G7" s="51" t="inlineStr"/>
      <c r="H7" s="4" t="inlineStr"/>
    </row>
    <row r="8">
      <c r="A8" s="4" t="inlineStr">
        <is>
          <t>カート投入</t>
        </is>
      </c>
      <c r="B8" s="48" t="n"/>
      <c r="C8" s="48" t="n"/>
      <c r="D8" s="19">
        <f>IF(B8=0,0,C8/B8)</f>
        <v>0</v>
      </c>
      <c r="E8" s="4" t="inlineStr"/>
      <c r="F8" s="4" t="inlineStr"/>
      <c r="G8" s="51" t="inlineStr"/>
      <c r="H8" s="4" t="inlineStr"/>
    </row>
    <row r="9">
      <c r="A9" s="4" t="inlineStr">
        <is>
          <t>購入・予約</t>
        </is>
      </c>
      <c r="B9" s="48" t="n"/>
      <c r="C9" s="48" t="n"/>
      <c r="D9" s="19">
        <f>IF(B9=0,0,C9/B9)</f>
        <v>0</v>
      </c>
      <c r="E9" s="4" t="inlineStr"/>
      <c r="F9" s="4" t="inlineStr"/>
      <c r="G9" s="51" t="inlineStr"/>
      <c r="H9" s="4" t="inlineStr"/>
    </row>
    <row r="10">
      <c r="A10" s="4" t="inlineStr">
        <is>
          <t>入金完了</t>
        </is>
      </c>
      <c r="B10" s="48" t="n"/>
      <c r="C10" s="48" t="n"/>
      <c r="D10" s="19">
        <f>IF(B10=0,0,C10/B10)</f>
        <v>0</v>
      </c>
      <c r="E10" s="4" t="inlineStr"/>
      <c r="F10" s="4" t="inlineStr"/>
      <c r="G10" s="51" t="inlineStr"/>
      <c r="H10" s="4" t="inlineStr"/>
    </row>
    <row r="11">
      <c r="A11" s="4" t="inlineStr">
        <is>
          <t>レビュー投稿</t>
        </is>
      </c>
      <c r="B11" s="48" t="n"/>
      <c r="C11" s="48" t="n"/>
      <c r="D11" s="19">
        <f>IF(B11=0,0,C11/B11)</f>
        <v>0</v>
      </c>
      <c r="E11" s="4" t="inlineStr"/>
      <c r="F11" s="4" t="inlineStr"/>
      <c r="G11" s="51" t="inlineStr"/>
      <c r="H11" s="4" t="inlineStr"/>
    </row>
    <row r="12">
      <c r="A12" s="4" t="inlineStr">
        <is>
          <t>リピート</t>
        </is>
      </c>
      <c r="B12" s="48" t="n"/>
      <c r="C12" s="48" t="n"/>
      <c r="D12" s="19">
        <f>IF(B12=0,0,C12/B12)</f>
        <v>0</v>
      </c>
      <c r="E12" s="4" t="inlineStr"/>
      <c r="F12" s="4" t="inlineStr"/>
      <c r="G12" s="51" t="inlineStr"/>
      <c r="H12" s="4" t="inlineStr"/>
    </row>
    <row r="13">
      <c r="A13" s="4" t="inlineStr">
        <is>
          <t>紹介</t>
        </is>
      </c>
      <c r="B13" s="48" t="n"/>
      <c r="C13" s="48" t="n"/>
      <c r="D13" s="19">
        <f>IF(B13=0,0,C13/B13)</f>
        <v>0</v>
      </c>
      <c r="E13" s="4" t="inlineStr"/>
      <c r="F13" s="4" t="inlineStr"/>
      <c r="G13" s="51" t="inlineStr"/>
      <c r="H13" s="4" t="inlineStr"/>
    </row>
    <row r="15">
      <c r="A15" s="11" t="inlineStr">
        <is>
          <t>ボトルネック仮説（1つに絞る）</t>
        </is>
      </c>
    </row>
    <row r="16">
      <c r="A16" s="47" t="inlineStr">
        <is>
          <t>想定ボトルネック：【LP → 購入】のCVR。2〜3万円のスーツケースは「触れない不安」が最大の離脱要因。</t>
        </is>
      </c>
    </row>
    <row r="17">
      <c r="A17" s="47" t="inlineStr">
        <is>
          <t>理由：価格帯的に比較検討が長く、レビュー数・実測重量・容量比較・返品条件が意思決定を左右する。</t>
        </is>
      </c>
    </row>
    <row r="18">
      <c r="A18" s="47" t="inlineStr">
        <is>
          <t>検証方法：LPにサイズ比較動画・実測重量・返品ポリシーを追加し、A/BでCVR差分を測る。広告費を増やす前にここを潰す。</t>
        </is>
      </c>
    </row>
    <row r="19">
      <c r="A19" s="47" t="inlineStr">
        <is>
          <t>★ただしCVRの実数が未提出のため上記は仮説。まず現状CVRを出すこと。</t>
        </is>
      </c>
    </row>
  </sheetData>
  <mergeCells count="7">
    <mergeCell ref="A18:H18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52" t="inlineStr">
        <is>
          <t>損益計算（年間・3シナリオ）</t>
        </is>
      </c>
    </row>
    <row r="2">
      <c r="A2" s="2" t="inlineStr">
        <is>
          <t>営業利益がマイナス＝売っても固定費を回収できていない。悲観から先に見る。</t>
        </is>
      </c>
    </row>
    <row r="4">
      <c r="A4" s="3" t="inlineStr">
        <is>
          <t>項目</t>
        </is>
      </c>
      <c r="B4" s="3" t="inlineStr">
        <is>
          <t>悲観</t>
        </is>
      </c>
      <c r="C4" s="3" t="inlineStr">
        <is>
          <t>標準</t>
        </is>
      </c>
      <c r="D4" s="3" t="inlineStr">
        <is>
          <t>楽観</t>
        </is>
      </c>
      <c r="E4" s="3" t="inlineStr">
        <is>
          <t>注記</t>
        </is>
      </c>
    </row>
    <row r="5">
      <c r="A5" s="4" t="inlineStr">
        <is>
          <t>年間販売数</t>
        </is>
      </c>
      <c r="B5" s="18">
        <f>ROUND('02_Assumptions'!$B$43*'02_Assumptions'!$B$25,0)*12</f>
        <v>348</v>
      </c>
      <c r="C5" s="18">
        <f>'02_Assumptions'!$B$43*12</f>
        <v>696</v>
      </c>
      <c r="D5" s="18">
        <f>ROUND('02_Assumptions'!$B$43*'02_Assumptions'!$B$27,0)*12</f>
        <v>1044</v>
      </c>
      <c r="E5" s="4" t="inlineStr">
        <is>
          <t>悲観=標準50% / 楽観=標準150%</t>
        </is>
      </c>
    </row>
    <row r="6">
      <c r="A6" s="4" t="inlineStr">
        <is>
          <t>CPA</t>
        </is>
      </c>
      <c r="B6" s="17">
        <f>'02_Assumptions'!$B$17*'02_Assumptions'!$B$26</f>
        <v>6750</v>
      </c>
      <c r="C6" s="17">
        <f>'02_Assumptions'!$B$17</f>
        <v>4500</v>
      </c>
      <c r="D6" s="17">
        <f>'02_Assumptions'!$B$17*'02_Assumptions'!$B$28</f>
        <v>3600</v>
      </c>
      <c r="E6" s="4" t="inlineStr">
        <is>
          <t>悲観150% / 標準=社内目標 / 楽観80%</t>
        </is>
      </c>
    </row>
    <row r="7">
      <c r="A7" s="4" t="inlineStr">
        <is>
          <t>売上高</t>
        </is>
      </c>
      <c r="B7" s="17">
        <f>B5*'02_Assumptions'!$B$35</f>
        <v>9291600</v>
      </c>
      <c r="C7" s="17">
        <f>C5*'02_Assumptions'!$B$35</f>
        <v>18583200</v>
      </c>
      <c r="D7" s="17">
        <f>D5*'02_Assumptions'!$B$35</f>
        <v>27874800</v>
      </c>
      <c r="E7" s="4" t="inlineStr">
        <is>
          <t>平均単価26,700円×数量</t>
        </is>
      </c>
    </row>
    <row r="8">
      <c r="A8" s="4" t="inlineStr">
        <is>
          <t>売上原価（原価+送料+手数料）</t>
        </is>
      </c>
      <c r="B8" s="17">
        <f>B5*('02_Assumptions'!$B$36+'02_Assumptions'!$B$13+'02_Assumptions'!$B$35*'02_Assumptions'!$B$12+'02_Assumptions'!$B$14+'02_Assumptions'!$B$15+'02_Assumptions'!$B$16)</f>
        <v>5835264</v>
      </c>
      <c r="C8" s="17">
        <f>C5*('02_Assumptions'!$B$36+'02_Assumptions'!$B$13+'02_Assumptions'!$B$35*'02_Assumptions'!$B$12+'02_Assumptions'!$B$14+'02_Assumptions'!$B$15+'02_Assumptions'!$B$16)</f>
        <v>11670528</v>
      </c>
      <c r="D8" s="17">
        <f>D5*('02_Assumptions'!$B$36+'02_Assumptions'!$B$13+'02_Assumptions'!$B$35*'02_Assumptions'!$B$12+'02_Assumptions'!$B$14+'02_Assumptions'!$B$15+'02_Assumptions'!$B$16)</f>
        <v>17505792</v>
      </c>
      <c r="E8" s="4" t="inlineStr">
        <is>
          <t>★関税・国際送料・倉庫・返品は未算入</t>
        </is>
      </c>
    </row>
    <row r="9">
      <c r="A9" s="4" t="inlineStr">
        <is>
          <t>売上総利益（粗利）</t>
        </is>
      </c>
      <c r="B9" s="17">
        <f>B7-B8</f>
        <v>3456336</v>
      </c>
      <c r="C9" s="17">
        <f>C7-C8</f>
        <v>6912672</v>
      </c>
      <c r="D9" s="17">
        <f>D7-D8</f>
        <v>10369008</v>
      </c>
      <c r="E9" s="4" t="inlineStr">
        <is>
          <t>粗利率37.2%</t>
        </is>
      </c>
    </row>
    <row r="10">
      <c r="A10" s="4" t="inlineStr">
        <is>
          <t>広告宣伝費</t>
        </is>
      </c>
      <c r="B10" s="17">
        <f>B5*B6</f>
        <v>2349000</v>
      </c>
      <c r="C10" s="17">
        <f>C5*C6</f>
        <v>3132000</v>
      </c>
      <c r="D10" s="17">
        <f>D5*D6</f>
        <v>3758400</v>
      </c>
      <c r="E10" s="4" t="inlineStr"/>
    </row>
    <row r="11">
      <c r="A11" s="12" t="inlineStr">
        <is>
          <t>限界利益</t>
        </is>
      </c>
      <c r="B11" s="29">
        <f>B9-B10</f>
        <v>1107336</v>
      </c>
      <c r="C11" s="29">
        <f>C9-C10</f>
        <v>3780672</v>
      </c>
      <c r="D11" s="29">
        <f>D9-D10</f>
        <v>6610608</v>
      </c>
      <c r="E11" s="12" t="inlineStr">
        <is>
          <t>粗利 − 広告費</t>
        </is>
      </c>
    </row>
    <row r="12">
      <c r="A12" s="4" t="inlineStr">
        <is>
          <t>固定費</t>
        </is>
      </c>
      <c r="B12" s="17">
        <f>'02_Assumptions'!$B$34*12</f>
        <v>5555065.5600000005</v>
      </c>
      <c r="C12" s="17">
        <f>'02_Assumptions'!$B$33*12</f>
        <v>5049000</v>
      </c>
      <c r="D12" s="17">
        <f>'02_Assumptions'!$B$33*12</f>
        <v>5049000</v>
      </c>
      <c r="E12" s="4" t="inlineStr">
        <is>
          <t>悲観のみ実績平均を使用</t>
        </is>
      </c>
    </row>
    <row r="13">
      <c r="A13" s="12" t="inlineStr">
        <is>
          <t>営業利益</t>
        </is>
      </c>
      <c r="B13" s="30">
        <f>B11-B12</f>
        <v>-4447729.5600000005</v>
      </c>
      <c r="C13" s="30">
        <f>C11-C12</f>
        <v>-1268328</v>
      </c>
      <c r="D13" s="31">
        <f>D11-D12</f>
        <v>1561608</v>
      </c>
      <c r="E13" s="12" t="inlineStr">
        <is>
          <t>★標準ケースでも赤字</t>
        </is>
      </c>
    </row>
    <row r="14">
      <c r="A14" s="12" t="inlineStr">
        <is>
          <t>営業利益率</t>
        </is>
      </c>
      <c r="B14" s="32">
        <f>B13/B7</f>
        <v>-0.4786828490249258</v>
      </c>
      <c r="C14" s="32">
        <f>C13/C7</f>
        <v>-0.06825132377631409</v>
      </c>
      <c r="D14" s="33">
        <f>D13/D7</f>
        <v>0.05602221361229497</v>
      </c>
      <c r="E14" s="12" t="inlineStr"/>
    </row>
    <row r="15">
      <c r="A15" s="11" t="inlineStr">
        <is>
          <t>注記</t>
        </is>
      </c>
    </row>
    <row r="16">
      <c r="A16" s="2" t="inlineStr">
        <is>
          <t>標準ケース（700個を12ヶ月で完売）でも営業利益 −1,268,328円。これが本審査の核心。</t>
        </is>
      </c>
    </row>
    <row r="17">
      <c r="A17" s="2" t="inlineStr">
        <is>
          <t>黒字化の条件は ①年936個以上 ②CPA3,600円以下 ③粗利率50% ④固定費月30万円以下 のいずれか。</t>
        </is>
      </c>
    </row>
    <row r="18">
      <c r="A18" s="2" t="inlineStr">
        <is>
          <t>★未算入コストを1,000円/個入れると、楽観ケースの営業利益も +1,561,608 → +517,608円まで縮む。</t>
        </is>
      </c>
    </row>
  </sheetData>
  <mergeCells count="6">
    <mergeCell ref="A2:E2"/>
    <mergeCell ref="A16:E16"/>
    <mergeCell ref="A15:E15"/>
    <mergeCell ref="A1:E1"/>
    <mergeCell ref="A17:E17"/>
    <mergeCell ref="A18:E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>
      <c r="A1" s="52" t="inlineStr">
        <is>
          <t>キャッシュフロー・最大運転資金</t>
        </is>
      </c>
    </row>
    <row r="2">
      <c r="A2" s="2" t="inlineStr">
        <is>
          <t>利益が出ても現金が尽きれば終わる。発注→最終入金まで資金が寝る期間を日数で見る。</t>
        </is>
      </c>
    </row>
    <row r="4">
      <c r="A4" s="11" t="inlineStr">
        <is>
          <t>資金サイクル（700個ロット）</t>
        </is>
      </c>
    </row>
    <row r="5">
      <c r="A5" s="3" t="inlineStr">
        <is>
          <t>工程</t>
        </is>
      </c>
      <c r="B5" s="3" t="inlineStr">
        <is>
          <t>経過日数</t>
        </is>
      </c>
      <c r="C5" s="3" t="inlineStr">
        <is>
          <t>支出</t>
        </is>
      </c>
      <c r="D5" s="3" t="inlineStr">
        <is>
          <t>入金</t>
        </is>
      </c>
      <c r="E5" s="3" t="inlineStr">
        <is>
          <t>累計残高影響</t>
        </is>
      </c>
      <c r="F5" s="3" t="inlineStr">
        <is>
          <t>注記</t>
        </is>
      </c>
    </row>
    <row r="6">
      <c r="A6" s="4" t="inlineStr">
        <is>
          <t>発注・前金</t>
        </is>
      </c>
      <c r="B6" s="18" t="n">
        <v>0</v>
      </c>
      <c r="C6" s="22">
        <f>'02_Assumptions'!$B$44*'02_Assumptions'!$B$29</f>
        <v>3234000</v>
      </c>
      <c r="D6" s="17" t="n"/>
      <c r="E6" s="17" t="n">
        <v>-3234000</v>
      </c>
      <c r="F6" s="4" t="inlineStr">
        <is>
          <t>手元資金から流出</t>
        </is>
      </c>
    </row>
    <row r="7">
      <c r="A7" s="4" t="inlineStr">
        <is>
          <t>製造</t>
        </is>
      </c>
      <c r="B7" s="18" t="n">
        <v>60</v>
      </c>
      <c r="C7" s="17" t="n"/>
      <c r="D7" s="17" t="n"/>
      <c r="E7" s="17" t="n">
        <v>-3234000</v>
      </c>
      <c r="F7" s="4" t="inlineStr">
        <is>
          <t>仮定60日</t>
        </is>
      </c>
    </row>
    <row r="8">
      <c r="A8" s="4" t="inlineStr">
        <is>
          <t>残金支払・船積</t>
        </is>
      </c>
      <c r="B8" s="18" t="n">
        <v>65</v>
      </c>
      <c r="C8" s="22">
        <f>'02_Assumptions'!$B$44*(1-'02_Assumptions'!$B$29)</f>
        <v>7545999.999999999</v>
      </c>
      <c r="D8" s="17" t="n"/>
      <c r="E8" s="17" t="n">
        <v>-10780000</v>
      </c>
      <c r="F8" s="4" t="inlineStr">
        <is>
          <t>★ここで最大流出</t>
        </is>
      </c>
    </row>
    <row r="9">
      <c r="A9" s="4" t="inlineStr">
        <is>
          <t>海上輸送</t>
        </is>
      </c>
      <c r="B9" s="18" t="n">
        <v>85</v>
      </c>
      <c r="C9" s="17" t="n"/>
      <c r="D9" s="17" t="n"/>
      <c r="E9" s="17" t="n">
        <v>-10780000</v>
      </c>
      <c r="F9" s="4" t="inlineStr">
        <is>
          <t>仮定20日</t>
        </is>
      </c>
    </row>
    <row r="10">
      <c r="A10" s="4" t="inlineStr">
        <is>
          <t>通関・国内入庫</t>
        </is>
      </c>
      <c r="B10" s="18">
        <f>'02_Assumptions'!$B$30</f>
        <v>90</v>
      </c>
      <c r="C10" s="17" t="n"/>
      <c r="D10" s="17" t="n"/>
      <c r="E10" s="17" t="n">
        <v>-10780000</v>
      </c>
      <c r="F10" s="4" t="inlineStr">
        <is>
          <t>関税・通関費は未算入（要確認）</t>
        </is>
      </c>
    </row>
    <row r="11">
      <c r="A11" s="4" t="inlineStr">
        <is>
          <t>販売開始</t>
        </is>
      </c>
      <c r="B11" s="18" t="n">
        <v>95</v>
      </c>
      <c r="C11" s="17" t="n"/>
      <c r="D11" s="17" t="n"/>
      <c r="E11" s="17" t="n">
        <v>-10780000</v>
      </c>
      <c r="F11" s="4" t="inlineStr">
        <is>
          <t>以降、広告費が毎月発生</t>
        </is>
      </c>
    </row>
    <row r="12">
      <c r="A12" s="4" t="inlineStr">
        <is>
          <t>初回入金</t>
        </is>
      </c>
      <c r="B12" s="18">
        <f>95+'02_Assumptions'!$B$31</f>
        <v>125</v>
      </c>
      <c r="C12" s="17" t="n"/>
      <c r="D12" s="20">
        <f>'02_Assumptions'!$B$43*'02_Assumptions'!$B$35</f>
        <v>1548600</v>
      </c>
      <c r="E12" s="17" t="n">
        <v>-9231400</v>
      </c>
      <c r="F12" s="4" t="inlineStr">
        <is>
          <t>モール締め後</t>
        </is>
      </c>
    </row>
    <row r="13">
      <c r="A13" s="4" t="inlineStr">
        <is>
          <t>全量販売完了</t>
        </is>
      </c>
      <c r="B13" s="18" t="n">
        <v>455</v>
      </c>
      <c r="C13" s="17" t="n"/>
      <c r="D13" s="17" t="n"/>
      <c r="E13" s="17" t="n">
        <v>-9231400</v>
      </c>
      <c r="F13" s="4" t="inlineStr">
        <is>
          <t>月58個ペースで12ヶ月</t>
        </is>
      </c>
    </row>
    <row r="14">
      <c r="A14" s="4" t="inlineStr">
        <is>
          <t>最終入金</t>
        </is>
      </c>
      <c r="B14" s="18" t="n">
        <v>485</v>
      </c>
      <c r="C14" s="17" t="n"/>
      <c r="D14" s="17" t="n"/>
      <c r="E14" s="17" t="n">
        <v>-9231400</v>
      </c>
      <c r="F14" s="4" t="inlineStr">
        <is>
          <t>発注から約16ヶ月</t>
        </is>
      </c>
    </row>
    <row r="16">
      <c r="A16" s="11" t="inlineStr">
        <is>
          <t>最大運転資金の推定</t>
        </is>
      </c>
    </row>
    <row r="17">
      <c r="A17" s="3" t="inlineStr">
        <is>
          <t>項目</t>
        </is>
      </c>
      <c r="B17" s="3" t="inlineStr">
        <is>
          <t>金額</t>
        </is>
      </c>
      <c r="C17" s="3" t="inlineStr"/>
      <c r="D17" s="3" t="inlineStr"/>
      <c r="E17" s="3" t="inlineStr"/>
      <c r="F17" s="3" t="inlineStr">
        <is>
          <t>注記</t>
        </is>
      </c>
    </row>
    <row r="18">
      <c r="A18" s="4" t="inlineStr">
        <is>
          <t>700個 仕入原価</t>
        </is>
      </c>
      <c r="B18" s="17">
        <f>'02_Assumptions'!$B$44</f>
        <v>10780000</v>
      </c>
      <c r="C18" s="4" t="inlineStr"/>
      <c r="D18" s="4" t="inlineStr"/>
      <c r="E18" s="4" t="inlineStr"/>
      <c r="F18" s="4" t="inlineStr">
        <is>
          <t>ミックス加重・現行単価。数量割引が取れれば減る</t>
        </is>
      </c>
    </row>
    <row r="19">
      <c r="A19" s="4" t="inlineStr">
        <is>
          <t>固定費 3ヶ月分</t>
        </is>
      </c>
      <c r="B19" s="17">
        <f>'02_Assumptions'!$B$33*3</f>
        <v>1262250</v>
      </c>
      <c r="C19" s="4" t="inlineStr"/>
      <c r="D19" s="4" t="inlineStr"/>
      <c r="E19" s="4" t="inlineStr"/>
      <c r="F19" s="4" t="inlineStr">
        <is>
          <t>販売開始前〜初回入金までの空白</t>
        </is>
      </c>
    </row>
    <row r="20">
      <c r="A20" s="4" t="inlineStr">
        <is>
          <t>広告費 3ヶ月分</t>
        </is>
      </c>
      <c r="B20" s="17">
        <f>'02_Assumptions'!$B$43*'02_Assumptions'!$B$17*3</f>
        <v>783000</v>
      </c>
      <c r="C20" s="4" t="inlineStr"/>
      <c r="D20" s="4" t="inlineStr"/>
      <c r="E20" s="4" t="inlineStr"/>
      <c r="F20" s="4" t="inlineStr">
        <is>
          <t>月58個×CPA4,500</t>
        </is>
      </c>
    </row>
    <row r="21">
      <c r="A21" s="4" t="inlineStr">
        <is>
          <t>次回支払い（既定）</t>
        </is>
      </c>
      <c r="B21" s="17" t="n">
        <v>1373395</v>
      </c>
      <c r="C21" s="4" t="inlineStr"/>
      <c r="D21" s="4" t="inlineStr"/>
      <c r="E21" s="4" t="inlineStr"/>
      <c r="F21" s="4" t="inlineStr">
        <is>
          <t>マーケ396万W＋今回入荷33個405万W＋固定費等</t>
        </is>
      </c>
    </row>
    <row r="22">
      <c r="A22" s="4" t="inlineStr">
        <is>
          <t>関税・国際送料・通関</t>
        </is>
      </c>
      <c r="B22" s="17">
        <f>'02_Assumptions'!$B$14*'02_Assumptions'!$B$24</f>
        <v>0</v>
      </c>
      <c r="C22" s="4" t="inlineStr"/>
      <c r="D22" s="4" t="inlineStr"/>
      <c r="E22" s="4" t="inlineStr"/>
      <c r="F22" s="4" t="inlineStr">
        <is>
          <t>★未算入。実額を入れること</t>
        </is>
      </c>
    </row>
    <row r="23">
      <c r="A23" s="24" t="inlineStr">
        <is>
          <t>最大運転資金 合計</t>
        </is>
      </c>
      <c r="B23" s="30">
        <f>SUM(B18:B22)</f>
        <v>14198645</v>
      </c>
      <c r="C23" s="24" t="inlineStr"/>
      <c r="D23" s="24" t="inlineStr"/>
      <c r="E23" s="24" t="inlineStr"/>
      <c r="F23" s="24" t="inlineStr">
        <is>
          <t>この金額が手元にないと資金ショートする</t>
        </is>
      </c>
    </row>
    <row r="25">
      <c r="A25" s="4" t="inlineStr">
        <is>
          <t>過去9ヶ月の総支出</t>
        </is>
      </c>
      <c r="B25" s="17">
        <f>37875450*'02_Assumptions'!$B$5</f>
        <v>4166299.5</v>
      </c>
      <c r="C25" s="4" t="inlineStr"/>
      <c r="D25" s="4" t="inlineStr"/>
      <c r="E25" s="4" t="inlineStr"/>
      <c r="F25" s="4" t="inlineStr">
        <is>
          <t>比較対象</t>
        </is>
      </c>
    </row>
    <row r="26">
      <c r="A26" s="12" t="inlineStr">
        <is>
          <t>倍率</t>
        </is>
      </c>
      <c r="B26" s="35">
        <f>B25/B24</f>
        <v>3.4079751107667606</v>
      </c>
      <c r="C26" s="12" t="inlineStr"/>
      <c r="D26" s="12" t="inlineStr"/>
      <c r="E26" s="12" t="inlineStr"/>
      <c r="F26" s="12" t="inlineStr">
        <is>
          <t>回収前に先出しする資金の大きさ</t>
        </is>
      </c>
    </row>
    <row r="27">
      <c r="A27" s="11" t="inlineStr">
        <is>
          <t>注記</t>
        </is>
      </c>
    </row>
    <row r="28">
      <c r="A28" s="2" t="inlineStr">
        <is>
          <t>最大運転資金 約14,198,645円。過去9ヶ月の総支出（約4,166,300円）の3.4倍を、回収前に先出しすることになる。</t>
        </is>
      </c>
    </row>
    <row r="29">
      <c r="A29" s="2" t="inlineStr">
        <is>
          <t>★手元キャッシュが未開示。これが最大運転資金を下回るなら、700個発注はその時点で不可能。</t>
        </is>
      </c>
    </row>
    <row r="30">
      <c r="A30" s="2" t="inlineStr">
        <is>
          <t>発注から最終入金まで約16ヶ月。この間ずっと資金が寝る。</t>
        </is>
      </c>
    </row>
  </sheetData>
  <mergeCells count="8">
    <mergeCell ref="A2:F2"/>
    <mergeCell ref="A16:F16"/>
    <mergeCell ref="A28:F28"/>
    <mergeCell ref="A1:F1"/>
    <mergeCell ref="A27:F27"/>
    <mergeCell ref="A4:F4"/>
    <mergeCell ref="A30:F30"/>
    <mergeCell ref="A29:F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4" customWidth="1" min="5" max="5"/>
    <col width="44" customWidth="1" min="6" max="6"/>
  </cols>
  <sheetData>
    <row r="1">
      <c r="A1" s="52" t="inlineStr">
        <is>
          <t>在庫分析</t>
        </is>
      </c>
    </row>
    <row r="2">
      <c r="A2" s="2" t="inlineStr">
        <is>
          <t>在庫は売れ残れば現金が紙に変わる。消化月数と回転日数で危険度を測る。</t>
        </is>
      </c>
    </row>
    <row r="4">
      <c r="A4" s="3" t="inlineStr">
        <is>
          <t>項目</t>
        </is>
      </c>
      <c r="B4" s="3" t="inlineStr">
        <is>
          <t>悲観(月29個)</t>
        </is>
      </c>
      <c r="C4" s="3" t="inlineStr">
        <is>
          <t>標準(月58個)</t>
        </is>
      </c>
      <c r="D4" s="3" t="inlineStr">
        <is>
          <t>楽観(月87個)</t>
        </is>
      </c>
      <c r="E4" s="3" t="inlineStr">
        <is>
          <t>健全値</t>
        </is>
      </c>
      <c r="F4" s="3" t="inlineStr">
        <is>
          <t>注記</t>
        </is>
      </c>
    </row>
    <row r="5">
      <c r="A5" s="4" t="inlineStr">
        <is>
          <t>700個の消化月数</t>
        </is>
      </c>
      <c r="B5" s="36">
        <f>'02_Assumptions'!$B$24/ROUND('02_Assumptions'!$B$43*'02_Assumptions'!$B$25,0)</f>
        <v>24.137931034482758</v>
      </c>
      <c r="C5" s="37">
        <f>'02_Assumptions'!$B$24/'02_Assumptions'!$B$43</f>
        <v>12.068965517241379</v>
      </c>
      <c r="D5" s="38">
        <f>'02_Assumptions'!$B$24/ROUND('02_Assumptions'!$B$43*'02_Assumptions'!$B$27,0)</f>
        <v>8.045977011494253</v>
      </c>
      <c r="E5" s="4" t="inlineStr">
        <is>
          <t>≤6ヶ月</t>
        </is>
      </c>
      <c r="F5" s="4" t="inlineStr">
        <is>
          <t>12ヶ月超＝型落ちリスク</t>
        </is>
      </c>
    </row>
    <row r="6">
      <c r="A6" s="4" t="inlineStr">
        <is>
          <t>在庫回転日数</t>
        </is>
      </c>
      <c r="B6" s="25">
        <f>'02_Assumptions'!$B$24/ROUND('02_Assumptions'!$B$43*'02_Assumptions'!$B$25,0)*30</f>
        <v>724.1379310344828</v>
      </c>
      <c r="C6" s="25">
        <f>'02_Assumptions'!$B$24/'02_Assumptions'!$B$43*30</f>
        <v>362.0689655172414</v>
      </c>
      <c r="D6" s="39">
        <f>'02_Assumptions'!$B$24/ROUND('02_Assumptions'!$B$43*'02_Assumptions'!$B$27,0)*30</f>
        <v>241.3793103448276</v>
      </c>
      <c r="E6" s="4" t="inlineStr">
        <is>
          <t>60〜90日</t>
        </is>
      </c>
      <c r="F6" s="4" t="inlineStr">
        <is>
          <t>EC物販の健全値は60〜90日</t>
        </is>
      </c>
    </row>
    <row r="7">
      <c r="A7" s="4" t="inlineStr">
        <is>
          <t>滞留在庫（12ヶ月後）</t>
        </is>
      </c>
      <c r="B7" s="25">
        <f>MAX(0,'02_Assumptions'!$B$24-ROUND('02_Assumptions'!$B$43*'02_Assumptions'!$B$25,0)*12)</f>
        <v>352</v>
      </c>
      <c r="C7" s="25">
        <f>MAX(0,'02_Assumptions'!$B$24-'02_Assumptions'!$B$43*12)</f>
        <v>4</v>
      </c>
      <c r="D7" s="18">
        <f>MAX(0,'02_Assumptions'!$B$24-ROUND('02_Assumptions'!$B$43*'02_Assumptions'!$B$27,0)*12)</f>
        <v>0</v>
      </c>
      <c r="E7" s="4" t="inlineStr">
        <is>
          <t>0個</t>
        </is>
      </c>
      <c r="F7" s="4" t="inlineStr">
        <is>
          <t>悲観では352個が残る</t>
        </is>
      </c>
    </row>
    <row r="8">
      <c r="A8" s="4" t="inlineStr">
        <is>
          <t>滞留在庫の評価額</t>
        </is>
      </c>
      <c r="B8" s="22">
        <f>MAX(0,'02_Assumptions'!$B$24-ROUND('02_Assumptions'!$B$43*'02_Assumptions'!$B$25,0)*12)*'02_Assumptions'!$B$36</f>
        <v>5420800</v>
      </c>
      <c r="C8" s="22">
        <f>MAX(0,'02_Assumptions'!$B$24-'02_Assumptions'!$B$43*12)*'02_Assumptions'!$B$36</f>
        <v>61600</v>
      </c>
      <c r="D8" s="17">
        <f>MAX(0,'02_Assumptions'!$B$24-ROUND('02_Assumptions'!$B$43*'02_Assumptions'!$B$27,0)*12)*'02_Assumptions'!$B$36</f>
        <v>0</v>
      </c>
      <c r="E8" s="4" t="inlineStr">
        <is>
          <t>¥0</t>
        </is>
      </c>
      <c r="F8" s="4" t="inlineStr">
        <is>
          <t>★半額処分ならこの半分が損失</t>
        </is>
      </c>
    </row>
    <row r="9">
      <c r="A9" s="4" t="inlineStr">
        <is>
          <t>半額処分時の損失</t>
        </is>
      </c>
      <c r="B9" s="22">
        <f>MAX(0,'02_Assumptions'!$B$24-ROUND('02_Assumptions'!$B$43*'02_Assumptions'!$B$25,0)*12)*'02_Assumptions'!$B$36*0.5</f>
        <v>2710400</v>
      </c>
      <c r="C9" s="22">
        <f>MAX(0,'02_Assumptions'!$B$24-'02_Assumptions'!$B$43*12)*'02_Assumptions'!$B$36*0.5</f>
        <v>30800</v>
      </c>
      <c r="D9" s="17">
        <f>MAX(0,'02_Assumptions'!$B$24-ROUND('02_Assumptions'!$B$43*'02_Assumptions'!$B$27,0)*12)*'02_Assumptions'!$B$36*0.5</f>
        <v>0</v>
      </c>
      <c r="E9" s="4" t="inlineStr">
        <is>
          <t>¥0</t>
        </is>
      </c>
      <c r="F9" s="4" t="inlineStr">
        <is>
          <t>在庫リスクの実額</t>
        </is>
      </c>
    </row>
    <row r="10">
      <c r="A10" s="4" t="inlineStr">
        <is>
          <t>現行在庫33個の消化月数</t>
        </is>
      </c>
      <c r="B10" s="38">
        <f>33/ROUND('02_Assumptions'!$B$43*'02_Assumptions'!$B$25,0)</f>
        <v>1.1379310344827587</v>
      </c>
      <c r="C10" s="38">
        <f>33/'02_Assumptions'!$B$43</f>
        <v>0.5689655172413793</v>
      </c>
      <c r="D10" s="38">
        <f>33/ROUND('02_Assumptions'!$B$43*'02_Assumptions'!$B$27,0)</f>
        <v>0.3793103448275862</v>
      </c>
      <c r="E10" s="4" t="inlineStr">
        <is>
          <t>—</t>
        </is>
      </c>
      <c r="F10" s="4" t="inlineStr">
        <is>
          <t>今回入荷分</t>
        </is>
      </c>
    </row>
    <row r="12">
      <c r="A12" s="12" t="inlineStr">
        <is>
          <t>700個は現行入荷33個の何倍か</t>
        </is>
      </c>
      <c r="B12" s="35">
        <f>'02_Assumptions'!$B$24/33</f>
        <v>21.21212121212121</v>
      </c>
      <c r="C12" s="12" t="inlineStr"/>
      <c r="D12" s="12" t="inlineStr"/>
      <c r="E12" s="12" t="inlineStr">
        <is>
          <t>倍</t>
        </is>
      </c>
      <c r="F12" s="12" t="inlineStr">
        <is>
          <t>★実績データなしで21倍の在庫を持つことになる</t>
        </is>
      </c>
    </row>
    <row r="13">
      <c r="A13" s="11" t="inlineStr">
        <is>
          <t>注記</t>
        </is>
      </c>
    </row>
    <row r="14">
      <c r="A14" s="2" t="inlineStr">
        <is>
          <t>★700個は現在の入荷ペース（33個）の21倍。販売実績が未提出のまま21倍の在庫を持つのは承認できない。</t>
        </is>
      </c>
    </row>
    <row r="15">
      <c r="A15" s="2" t="inlineStr">
        <is>
          <t>スーツケースは色・型番の陳腐化が早く、滞留在庫は値引き処分が前提になる。悲観ケースでは約271万円の損失。</t>
        </is>
      </c>
    </row>
    <row r="16">
      <c r="A16" s="2" t="inlineStr">
        <is>
          <t>倉庫費が未算入。700個（S/M/L混在）の保管スペースと月額費用を必ず見積もること。</t>
        </is>
      </c>
    </row>
    <row r="17">
      <c r="A17" s="2" t="inlineStr">
        <is>
          <t>推奨：一括ではなく100〜150個×複数回の分割発注。単価は上がるが在庫リスクは約1/5になる。</t>
        </is>
      </c>
    </row>
  </sheetData>
  <mergeCells count="7">
    <mergeCell ref="A2:F2"/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52" t="inlineStr">
        <is>
          <t>3シナリオ比較</t>
        </is>
      </c>
    </row>
    <row r="2">
      <c r="A2" s="2" t="inlineStr">
        <is>
          <t>悲観ケースで死なないことが投資の最低条件。</t>
        </is>
      </c>
    </row>
    <row r="4">
      <c r="A4" s="3" t="inlineStr">
        <is>
          <t>項目</t>
        </is>
      </c>
      <c r="B4" s="3" t="inlineStr">
        <is>
          <t>悲観</t>
        </is>
      </c>
      <c r="C4" s="3" t="inlineStr">
        <is>
          <t>標準</t>
        </is>
      </c>
      <c r="D4" s="3" t="inlineStr">
        <is>
          <t>楽観</t>
        </is>
      </c>
      <c r="E4" s="3" t="inlineStr">
        <is>
          <t>前提・注記</t>
        </is>
      </c>
    </row>
    <row r="5">
      <c r="A5" s="4" t="inlineStr">
        <is>
          <t>月販売数</t>
        </is>
      </c>
      <c r="B5" s="18">
        <f>'10_P&amp;L'!B5/12</f>
        <v>29</v>
      </c>
      <c r="C5" s="18">
        <f>'10_P&amp;L'!C5/12</f>
        <v>58</v>
      </c>
      <c r="D5" s="18">
        <f>'10_P&amp;L'!D5/12</f>
        <v>87</v>
      </c>
      <c r="E5" s="4" t="inlineStr">
        <is>
          <t>標準=700個÷12ヶ月</t>
        </is>
      </c>
    </row>
    <row r="6">
      <c r="A6" s="4" t="inlineStr">
        <is>
          <t>CPA</t>
        </is>
      </c>
      <c r="B6" s="17">
        <f>'10_P&amp;L'!B6</f>
        <v>6750</v>
      </c>
      <c r="C6" s="17">
        <f>'10_P&amp;L'!C6</f>
        <v>4500</v>
      </c>
      <c r="D6" s="17">
        <f>'10_P&amp;L'!D6</f>
        <v>3600</v>
      </c>
      <c r="E6" s="4" t="inlineStr">
        <is>
          <t>悲観150%/標準=目標/楽観80%</t>
        </is>
      </c>
    </row>
    <row r="7">
      <c r="A7" s="4" t="inlineStr">
        <is>
          <t>年間売上</t>
        </is>
      </c>
      <c r="B7" s="17">
        <f>'10_P&amp;L'!B7</f>
        <v>9291600</v>
      </c>
      <c r="C7" s="17">
        <f>'10_P&amp;L'!C7</f>
        <v>18583200</v>
      </c>
      <c r="D7" s="17">
        <f>'10_P&amp;L'!D7</f>
        <v>27874800</v>
      </c>
      <c r="E7" s="4" t="inlineStr"/>
    </row>
    <row r="8">
      <c r="A8" s="4" t="inlineStr">
        <is>
          <t>年間粗利</t>
        </is>
      </c>
      <c r="B8" s="17">
        <f>'10_P&amp;L'!B9</f>
        <v>3456336</v>
      </c>
      <c r="C8" s="17">
        <f>'10_P&amp;L'!C9</f>
        <v>6912672</v>
      </c>
      <c r="D8" s="17">
        <f>'10_P&amp;L'!D9</f>
        <v>10369008</v>
      </c>
      <c r="E8" s="4" t="inlineStr"/>
    </row>
    <row r="9">
      <c r="A9" s="4" t="inlineStr">
        <is>
          <t>年間広告費</t>
        </is>
      </c>
      <c r="B9" s="17">
        <f>'10_P&amp;L'!B10</f>
        <v>2349000</v>
      </c>
      <c r="C9" s="17">
        <f>'10_P&amp;L'!C10</f>
        <v>3132000</v>
      </c>
      <c r="D9" s="17">
        <f>'10_P&amp;L'!D10</f>
        <v>3758400</v>
      </c>
      <c r="E9" s="4" t="inlineStr"/>
    </row>
    <row r="10">
      <c r="A10" s="4" t="inlineStr">
        <is>
          <t>年間限界利益</t>
        </is>
      </c>
      <c r="B10" s="17">
        <f>'10_P&amp;L'!B11</f>
        <v>1107336</v>
      </c>
      <c r="C10" s="17">
        <f>'10_P&amp;L'!C11</f>
        <v>3780672</v>
      </c>
      <c r="D10" s="17">
        <f>'10_P&amp;L'!D11</f>
        <v>6610608</v>
      </c>
      <c r="E10" s="4" t="inlineStr"/>
    </row>
    <row r="11">
      <c r="A11" s="4" t="inlineStr">
        <is>
          <t>年間固定費</t>
        </is>
      </c>
      <c r="B11" s="17">
        <f>'10_P&amp;L'!B12</f>
        <v>5555065.5600000005</v>
      </c>
      <c r="C11" s="17">
        <f>'10_P&amp;L'!C12</f>
        <v>5049000</v>
      </c>
      <c r="D11" s="17">
        <f>'10_P&amp;L'!D12</f>
        <v>5049000</v>
      </c>
      <c r="E11" s="4" t="inlineStr">
        <is>
          <t>悲観のみ実績平均</t>
        </is>
      </c>
    </row>
    <row r="12">
      <c r="A12" s="12" t="inlineStr">
        <is>
          <t>年間営業利益</t>
        </is>
      </c>
      <c r="B12" s="30">
        <f>'10_P&amp;L'!B13</f>
        <v>-4447729.5600000005</v>
      </c>
      <c r="C12" s="30">
        <f>'10_P&amp;L'!C13</f>
        <v>-1268328</v>
      </c>
      <c r="D12" s="29">
        <f>'10_P&amp;L'!D13</f>
        <v>1561608</v>
      </c>
      <c r="E12" s="12" t="inlineStr">
        <is>
          <t>★標準でも赤字</t>
        </is>
      </c>
    </row>
    <row r="13">
      <c r="A13" s="12" t="inlineStr">
        <is>
          <t>営業利益率</t>
        </is>
      </c>
      <c r="B13" s="32">
        <f>'10_P&amp;L'!B14</f>
        <v>-0.4786828490249258</v>
      </c>
      <c r="C13" s="32">
        <f>'10_P&amp;L'!C14</f>
        <v>-0.06825132377631409</v>
      </c>
      <c r="D13" s="40">
        <f>'10_P&amp;L'!D14</f>
        <v>0.05602221361229497</v>
      </c>
      <c r="E13" s="12" t="inlineStr"/>
    </row>
    <row r="14">
      <c r="A14" s="11" t="inlineStr">
        <is>
          <t>注記</t>
        </is>
      </c>
    </row>
    <row r="15">
      <c r="A15" s="2" t="inlineStr">
        <is>
          <t>悲観ケースの年間赤字 −4,447,730円。過去9ヶ月の総支出（417万円）を1年で吹き飛ばす規模。</t>
        </is>
      </c>
    </row>
    <row r="16">
      <c r="A16" s="2" t="inlineStr">
        <is>
          <t>楽観ケースのみ黒字（+1,561,608円）。ただし月87個＝現在の入荷ペースの2.6倍を安定して売る根拠が未提示。</t>
        </is>
      </c>
    </row>
    <row r="17">
      <c r="A17" s="2" t="inlineStr">
        <is>
          <t>投資判断の原則：標準ケースで赤字の事業に大型投資はしない。</t>
        </is>
      </c>
    </row>
  </sheetData>
  <mergeCells count="6">
    <mergeCell ref="A2:E2"/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0" customWidth="1" min="5" max="5"/>
    <col width="8" customWidth="1" min="6" max="6"/>
    <col width="46" customWidth="1" min="7" max="7"/>
    <col width="42" customWidth="1" min="8" max="8"/>
    <col width="12" customWidth="1" min="9" max="9"/>
  </cols>
  <sheetData>
    <row r="1">
      <c r="A1" s="52" t="inlineStr">
        <is>
          <t>リスク登録簿（24件）</t>
        </is>
      </c>
    </row>
    <row r="2">
      <c r="A2" s="2" t="inlineStr">
        <is>
          <t>Score = 発生確率 × 影響度（各1〜5）。Score20以上（赤）は投資前に潰す。上位には必ず対策と責任者。</t>
        </is>
      </c>
    </row>
    <row r="4">
      <c r="A4" s="3" t="inlineStr">
        <is>
          <t>No</t>
        </is>
      </c>
      <c r="B4" s="3" t="inlineStr">
        <is>
          <t>リスク</t>
        </is>
      </c>
      <c r="C4" s="3" t="inlineStr">
        <is>
          <t>分類</t>
        </is>
      </c>
      <c r="D4" s="3" t="inlineStr">
        <is>
          <t>発生確率</t>
        </is>
      </c>
      <c r="E4" s="3" t="inlineStr">
        <is>
          <t>影響度</t>
        </is>
      </c>
      <c r="F4" s="3" t="inlineStr">
        <is>
          <t>Score</t>
        </is>
      </c>
      <c r="G4" s="3" t="inlineStr">
        <is>
          <t>予防策</t>
        </is>
      </c>
      <c r="H4" s="3" t="inlineStr">
        <is>
          <t>発生時対応</t>
        </is>
      </c>
      <c r="I4" s="3" t="inlineStr">
        <is>
          <t>責任者</t>
        </is>
      </c>
    </row>
    <row r="5">
      <c r="A5" s="53" t="n">
        <v>1</v>
      </c>
      <c r="B5" s="12" t="inlineStr">
        <is>
          <t>700個が売れ残り滞留在庫化する</t>
        </is>
      </c>
      <c r="C5" s="12" t="inlineStr">
        <is>
          <t>在庫</t>
        </is>
      </c>
      <c r="D5" s="53" t="n">
        <v>5</v>
      </c>
      <c r="E5" s="53" t="n">
        <v>5</v>
      </c>
      <c r="F5" s="54">
        <f>D5*E5</f>
        <v>25</v>
      </c>
      <c r="G5" s="12" t="inlineStr">
        <is>
          <t>分割発注に切替／予約販売で需要を先に取る</t>
        </is>
      </c>
      <c r="H5" s="12" t="inlineStr">
        <is>
          <t>値引き処分＋B2B卸・アウトレット放出</t>
        </is>
      </c>
      <c r="I5" s="12" t="inlineStr">
        <is>
          <t>北野</t>
        </is>
      </c>
    </row>
    <row r="6">
      <c r="A6" s="53" t="n">
        <v>2</v>
      </c>
      <c r="B6" s="12" t="inlineStr">
        <is>
          <t>販売実績データが無いまま投資し前提が全て外れる</t>
        </is>
      </c>
      <c r="C6" s="12" t="inlineStr">
        <is>
          <t>市場</t>
        </is>
      </c>
      <c r="D6" s="53" t="n">
        <v>5</v>
      </c>
      <c r="E6" s="53" t="n">
        <v>5</v>
      </c>
      <c r="F6" s="54">
        <f>D6*E6</f>
        <v>25</v>
      </c>
      <c r="G6" s="12" t="inlineStr">
        <is>
          <t>MVPで30日実測してから次の投資</t>
        </is>
      </c>
      <c r="H6" s="12" t="inlineStr">
        <is>
          <t>Gate未達なら発注しない</t>
        </is>
      </c>
      <c r="I6" s="12" t="inlineStr">
        <is>
          <t>北野</t>
        </is>
      </c>
    </row>
    <row r="7">
      <c r="A7" s="53" t="n">
        <v>3</v>
      </c>
      <c r="B7" s="12" t="inlineStr">
        <is>
          <t>手元キャッシュが最大運転資金1,420万円に届かない</t>
        </is>
      </c>
      <c r="C7" s="12" t="inlineStr">
        <is>
          <t>キャッシュ</t>
        </is>
      </c>
      <c r="D7" s="53" t="n">
        <v>4</v>
      </c>
      <c r="E7" s="53" t="n">
        <v>5</v>
      </c>
      <c r="F7" s="54">
        <f>D7*E7</f>
        <v>20</v>
      </c>
      <c r="G7" s="12" t="inlineStr">
        <is>
          <t>発注前に資金繰り表を作成／分割発注で山を下げる</t>
        </is>
      </c>
      <c r="H7" s="12" t="inlineStr">
        <is>
          <t>発注延期。借入は限界利益黒字化後</t>
        </is>
      </c>
      <c r="I7" s="12" t="inlineStr">
        <is>
          <t>北野</t>
        </is>
      </c>
    </row>
    <row r="8">
      <c r="A8" s="53" t="n">
        <v>4</v>
      </c>
      <c r="B8" s="12" t="inlineStr">
        <is>
          <t>モール手数料が実際は10〜15%で限界利益が消える</t>
        </is>
      </c>
      <c r="C8" s="12" t="inlineStr">
        <is>
          <t>価格</t>
        </is>
      </c>
      <c r="D8" s="53" t="n">
        <v>4</v>
      </c>
      <c r="E8" s="53" t="n">
        <v>5</v>
      </c>
      <c r="F8" s="54">
        <f>D8*E8</f>
        <v>20</v>
      </c>
      <c r="G8" s="12" t="inlineStr">
        <is>
          <t>各モールの実手数料を契約書で確認</t>
        </is>
      </c>
      <c r="H8" s="12" t="inlineStr">
        <is>
          <t>価格改定または該当モール撤退</t>
        </is>
      </c>
      <c r="I8" s="12" t="inlineStr">
        <is>
          <t>要任命</t>
        </is>
      </c>
    </row>
    <row r="9">
      <c r="A9" s="18" t="n">
        <v>5</v>
      </c>
      <c r="B9" s="4" t="inlineStr">
        <is>
          <t>関税・国際送料・倉庫費が未算入で採算が崩れる</t>
        </is>
      </c>
      <c r="C9" s="4" t="inlineStr">
        <is>
          <t>物流</t>
        </is>
      </c>
      <c r="D9" s="18" t="n">
        <v>4</v>
      </c>
      <c r="E9" s="18" t="n">
        <v>4</v>
      </c>
      <c r="F9" s="39">
        <f>D9*E9</f>
        <v>16</v>
      </c>
      <c r="G9" s="4" t="inlineStr">
        <is>
          <t>通関業者・3PLに事前見積</t>
        </is>
      </c>
      <c r="H9" s="4" t="inlineStr">
        <is>
          <t>売価改定／原価交渉</t>
        </is>
      </c>
      <c r="I9" s="4" t="inlineStr">
        <is>
          <t>要任命</t>
        </is>
      </c>
    </row>
    <row r="10">
      <c r="A10" s="18" t="n">
        <v>6</v>
      </c>
      <c r="B10" s="4" t="inlineStr">
        <is>
          <t>競合が同型番の廉価版を投入し価格競争になる</t>
        </is>
      </c>
      <c r="C10" s="4" t="inlineStr">
        <is>
          <t>競合</t>
        </is>
      </c>
      <c r="D10" s="18" t="n">
        <v>4</v>
      </c>
      <c r="E10" s="18" t="n">
        <v>4</v>
      </c>
      <c r="F10" s="39">
        <f>D10*E10</f>
        <v>16</v>
      </c>
      <c r="G10" s="4" t="inlineStr">
        <is>
          <t>意匠登録／レビュー資産の先行構築</t>
        </is>
      </c>
      <c r="H10" s="4" t="inlineStr">
        <is>
          <t>価格では追わずバンドル・保証で差別化</t>
        </is>
      </c>
      <c r="I10" s="4" t="inlineStr">
        <is>
          <t>北野</t>
        </is>
      </c>
    </row>
    <row r="11">
      <c r="A11" s="18" t="n">
        <v>7</v>
      </c>
      <c r="B11" s="4" t="inlineStr">
        <is>
          <t>固定費（月382万W）が売上に先行して膨らむ</t>
        </is>
      </c>
      <c r="C11" s="4" t="inlineStr">
        <is>
          <t>キャッシュ</t>
        </is>
      </c>
      <c r="D11" s="18" t="n">
        <v>4</v>
      </c>
      <c r="E11" s="18" t="n">
        <v>4</v>
      </c>
      <c r="F11" s="39">
        <f>D11*E11</f>
        <v>16</v>
      </c>
      <c r="G11" s="4" t="inlineStr">
        <is>
          <t>黒字化まで固定費を増やさない</t>
        </is>
      </c>
      <c r="H11" s="4" t="inlineStr">
        <is>
          <t>人件費・家賃の見直し</t>
        </is>
      </c>
      <c r="I11" s="4" t="inlineStr">
        <is>
          <t>北野</t>
        </is>
      </c>
    </row>
    <row r="12">
      <c r="A12" s="18" t="n">
        <v>8</v>
      </c>
      <c r="B12" s="4" t="inlineStr">
        <is>
          <t>広告依存度が高く広告停止で売上がゼロになる</t>
        </is>
      </c>
      <c r="C12" s="4" t="inlineStr">
        <is>
          <t>広告</t>
        </is>
      </c>
      <c r="D12" s="18" t="n">
        <v>4</v>
      </c>
      <c r="E12" s="18" t="n">
        <v>4</v>
      </c>
      <c r="F12" s="39">
        <f>D12*E12</f>
        <v>16</v>
      </c>
      <c r="G12" s="4" t="inlineStr">
        <is>
          <t>オーガニック比率を計測・KPI化</t>
        </is>
      </c>
      <c r="H12" s="4" t="inlineStr">
        <is>
          <t>SEO/SNSへ段階的にシフト</t>
        </is>
      </c>
      <c r="I12" s="4" t="inlineStr">
        <is>
          <t>要任命</t>
        </is>
      </c>
    </row>
    <row r="13">
      <c r="A13" s="18" t="n">
        <v>9</v>
      </c>
      <c r="B13" s="4" t="inlineStr">
        <is>
          <t>サンクコスト（既払マーケ費・既存在庫）で判断が歪む</t>
        </is>
      </c>
      <c r="C13" s="4" t="inlineStr">
        <is>
          <t>組織</t>
        </is>
      </c>
      <c r="D13" s="18" t="n">
        <v>4</v>
      </c>
      <c r="E13" s="18" t="n">
        <v>4</v>
      </c>
      <c r="F13" s="39">
        <f>D13*E13</f>
        <v>16</v>
      </c>
      <c r="G13" s="4" t="inlineStr">
        <is>
          <t>Kill Criteriaを事前に文書化</t>
        </is>
      </c>
      <c r="H13" s="4" t="inlineStr">
        <is>
          <t>既払費用は判断材料から除外</t>
        </is>
      </c>
      <c r="I13" s="4" t="inlineStr">
        <is>
          <t>北野</t>
        </is>
      </c>
    </row>
    <row r="14">
      <c r="A14" s="18" t="n">
        <v>10</v>
      </c>
      <c r="B14" s="4" t="inlineStr">
        <is>
          <t>CPAが許容上限6,000円を超え広告が回らない</t>
        </is>
      </c>
      <c r="C14" s="4" t="inlineStr">
        <is>
          <t>広告</t>
        </is>
      </c>
      <c r="D14" s="18" t="n">
        <v>3</v>
      </c>
      <c r="E14" s="18" t="n">
        <v>5</v>
      </c>
      <c r="F14" s="39">
        <f>D14*E14</f>
        <v>15</v>
      </c>
      <c r="G14" s="4" t="inlineStr">
        <is>
          <t>小ロットで実CPAを測定してから増資</t>
        </is>
      </c>
      <c r="H14" s="4" t="inlineStr">
        <is>
          <t>広告停止→オーガニック検証に切替</t>
        </is>
      </c>
      <c r="I14" s="4" t="inlineStr">
        <is>
          <t>要任命</t>
        </is>
      </c>
    </row>
    <row r="15">
      <c r="A15" s="18" t="n">
        <v>11</v>
      </c>
      <c r="B15" s="4" t="inlineStr">
        <is>
          <t>為替が円安に振れ原価が上昇する</t>
        </is>
      </c>
      <c r="C15" s="4" t="inlineStr">
        <is>
          <t>為替</t>
        </is>
      </c>
      <c r="D15" s="18" t="n">
        <v>3</v>
      </c>
      <c r="E15" s="18" t="n">
        <v>4</v>
      </c>
      <c r="F15" s="39">
        <f>D15*E15</f>
        <v>12</v>
      </c>
      <c r="G15" s="4" t="inlineStr">
        <is>
          <t>為替予約／複数回に分けて発注</t>
        </is>
      </c>
      <c r="H15" s="4" t="inlineStr">
        <is>
          <t>売価改定</t>
        </is>
      </c>
      <c r="I15" s="4" t="inlineStr">
        <is>
          <t>北野</t>
        </is>
      </c>
    </row>
    <row r="16">
      <c r="A16" s="18" t="n">
        <v>12</v>
      </c>
      <c r="B16" s="4" t="inlineStr">
        <is>
          <t>返品率が想定を超える（大型商品は返送料が高い）</t>
        </is>
      </c>
      <c r="C16" s="4" t="inlineStr">
        <is>
          <t>品質</t>
        </is>
      </c>
      <c r="D16" s="18" t="n">
        <v>3</v>
      </c>
      <c r="E16" s="18" t="n">
        <v>4</v>
      </c>
      <c r="F16" s="39">
        <f>D16*E16</f>
        <v>12</v>
      </c>
      <c r="G16" s="4" t="inlineStr">
        <is>
          <t>返品ポリシー明記／サイズ比較コンテンツ</t>
        </is>
      </c>
      <c r="H16" s="4" t="inlineStr">
        <is>
          <t>返品理由を分類し商品改善</t>
        </is>
      </c>
      <c r="I16" s="4" t="inlineStr">
        <is>
          <t>要任命</t>
        </is>
      </c>
    </row>
    <row r="17">
      <c r="A17" s="18" t="n">
        <v>13</v>
      </c>
      <c r="B17" s="4" t="inlineStr">
        <is>
          <t>レビューが集まらずCVRが上がらない</t>
        </is>
      </c>
      <c r="C17" s="4" t="inlineStr">
        <is>
          <t>商品</t>
        </is>
      </c>
      <c r="D17" s="18" t="n">
        <v>3</v>
      </c>
      <c r="E17" s="18" t="n">
        <v>4</v>
      </c>
      <c r="F17" s="39">
        <f>D17*E17</f>
        <v>12</v>
      </c>
      <c r="G17" s="4" t="inlineStr">
        <is>
          <t>初期購入者フォロー設計</t>
        </is>
      </c>
      <c r="H17" s="4" t="inlineStr">
        <is>
          <t>レビュー施策に予算を振替</t>
        </is>
      </c>
      <c r="I17" s="4" t="inlineStr">
        <is>
          <t>要任命</t>
        </is>
      </c>
    </row>
    <row r="18">
      <c r="A18" s="18" t="n">
        <v>14</v>
      </c>
      <c r="B18" s="4" t="inlineStr">
        <is>
          <t>在庫保管スペース・倉庫費が確保できない</t>
        </is>
      </c>
      <c r="C18" s="4" t="inlineStr">
        <is>
          <t>物流</t>
        </is>
      </c>
      <c r="D18" s="18" t="n">
        <v>3</v>
      </c>
      <c r="E18" s="18" t="n">
        <v>4</v>
      </c>
      <c r="F18" s="39">
        <f>D18*E18</f>
        <v>12</v>
      </c>
      <c r="G18" s="4" t="inlineStr">
        <is>
          <t>3PLの見積を事前取得</t>
        </is>
      </c>
      <c r="H18" s="4" t="inlineStr">
        <is>
          <t>分割納品に変更</t>
        </is>
      </c>
      <c r="I18" s="4" t="inlineStr">
        <is>
          <t>要任命</t>
        </is>
      </c>
    </row>
    <row r="19">
      <c r="A19" s="18" t="n">
        <v>15</v>
      </c>
      <c r="B19" s="4" t="inlineStr">
        <is>
          <t>担当者の退職で運用が止まる</t>
        </is>
      </c>
      <c r="C19" s="4" t="inlineStr">
        <is>
          <t>人材</t>
        </is>
      </c>
      <c r="D19" s="18" t="n">
        <v>3</v>
      </c>
      <c r="E19" s="18" t="n">
        <v>4</v>
      </c>
      <c r="F19" s="39">
        <f>D19*E19</f>
        <v>12</v>
      </c>
      <c r="G19" s="4" t="inlineStr">
        <is>
          <t>業務のSOP化／属人排除</t>
        </is>
      </c>
      <c r="H19" s="4" t="inlineStr">
        <is>
          <t>採用より先に業務削減</t>
        </is>
      </c>
      <c r="I19" s="4" t="inlineStr">
        <is>
          <t>北野</t>
        </is>
      </c>
    </row>
    <row r="20">
      <c r="A20" s="18" t="n">
        <v>16</v>
      </c>
      <c r="B20" s="4" t="inlineStr">
        <is>
          <t>低評価レビュー拡散によるブランド毀損</t>
        </is>
      </c>
      <c r="C20" s="4" t="inlineStr">
        <is>
          <t>レピュテーション</t>
        </is>
      </c>
      <c r="D20" s="18" t="n">
        <v>3</v>
      </c>
      <c r="E20" s="18" t="n">
        <v>4</v>
      </c>
      <c r="F20" s="39">
        <f>D20*E20</f>
        <v>12</v>
      </c>
      <c r="G20" s="4" t="inlineStr">
        <is>
          <t>初期品質検査の徹底</t>
        </is>
      </c>
      <c r="H20" s="4" t="inlineStr">
        <is>
          <t>個別対応＋商品改善</t>
        </is>
      </c>
      <c r="I20" s="4" t="inlineStr">
        <is>
          <t>要任命</t>
        </is>
      </c>
    </row>
    <row r="21">
      <c r="A21" s="18" t="n">
        <v>17</v>
      </c>
      <c r="B21" s="4" t="inlineStr">
        <is>
          <t>スーツケース市場が成熟・需要が伸びない</t>
        </is>
      </c>
      <c r="C21" s="4" t="inlineStr">
        <is>
          <t>市場</t>
        </is>
      </c>
      <c r="D21" s="18" t="n">
        <v>4</v>
      </c>
      <c r="E21" s="18" t="n">
        <v>3</v>
      </c>
      <c r="F21" s="39">
        <f>D21*E21</f>
        <v>12</v>
      </c>
      <c r="G21" s="4" t="inlineStr">
        <is>
          <t>ニッチ（機内持込・軽量等）に絞る</t>
        </is>
      </c>
      <c r="H21" s="4" t="inlineStr">
        <is>
          <t>SKU削減して撤退コストを抑える</t>
        </is>
      </c>
      <c r="I21" s="4" t="inlineStr">
        <is>
          <t>北野</t>
        </is>
      </c>
    </row>
    <row r="22">
      <c r="A22" s="18" t="n">
        <v>18</v>
      </c>
      <c r="B22" s="4" t="inlineStr">
        <is>
          <t>経営者が張り付かないと回らない状態が続く</t>
        </is>
      </c>
      <c r="C22" s="4" t="inlineStr">
        <is>
          <t>組織</t>
        </is>
      </c>
      <c r="D22" s="18" t="n">
        <v>4</v>
      </c>
      <c r="E22" s="18" t="n">
        <v>3</v>
      </c>
      <c r="F22" s="39">
        <f>D22*E22</f>
        <v>12</v>
      </c>
      <c r="G22" s="4" t="inlineStr">
        <is>
          <t>KPIダッシュボードで異常のみ見る運用</t>
        </is>
      </c>
      <c r="H22" s="4" t="inlineStr">
        <is>
          <t>権限委譲とルール化</t>
        </is>
      </c>
      <c r="I22" s="4" t="inlineStr">
        <is>
          <t>北野</t>
        </is>
      </c>
    </row>
    <row r="23">
      <c r="A23" s="18" t="n">
        <v>19</v>
      </c>
      <c r="B23" s="4" t="inlineStr">
        <is>
          <t>意匠・商標の第三者権利を侵害する</t>
        </is>
      </c>
      <c r="C23" s="4" t="inlineStr">
        <is>
          <t>知財</t>
        </is>
      </c>
      <c r="D23" s="18" t="n">
        <v>2</v>
      </c>
      <c r="E23" s="18" t="n">
        <v>5</v>
      </c>
      <c r="F23" s="18">
        <f>D23*E23</f>
        <v>10</v>
      </c>
      <c r="G23" s="4" t="inlineStr">
        <is>
          <t>発注前に意匠・商標調査</t>
        </is>
      </c>
      <c r="H23" s="4" t="inlineStr">
        <is>
          <t>販売停止・在庫廃棄</t>
        </is>
      </c>
      <c r="I23" s="4" t="inlineStr">
        <is>
          <t>要任命</t>
        </is>
      </c>
    </row>
    <row r="24">
      <c r="A24" s="18" t="n">
        <v>20</v>
      </c>
      <c r="B24" s="4" t="inlineStr">
        <is>
          <t>規制・表示義務違反（内蔵バッテリー等）</t>
        </is>
      </c>
      <c r="C24" s="4" t="inlineStr">
        <is>
          <t>法律</t>
        </is>
      </c>
      <c r="D24" s="18" t="n">
        <v>2</v>
      </c>
      <c r="E24" s="18" t="n">
        <v>5</v>
      </c>
      <c r="F24" s="18">
        <f>D24*E24</f>
        <v>10</v>
      </c>
      <c r="G24" s="4" t="inlineStr">
        <is>
          <t>該当機能の有無を事前確認</t>
        </is>
      </c>
      <c r="H24" s="4" t="inlineStr">
        <is>
          <t>該当SKUの販売停止</t>
        </is>
      </c>
      <c r="I24" s="4" t="inlineStr">
        <is>
          <t>要任命</t>
        </is>
      </c>
    </row>
    <row r="25">
      <c r="A25" s="18" t="n">
        <v>21</v>
      </c>
      <c r="B25" s="4" t="inlineStr">
        <is>
          <t>モールのアカウント停止・規約変更</t>
        </is>
      </c>
      <c r="C25" s="4" t="inlineStr">
        <is>
          <t>システム</t>
        </is>
      </c>
      <c r="D25" s="18" t="n">
        <v>2</v>
      </c>
      <c r="E25" s="18" t="n">
        <v>5</v>
      </c>
      <c r="F25" s="18">
        <f>D25*E25</f>
        <v>10</v>
      </c>
      <c r="G25" s="4" t="inlineStr">
        <is>
          <t>自社EC比率を高める</t>
        </is>
      </c>
      <c r="H25" s="4" t="inlineStr">
        <is>
          <t>チャネル分散</t>
        </is>
      </c>
      <c r="I25" s="4" t="inlineStr">
        <is>
          <t>要任命</t>
        </is>
      </c>
    </row>
    <row r="26">
      <c r="A26" s="18" t="n">
        <v>22</v>
      </c>
      <c r="B26" s="4" t="inlineStr">
        <is>
          <t>L（大型）の需要が想定より小さい</t>
        </is>
      </c>
      <c r="C26" s="4" t="inlineStr">
        <is>
          <t>商品</t>
        </is>
      </c>
      <c r="D26" s="18" t="n">
        <v>3</v>
      </c>
      <c r="E26" s="18" t="n">
        <v>3</v>
      </c>
      <c r="F26" s="18">
        <f>D26*E26</f>
        <v>9</v>
      </c>
      <c r="G26" s="4" t="inlineStr">
        <is>
          <t>予約販売で実需確認してから発注</t>
        </is>
      </c>
      <c r="H26" s="4" t="inlineStr">
        <is>
          <t>L の発注を見送る</t>
        </is>
      </c>
      <c r="I26" s="4" t="inlineStr">
        <is>
          <t>北野</t>
        </is>
      </c>
    </row>
    <row r="27">
      <c r="A27" s="18" t="n">
        <v>23</v>
      </c>
      <c r="B27" s="4" t="inlineStr">
        <is>
          <t>サプライヤーの納期遅延で販売機会を逃す</t>
        </is>
      </c>
      <c r="C27" s="4" t="inlineStr">
        <is>
          <t>物流</t>
        </is>
      </c>
      <c r="D27" s="18" t="n">
        <v>3</v>
      </c>
      <c r="E27" s="18" t="n">
        <v>3</v>
      </c>
      <c r="F27" s="18">
        <f>D27*E27</f>
        <v>9</v>
      </c>
      <c r="G27" s="4" t="inlineStr">
        <is>
          <t>契約に納期条項／複数社見積</t>
        </is>
      </c>
      <c r="H27" s="4" t="inlineStr">
        <is>
          <t>広告出稿を延期</t>
        </is>
      </c>
      <c r="I27" s="4" t="inlineStr">
        <is>
          <t>要任命</t>
        </is>
      </c>
    </row>
    <row r="28">
      <c r="A28" s="18" t="n">
        <v>24</v>
      </c>
      <c r="B28" s="4" t="inlineStr">
        <is>
          <t>韓国法人→日本販売の税務・移転価格の指摘</t>
        </is>
      </c>
      <c r="C28" s="4" t="inlineStr">
        <is>
          <t>税務</t>
        </is>
      </c>
      <c r="D28" s="18" t="n">
        <v>2</v>
      </c>
      <c r="E28" s="18" t="n">
        <v>4</v>
      </c>
      <c r="F28" s="18">
        <f>D28*E28</f>
        <v>8</v>
      </c>
      <c r="G28" s="4" t="inlineStr">
        <is>
          <t>税理士に事前確認</t>
        </is>
      </c>
      <c r="H28" s="4" t="inlineStr">
        <is>
          <t>修正申告</t>
        </is>
      </c>
      <c r="I28" s="4" t="inlineStr">
        <is>
          <t>税理士</t>
        </is>
      </c>
    </row>
    <row r="29">
      <c r="A29" s="11" t="inlineStr">
        <is>
          <t>注記</t>
        </is>
      </c>
    </row>
    <row r="30">
      <c r="A30" s="2" t="inlineStr">
        <is>
          <t>Score20以上（赤）は投資前に潰すべきリスク。うち3件は「データが無いこと」そのものが原因＝Gate0で解消できる。</t>
        </is>
      </c>
    </row>
    <row r="31">
      <c r="A31" s="2" t="inlineStr">
        <is>
          <t>「要任命」の責任者は空欄のままにしない。1名を必ず指名すること。</t>
        </is>
      </c>
    </row>
  </sheetData>
  <mergeCells count="5">
    <mergeCell ref="A29:I29"/>
    <mergeCell ref="A2:I2"/>
    <mergeCell ref="A1:I1"/>
    <mergeCell ref="A31:I31"/>
    <mergeCell ref="A30:I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54" customWidth="1" min="5" max="5"/>
    <col width="14" customWidth="1" min="6" max="6"/>
  </cols>
  <sheetData>
    <row r="1">
      <c r="A1" s="52" t="inlineStr">
        <is>
          <t>MVP設計と投資ゲート</t>
        </is>
      </c>
    </row>
    <row r="2">
      <c r="A2" s="2" t="inlineStr">
        <is>
          <t>大規模投資の前に最小費用で「需要・価格・CVR・CPA」を実測する。Gate未達なら次の金を出さない。</t>
        </is>
      </c>
    </row>
    <row r="4">
      <c r="A4" s="11" t="inlineStr">
        <is>
          <t>MVP（最小検証）</t>
        </is>
      </c>
    </row>
    <row r="5">
      <c r="A5" s="3" t="inlineStr">
        <is>
          <t>No</t>
        </is>
      </c>
      <c r="B5" s="3" t="inlineStr">
        <is>
          <t>検証内容</t>
        </is>
      </c>
      <c r="C5" s="3" t="inlineStr">
        <is>
          <t>費用</t>
        </is>
      </c>
      <c r="D5" s="3" t="inlineStr">
        <is>
          <t>期間</t>
        </is>
      </c>
      <c r="E5" s="3" t="inlineStr">
        <is>
          <t>方法</t>
        </is>
      </c>
      <c r="F5" s="3" t="inlineStr">
        <is>
          <t>責任者</t>
        </is>
      </c>
    </row>
    <row r="6">
      <c r="A6" s="4" t="n">
        <v>1</v>
      </c>
      <c r="B6" s="4" t="inlineStr">
        <is>
          <t>L の予約販売で実需を測る</t>
        </is>
      </c>
      <c r="C6" s="4" t="inlineStr">
        <is>
          <t>¥0</t>
        </is>
      </c>
      <c r="D6" s="4" t="inlineStr">
        <is>
          <t>14日</t>
        </is>
      </c>
      <c r="E6" s="45" t="inlineStr">
        <is>
          <t>在庫ゼロのまま予約ページを公開。予約数＝実需。キャッシュを使わない最強の検証</t>
        </is>
      </c>
      <c r="F6" s="4" t="inlineStr">
        <is>
          <t>北野</t>
        </is>
      </c>
    </row>
    <row r="7">
      <c r="A7" s="4" t="n">
        <v>2</v>
      </c>
      <c r="B7" s="4" t="inlineStr">
        <is>
          <t>モール実手数料の確認</t>
        </is>
      </c>
      <c r="C7" s="4" t="inlineStr">
        <is>
          <t>¥0</t>
        </is>
      </c>
      <c r="D7" s="4" t="inlineStr">
        <is>
          <t>3日</t>
        </is>
      </c>
      <c r="E7" s="45" t="inlineStr">
        <is>
          <t>楽天・Amazon・自社ECの契約書と精算レポートから実負担率を算出</t>
        </is>
      </c>
      <c r="F7" s="4" t="inlineStr">
        <is>
          <t>北野</t>
        </is>
      </c>
    </row>
    <row r="8">
      <c r="A8" s="4" t="n">
        <v>3</v>
      </c>
      <c r="B8" s="4" t="inlineStr">
        <is>
          <t>関税・国際送料・倉庫の実見積</t>
        </is>
      </c>
      <c r="C8" s="4" t="inlineStr">
        <is>
          <t>¥0</t>
        </is>
      </c>
      <c r="D8" s="4" t="inlineStr">
        <is>
          <t>7日</t>
        </is>
      </c>
      <c r="E8" s="4" t="inlineStr">
        <is>
          <t>通関業者・3PLに700個ベースで見積依頼</t>
        </is>
      </c>
      <c r="F8" s="4" t="inlineStr">
        <is>
          <t>要任命</t>
        </is>
      </c>
    </row>
    <row r="9">
      <c r="A9" s="4" t="n">
        <v>4</v>
      </c>
      <c r="B9" s="4" t="inlineStr">
        <is>
          <t>過去の販売実績・CPA・CVRを集計</t>
        </is>
      </c>
      <c r="C9" s="4" t="inlineStr">
        <is>
          <t>¥0</t>
        </is>
      </c>
      <c r="D9" s="4" t="inlineStr">
        <is>
          <t>5日</t>
        </is>
      </c>
      <c r="E9" s="45" t="inlineStr">
        <is>
          <t>キントーン＋各媒体レポートからSKU別・媒体別の月次実績を出す</t>
        </is>
      </c>
      <c r="F9" s="4" t="inlineStr">
        <is>
          <t>要任命</t>
        </is>
      </c>
    </row>
    <row r="10">
      <c r="A10" s="4" t="n">
        <v>5</v>
      </c>
      <c r="B10" s="4" t="inlineStr">
        <is>
          <t>700個の仕入単価を交渉</t>
        </is>
      </c>
      <c r="C10" s="4" t="inlineStr">
        <is>
          <t>¥0</t>
        </is>
      </c>
      <c r="D10" s="4" t="inlineStr">
        <is>
          <t>14日</t>
        </is>
      </c>
      <c r="E10" s="4" t="inlineStr">
        <is>
          <t>数量別単価の書面回答を取る。▲20%で損益分岐78→50個</t>
        </is>
      </c>
      <c r="F10" s="4" t="inlineStr">
        <is>
          <t>北野</t>
        </is>
      </c>
    </row>
    <row r="11">
      <c r="A11" s="4" t="n">
        <v>6</v>
      </c>
      <c r="B11" s="4" t="inlineStr">
        <is>
          <t>価格弾力性テスト</t>
        </is>
      </c>
      <c r="C11" s="4" t="inlineStr">
        <is>
          <t>¥0</t>
        </is>
      </c>
      <c r="D11" s="4" t="inlineStr">
        <is>
          <t>14日</t>
        </is>
      </c>
      <c r="E11" s="45" t="inlineStr">
        <is>
          <t>S を21,900／24,900の2価格でA/B。CVR差分を見る</t>
        </is>
      </c>
      <c r="F11" s="4" t="inlineStr">
        <is>
          <t>要任命</t>
        </is>
      </c>
    </row>
    <row r="12">
      <c r="A12" s="4" t="n">
        <v>7</v>
      </c>
      <c r="B12" s="4" t="inlineStr">
        <is>
          <t>広告テスト</t>
        </is>
      </c>
      <c r="C12" s="4" t="inlineStr">
        <is>
          <t>¥150,000</t>
        </is>
      </c>
      <c r="D12" s="4" t="inlineStr">
        <is>
          <t>30日</t>
        </is>
      </c>
      <c r="E12" s="45" t="inlineStr">
        <is>
          <t>Meta+Google 日額5,000円。CV数・CPA・CVRを実測</t>
        </is>
      </c>
      <c r="F12" s="4" t="inlineStr">
        <is>
          <t>要任命</t>
        </is>
      </c>
    </row>
    <row r="14">
      <c r="A14" s="11" t="inlineStr">
        <is>
          <t>投資ゲート（条件を全て満たすまで次に進まない）</t>
        </is>
      </c>
    </row>
    <row r="15">
      <c r="A15" s="3" t="inlineStr">
        <is>
          <t>Gate</t>
        </is>
      </c>
      <c r="B15" s="3" t="inlineStr">
        <is>
          <t>投資額</t>
        </is>
      </c>
      <c r="C15" s="3" t="inlineStr">
        <is>
          <t>突破条件</t>
        </is>
      </c>
      <c r="D15" s="3" t="inlineStr">
        <is>
          <t>期限</t>
        </is>
      </c>
      <c r="E15" s="3" t="inlineStr">
        <is>
          <t>未達の場合</t>
        </is>
      </c>
      <c r="F15" s="3" t="inlineStr">
        <is>
          <t>責任者</t>
        </is>
      </c>
    </row>
    <row r="16">
      <c r="A16" s="4" t="inlineStr">
        <is>
          <t>Gate0</t>
        </is>
      </c>
      <c r="B16" s="4" t="inlineStr">
        <is>
          <t>¥0</t>
        </is>
      </c>
      <c r="C16" s="45" t="inlineStr">
        <is>
          <t>実手数料・関税/倉庫費・手元キャッシュ・700個数量割引単価・過去実績 の5点が全て数値で確定</t>
        </is>
      </c>
      <c r="D16" s="4" t="inlineStr">
        <is>
          <t>9/18</t>
        </is>
      </c>
      <c r="E16" s="4" t="inlineStr">
        <is>
          <t>700個発注を白紙に戻す</t>
        </is>
      </c>
      <c r="F16" s="4" t="inlineStr">
        <is>
          <t>北野</t>
        </is>
      </c>
    </row>
    <row r="17">
      <c r="A17" s="4" t="inlineStr">
        <is>
          <t>Gate1</t>
        </is>
      </c>
      <c r="B17" s="4" t="inlineStr">
        <is>
          <t>¥150,000</t>
        </is>
      </c>
      <c r="C17" s="45" t="inlineStr">
        <is>
          <t>30日で CV≥10件 かつ CPA≤¥6,000 かつ CVR≥0.8%</t>
        </is>
      </c>
      <c r="D17" s="4" t="inlineStr">
        <is>
          <t>10/11</t>
        </is>
      </c>
      <c r="E17" s="4" t="inlineStr">
        <is>
          <t>広告停止。商品・LPを作り直す</t>
        </is>
      </c>
      <c r="F17" s="4" t="inlineStr">
        <is>
          <t>要任命</t>
        </is>
      </c>
    </row>
    <row r="18">
      <c r="A18" s="4" t="inlineStr">
        <is>
          <t>Gate2</t>
        </is>
      </c>
      <c r="B18" s="4" t="inlineStr">
        <is>
          <t>¥500,000</t>
        </is>
      </c>
      <c r="C18" s="45" t="inlineStr">
        <is>
          <t>60日で CPA≤¥4,500 かつ 月販≥30個 かつ 返品率≤5%</t>
        </is>
      </c>
      <c r="D18" s="4" t="inlineStr">
        <is>
          <t>11/10</t>
        </is>
      </c>
      <c r="E18" s="4" t="inlineStr">
        <is>
          <t>Gate1に戻す。追加投資しない</t>
        </is>
      </c>
      <c r="F18" s="4" t="inlineStr">
        <is>
          <t>要任命</t>
        </is>
      </c>
    </row>
    <row r="19">
      <c r="A19" s="4" t="inlineStr">
        <is>
          <t>Gate3</t>
        </is>
      </c>
      <c r="B19" s="4" t="inlineStr">
        <is>
          <t>¥1,000,000</t>
        </is>
      </c>
      <c r="C19" s="4" t="inlineStr">
        <is>
          <t>90日で 月販≥58個 かつ 限界利益が月次で黒字</t>
        </is>
      </c>
      <c r="D19" s="4" t="inlineStr">
        <is>
          <t>12/10</t>
        </is>
      </c>
      <c r="E19" s="4" t="inlineStr">
        <is>
          <t>100個のみ追加発注に縮小</t>
        </is>
      </c>
      <c r="F19" s="4" t="inlineStr">
        <is>
          <t>北野</t>
        </is>
      </c>
    </row>
    <row r="20">
      <c r="A20" s="4" t="inlineStr">
        <is>
          <t>Gate4</t>
        </is>
      </c>
      <c r="B20" s="4" t="inlineStr">
        <is>
          <t>¥2,200,000</t>
        </is>
      </c>
      <c r="C20" s="4" t="inlineStr">
        <is>
          <t>月販≥78個（損益分岐超）を2ヶ月連続</t>
        </is>
      </c>
      <c r="D20" s="4" t="inlineStr">
        <is>
          <t>2027/02</t>
        </is>
      </c>
      <c r="E20" s="4" t="inlineStr">
        <is>
          <t>分割発注を継続。700個は見送り</t>
        </is>
      </c>
      <c r="F20" s="4" t="inlineStr">
        <is>
          <t>北野</t>
        </is>
      </c>
    </row>
    <row r="21">
      <c r="A21" s="10" t="inlineStr">
        <is>
          <t>Gate5</t>
        </is>
      </c>
      <c r="B21" s="10" t="inlineStr">
        <is>
          <t>700個 本格発注</t>
        </is>
      </c>
      <c r="C21" s="45" t="inlineStr">
        <is>
          <t>月販≥100個を3ヶ月連続 かつ 手元キャッシュ≥¥15,000,000</t>
        </is>
      </c>
      <c r="D21" s="4" t="inlineStr">
        <is>
          <t>条件達成時</t>
        </is>
      </c>
      <c r="E21" s="4" t="inlineStr">
        <is>
          <t>実行しない</t>
        </is>
      </c>
      <c r="F21" s="4" t="inlineStr">
        <is>
          <t>北野</t>
        </is>
      </c>
    </row>
    <row r="23">
      <c r="A23" s="11" t="inlineStr">
        <is>
          <t>Kill Criteria（撤退基準・事前確定）</t>
        </is>
      </c>
    </row>
    <row r="24">
      <c r="A24" s="3" t="inlineStr">
        <is>
          <t>No</t>
        </is>
      </c>
      <c r="B24" s="3" t="inlineStr">
        <is>
          <t>基準</t>
        </is>
      </c>
      <c r="C24" s="3" t="inlineStr">
        <is>
          <t>判定タイミング</t>
        </is>
      </c>
      <c r="D24" s="3" t="inlineStr"/>
      <c r="E24" s="3" t="inlineStr"/>
      <c r="F24" s="3" t="inlineStr"/>
    </row>
    <row r="25">
      <c r="A25" s="4" t="n">
        <v>1</v>
      </c>
      <c r="B25" s="4" t="inlineStr">
        <is>
          <t>30日CPAが¥6,000を超える</t>
        </is>
      </c>
      <c r="C25" s="4" t="inlineStr">
        <is>
          <t>Gate1</t>
        </is>
      </c>
      <c r="D25" s="4" t="inlineStr"/>
      <c r="E25" s="4" t="inlineStr"/>
      <c r="F25" s="4" t="inlineStr"/>
    </row>
    <row r="26">
      <c r="A26" s="4" t="n">
        <v>2</v>
      </c>
      <c r="B26" s="4" t="inlineStr">
        <is>
          <t>60日CVRが0.8%未満</t>
        </is>
      </c>
      <c r="C26" s="4" t="inlineStr">
        <is>
          <t>Gate2</t>
        </is>
      </c>
      <c r="D26" s="4" t="inlineStr"/>
      <c r="E26" s="4" t="inlineStr"/>
      <c r="F26" s="4" t="inlineStr"/>
    </row>
    <row r="27">
      <c r="A27" s="4" t="n">
        <v>3</v>
      </c>
      <c r="B27" s="4" t="inlineStr">
        <is>
          <t>返品率が5%を超える</t>
        </is>
      </c>
      <c r="C27" s="4" t="inlineStr">
        <is>
          <t>Gate2</t>
        </is>
      </c>
      <c r="D27" s="4" t="inlineStr"/>
      <c r="E27" s="4" t="inlineStr"/>
      <c r="F27" s="4" t="inlineStr"/>
    </row>
    <row r="28">
      <c r="A28" s="4" t="n">
        <v>4</v>
      </c>
      <c r="B28" s="4" t="inlineStr">
        <is>
          <t>広告費50万円投下後も月販30個未満</t>
        </is>
      </c>
      <c r="C28" s="4" t="inlineStr">
        <is>
          <t>Gate2</t>
        </is>
      </c>
      <c r="D28" s="4" t="inlineStr"/>
      <c r="E28" s="4" t="inlineStr"/>
      <c r="F28" s="4" t="inlineStr"/>
    </row>
    <row r="29">
      <c r="A29" s="4" t="n">
        <v>5</v>
      </c>
      <c r="B29" s="4" t="inlineStr">
        <is>
          <t>限界利益率が15%未満</t>
        </is>
      </c>
      <c r="C29" s="4" t="inlineStr">
        <is>
          <t>月次</t>
        </is>
      </c>
      <c r="D29" s="4" t="inlineStr"/>
      <c r="E29" s="4" t="inlineStr"/>
      <c r="F29" s="4" t="inlineStr"/>
    </row>
    <row r="30">
      <c r="A30" s="4" t="n">
        <v>6</v>
      </c>
      <c r="B30" s="4" t="inlineStr">
        <is>
          <t>在庫回転が120日を超える</t>
        </is>
      </c>
      <c r="C30" s="4" t="inlineStr">
        <is>
          <t>月次</t>
        </is>
      </c>
      <c r="D30" s="4" t="inlineStr"/>
      <c r="E30" s="4" t="inlineStr"/>
      <c r="F30" s="4" t="inlineStr"/>
    </row>
    <row r="31">
      <c r="A31" s="4" t="n">
        <v>7</v>
      </c>
      <c r="B31" s="4" t="inlineStr">
        <is>
          <t>営業赤字が2ヶ月連続</t>
        </is>
      </c>
      <c r="C31" s="4" t="inlineStr">
        <is>
          <t>月次</t>
        </is>
      </c>
      <c r="D31" s="4" t="inlineStr"/>
      <c r="E31" s="4" t="inlineStr"/>
      <c r="F31" s="4" t="inlineStr"/>
    </row>
    <row r="32">
      <c r="A32" s="4" t="n">
        <v>8</v>
      </c>
      <c r="B32" s="4" t="inlineStr">
        <is>
          <t>手元キャッシュが固定費3ヶ月分を下回る</t>
        </is>
      </c>
      <c r="C32" s="4" t="inlineStr">
        <is>
          <t>月次</t>
        </is>
      </c>
      <c r="D32" s="4" t="inlineStr"/>
      <c r="E32" s="4" t="inlineStr"/>
      <c r="F32" s="4" t="inlineStr">
        <is>
          <t>即時停止</t>
        </is>
      </c>
    </row>
    <row r="33">
      <c r="A33" s="11" t="inlineStr">
        <is>
          <t>注記</t>
        </is>
      </c>
    </row>
    <row r="34">
      <c r="A34" s="2" t="inlineStr">
        <is>
          <t>Gate0は費用ゼロ。今日から着手できる。ここを飛ばして発注するのが最悪の選択。</t>
        </is>
      </c>
    </row>
    <row r="35">
      <c r="A35" s="2" t="inlineStr">
        <is>
          <t>★現時点の推奨投資上限は Gate4 までの累計 ¥2,200,000（小ロット150個相当）。700個への一括投資は承認しない。</t>
        </is>
      </c>
    </row>
    <row r="36">
      <c r="A36" s="2" t="inlineStr">
        <is>
          <t>Kill Criteria は経営者の感情で動かさない。事前に文書化し、担当者と共有すること。</t>
        </is>
      </c>
    </row>
  </sheetData>
  <mergeCells count="9">
    <mergeCell ref="A2:F2"/>
    <mergeCell ref="A33:F33"/>
    <mergeCell ref="A36:F36"/>
    <mergeCell ref="A14:F14"/>
    <mergeCell ref="A1:F1"/>
    <mergeCell ref="A23:F23"/>
    <mergeCell ref="A34:F34"/>
    <mergeCell ref="A35:F35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4" customWidth="1" min="5" max="5"/>
    <col width="14" customWidth="1" min="6" max="6"/>
    <col width="50" customWidth="1" min="7" max="7"/>
  </cols>
  <sheetData>
    <row r="1">
      <c r="A1" s="55" t="inlineStr">
        <is>
          <t>KPIダッシュボード</t>
        </is>
      </c>
    </row>
    <row r="2">
      <c r="A2" s="2" t="inlineStr">
        <is>
          <t>Daily/Weekly/Monthly を分ける。黄色＝実績入力欄。異常値検知ルールは下部。</t>
        </is>
      </c>
    </row>
    <row r="4">
      <c r="A4" s="11" t="inlineStr">
        <is>
          <t>【Daily】</t>
        </is>
      </c>
    </row>
    <row r="5">
      <c r="A5" s="3" t="inlineStr"/>
      <c r="B5" s="3" t="inlineStr">
        <is>
          <t>指標</t>
        </is>
      </c>
      <c r="C5" s="3" t="inlineStr">
        <is>
          <t>目標</t>
        </is>
      </c>
      <c r="D5" s="3" t="inlineStr">
        <is>
          <t>許容ライン</t>
        </is>
      </c>
      <c r="E5" s="3" t="inlineStr">
        <is>
          <t>実績</t>
        </is>
      </c>
      <c r="F5" s="3" t="inlineStr">
        <is>
          <t>判定</t>
        </is>
      </c>
      <c r="G5" s="3" t="inlineStr">
        <is>
          <t>警告条件・対応</t>
        </is>
      </c>
    </row>
    <row r="6">
      <c r="A6" s="4" t="inlineStr"/>
      <c r="B6" s="4" t="inlineStr">
        <is>
          <t>売上</t>
        </is>
      </c>
      <c r="C6" s="4" t="inlineStr">
        <is>
          <t>—</t>
        </is>
      </c>
      <c r="D6" s="4" t="inlineStr">
        <is>
          <t>—</t>
        </is>
      </c>
      <c r="E6" s="51" t="n"/>
      <c r="F6" s="51" t="n"/>
      <c r="G6" s="4" t="inlineStr">
        <is>
          <t>前日比 −20%で警告</t>
        </is>
      </c>
    </row>
    <row r="7">
      <c r="A7" s="4" t="inlineStr"/>
      <c r="B7" s="4" t="inlineStr">
        <is>
          <t>販売数</t>
        </is>
      </c>
      <c r="C7" s="4" t="inlineStr">
        <is>
          <t>—</t>
        </is>
      </c>
      <c r="D7" s="4" t="inlineStr">
        <is>
          <t>—</t>
        </is>
      </c>
      <c r="E7" s="51" t="n"/>
      <c r="F7" s="51" t="n"/>
      <c r="G7" s="4" t="inlineStr">
        <is>
          <t>前日比 −20%で警告</t>
        </is>
      </c>
    </row>
    <row r="8">
      <c r="A8" s="4" t="inlineStr"/>
      <c r="B8" s="4" t="inlineStr">
        <is>
          <t>広告費</t>
        </is>
      </c>
      <c r="C8" s="4" t="inlineStr">
        <is>
          <t>日額上限を設定</t>
        </is>
      </c>
      <c r="D8" s="4" t="inlineStr">
        <is>
          <t>—</t>
        </is>
      </c>
      <c r="E8" s="51" t="n"/>
      <c r="F8" s="51" t="n"/>
      <c r="G8" s="4" t="inlineStr">
        <is>
          <t>上限超過で自動停止</t>
        </is>
      </c>
    </row>
    <row r="9">
      <c r="A9" s="4" t="inlineStr"/>
      <c r="B9" s="4" t="inlineStr">
        <is>
          <t>CPA</t>
        </is>
      </c>
      <c r="C9" s="4" t="inlineStr">
        <is>
          <t>¥4,500</t>
        </is>
      </c>
      <c r="D9" s="4" t="inlineStr">
        <is>
          <t>¥6,000</t>
        </is>
      </c>
      <c r="E9" s="51" t="n"/>
      <c r="F9" s="51" t="n"/>
      <c r="G9" s="4" t="inlineStr">
        <is>
          <t>+20%で警告</t>
        </is>
      </c>
    </row>
    <row r="10">
      <c r="A10" s="4" t="inlineStr"/>
      <c r="B10" s="4" t="inlineStr">
        <is>
          <t>限界利益ROAS</t>
        </is>
      </c>
      <c r="C10" s="4" t="inlineStr">
        <is>
          <t>2.0以上</t>
        </is>
      </c>
      <c r="D10" s="4" t="inlineStr">
        <is>
          <t>1.0</t>
        </is>
      </c>
      <c r="E10" s="51" t="n"/>
      <c r="F10" s="51" t="n"/>
      <c r="G10" s="4" t="inlineStr">
        <is>
          <t>1.0割れで即停止</t>
        </is>
      </c>
    </row>
    <row r="11">
      <c r="A11" s="4" t="inlineStr"/>
      <c r="B11" s="4" t="inlineStr">
        <is>
          <t>CVR</t>
        </is>
      </c>
      <c r="C11" s="4" t="inlineStr">
        <is>
          <t>—</t>
        </is>
      </c>
      <c r="D11" s="4" t="inlineStr">
        <is>
          <t>—</t>
        </is>
      </c>
      <c r="E11" s="51" t="n"/>
      <c r="F11" s="51" t="n"/>
      <c r="G11" s="4" t="inlineStr">
        <is>
          <t>−20%で警告</t>
        </is>
      </c>
    </row>
    <row r="12">
      <c r="A12" s="4" t="inlineStr"/>
      <c r="B12" s="4" t="inlineStr">
        <is>
          <t>在庫数</t>
        </is>
      </c>
      <c r="C12" s="4" t="inlineStr">
        <is>
          <t>—</t>
        </is>
      </c>
      <c r="D12" s="4" t="inlineStr">
        <is>
          <t>—</t>
        </is>
      </c>
      <c r="E12" s="51" t="n"/>
      <c r="F12" s="51" t="n"/>
      <c r="G12" s="4" t="inlineStr">
        <is>
          <t>SKU別。欠品/滞留の両方を見る</t>
        </is>
      </c>
    </row>
    <row r="14">
      <c r="A14" s="11" t="inlineStr">
        <is>
          <t>【Weekly】</t>
        </is>
      </c>
    </row>
    <row r="15">
      <c r="A15" s="3" t="inlineStr"/>
      <c r="B15" s="3" t="inlineStr">
        <is>
          <t>指標</t>
        </is>
      </c>
      <c r="C15" s="3" t="inlineStr">
        <is>
          <t>目標</t>
        </is>
      </c>
      <c r="D15" s="3" t="inlineStr">
        <is>
          <t>許容ライン</t>
        </is>
      </c>
      <c r="E15" s="3" t="inlineStr">
        <is>
          <t>実績</t>
        </is>
      </c>
      <c r="F15" s="3" t="inlineStr">
        <is>
          <t>判定</t>
        </is>
      </c>
      <c r="G15" s="3" t="inlineStr">
        <is>
          <t>警告条件・対応</t>
        </is>
      </c>
    </row>
    <row r="16">
      <c r="A16" s="4" t="inlineStr"/>
      <c r="B16" s="4" t="inlineStr">
        <is>
          <t>粗利率</t>
        </is>
      </c>
      <c r="C16" s="4" t="inlineStr">
        <is>
          <t>37.2%以上</t>
        </is>
      </c>
      <c r="D16" s="4" t="inlineStr">
        <is>
          <t>—</t>
        </is>
      </c>
      <c r="E16" s="51" t="n"/>
      <c r="F16" s="51" t="n"/>
      <c r="G16" s="4" t="inlineStr">
        <is>
          <t>低下で警告</t>
        </is>
      </c>
    </row>
    <row r="17">
      <c r="A17" s="4" t="inlineStr"/>
      <c r="B17" s="4" t="inlineStr">
        <is>
          <t>限界利益率</t>
        </is>
      </c>
      <c r="C17" s="4" t="inlineStr">
        <is>
          <t>20.3%以上</t>
        </is>
      </c>
      <c r="D17" s="4" t="inlineStr">
        <is>
          <t>15%</t>
        </is>
      </c>
      <c r="E17" s="51" t="n"/>
      <c r="F17" s="51" t="n"/>
      <c r="G17" s="4" t="inlineStr">
        <is>
          <t>15%割れでKill判定</t>
        </is>
      </c>
    </row>
    <row r="18">
      <c r="A18" s="4" t="inlineStr"/>
      <c r="B18" s="4" t="inlineStr">
        <is>
          <t>広告費率</t>
        </is>
      </c>
      <c r="C18" s="4" t="inlineStr">
        <is>
          <t>15%</t>
        </is>
      </c>
      <c r="D18" s="4" t="inlineStr">
        <is>
          <t>20%</t>
        </is>
      </c>
      <c r="E18" s="51" t="n"/>
      <c r="F18" s="51" t="n"/>
      <c r="G18" s="4" t="inlineStr">
        <is>
          <t>20%超で警告</t>
        </is>
      </c>
    </row>
    <row r="19">
      <c r="A19" s="4" t="inlineStr"/>
      <c r="B19" s="4" t="inlineStr">
        <is>
          <t>SKU別売上</t>
        </is>
      </c>
      <c r="C19" s="4" t="inlineStr">
        <is>
          <t>—</t>
        </is>
      </c>
      <c r="D19" s="4" t="inlineStr">
        <is>
          <t>—</t>
        </is>
      </c>
      <c r="E19" s="51" t="n"/>
      <c r="F19" s="51" t="n"/>
      <c r="G19" s="4" t="inlineStr">
        <is>
          <t>死にSKUの特定</t>
        </is>
      </c>
    </row>
    <row r="20">
      <c r="A20" s="4" t="inlineStr"/>
      <c r="B20" s="4" t="inlineStr">
        <is>
          <t>チャネル別売上</t>
        </is>
      </c>
      <c r="C20" s="4" t="inlineStr">
        <is>
          <t>—</t>
        </is>
      </c>
      <c r="D20" s="4" t="inlineStr">
        <is>
          <t>—</t>
        </is>
      </c>
      <c r="E20" s="51" t="n"/>
      <c r="F20" s="51" t="n"/>
      <c r="G20" s="4" t="inlineStr">
        <is>
          <t>広告依存率を必ず見る</t>
        </is>
      </c>
    </row>
    <row r="21">
      <c r="A21" s="4" t="inlineStr"/>
      <c r="B21" s="4" t="inlineStr">
        <is>
          <t>返品率</t>
        </is>
      </c>
      <c r="C21" s="4" t="inlineStr">
        <is>
          <t>≤3%</t>
        </is>
      </c>
      <c r="D21" s="4" t="inlineStr">
        <is>
          <t>5%</t>
        </is>
      </c>
      <c r="E21" s="51" t="n"/>
      <c r="F21" s="51" t="n"/>
      <c r="G21" s="4" t="inlineStr">
        <is>
          <t>+30%で警告</t>
        </is>
      </c>
    </row>
    <row r="22">
      <c r="A22" s="4" t="inlineStr"/>
      <c r="B22" s="4" t="inlineStr">
        <is>
          <t>レビュー件数/評価</t>
        </is>
      </c>
      <c r="C22" s="4" t="inlineStr">
        <is>
          <t>—</t>
        </is>
      </c>
      <c r="D22" s="4" t="inlineStr">
        <is>
          <t>≥4.0</t>
        </is>
      </c>
      <c r="E22" s="51" t="n"/>
      <c r="F22" s="51" t="n"/>
      <c r="G22" s="4" t="inlineStr">
        <is>
          <t>低評価は即対応</t>
        </is>
      </c>
    </row>
    <row r="23">
      <c r="A23" s="4" t="inlineStr"/>
      <c r="B23" s="4" t="inlineStr">
        <is>
          <t>在庫回転日数</t>
        </is>
      </c>
      <c r="C23" s="4" t="inlineStr">
        <is>
          <t>≤90日</t>
        </is>
      </c>
      <c r="D23" s="4" t="inlineStr">
        <is>
          <t>120日</t>
        </is>
      </c>
      <c r="E23" s="51" t="n"/>
      <c r="F23" s="51" t="n"/>
      <c r="G23" s="4" t="inlineStr">
        <is>
          <t>超過で値引き検討</t>
        </is>
      </c>
    </row>
    <row r="25">
      <c r="A25" s="11" t="inlineStr">
        <is>
          <t>【Monthly】</t>
        </is>
      </c>
    </row>
    <row r="26">
      <c r="A26" s="3" t="inlineStr"/>
      <c r="B26" s="3" t="inlineStr">
        <is>
          <t>指標</t>
        </is>
      </c>
      <c r="C26" s="3" t="inlineStr">
        <is>
          <t>目標</t>
        </is>
      </c>
      <c r="D26" s="3" t="inlineStr">
        <is>
          <t>許容ライン</t>
        </is>
      </c>
      <c r="E26" s="3" t="inlineStr">
        <is>
          <t>実績</t>
        </is>
      </c>
      <c r="F26" s="3" t="inlineStr">
        <is>
          <t>判定</t>
        </is>
      </c>
      <c r="G26" s="3" t="inlineStr">
        <is>
          <t>警告条件・対応</t>
        </is>
      </c>
    </row>
    <row r="27">
      <c r="A27" s="4" t="inlineStr"/>
      <c r="B27" s="4" t="inlineStr">
        <is>
          <t>営業利益</t>
        </is>
      </c>
      <c r="C27" s="4" t="inlineStr">
        <is>
          <t>黒字</t>
        </is>
      </c>
      <c r="D27" s="4" t="inlineStr">
        <is>
          <t>—</t>
        </is>
      </c>
      <c r="E27" s="51" t="n"/>
      <c r="F27" s="51" t="n"/>
      <c r="G27" s="4" t="inlineStr">
        <is>
          <t>2ヶ月連続赤字でKill判定</t>
        </is>
      </c>
    </row>
    <row r="28">
      <c r="A28" s="4" t="inlineStr"/>
      <c r="B28" s="4" t="inlineStr">
        <is>
          <t>キャッシュ残高</t>
        </is>
      </c>
      <c r="C28" s="4" t="inlineStr">
        <is>
          <t>—</t>
        </is>
      </c>
      <c r="D28" s="4" t="inlineStr">
        <is>
          <t>固定費3ヶ月分</t>
        </is>
      </c>
      <c r="E28" s="51" t="n"/>
      <c r="F28" s="51" t="n"/>
      <c r="G28" s="4" t="inlineStr">
        <is>
          <t>下回ったら即時停止</t>
        </is>
      </c>
    </row>
    <row r="29">
      <c r="A29" s="4" t="inlineStr"/>
      <c r="B29" s="4" t="inlineStr">
        <is>
          <t>LTV</t>
        </is>
      </c>
      <c r="C29" s="4" t="inlineStr">
        <is>
          <t>—</t>
        </is>
      </c>
      <c r="D29" s="4" t="inlineStr">
        <is>
          <t>—</t>
        </is>
      </c>
      <c r="E29" s="51" t="n"/>
      <c r="F29" s="51" t="n"/>
      <c r="G29" s="4" t="inlineStr">
        <is>
          <t>低頻度商材のため初回≒LTV</t>
        </is>
      </c>
    </row>
    <row r="30">
      <c r="A30" s="4" t="inlineStr"/>
      <c r="B30" s="4" t="inlineStr">
        <is>
          <t>CAC</t>
        </is>
      </c>
      <c r="C30" s="4" t="inlineStr">
        <is>
          <t>¥4,500</t>
        </is>
      </c>
      <c r="D30" s="4" t="inlineStr">
        <is>
          <t>¥6,000</t>
        </is>
      </c>
      <c r="E30" s="51" t="n"/>
      <c r="F30" s="51" t="n"/>
      <c r="G30" s="4" t="inlineStr"/>
    </row>
    <row r="31">
      <c r="A31" s="4" t="inlineStr"/>
      <c r="B31" s="4" t="inlineStr">
        <is>
          <t>LTV/CAC（限界利益ベース）</t>
        </is>
      </c>
      <c r="C31" s="4" t="inlineStr">
        <is>
          <t>≥2.0</t>
        </is>
      </c>
      <c r="D31" s="4" t="inlineStr">
        <is>
          <t>1.0</t>
        </is>
      </c>
      <c r="E31" s="51" t="n"/>
      <c r="F31" s="51" t="n"/>
      <c r="G31" s="4" t="inlineStr">
        <is>
          <t>現状1.2は危険水準</t>
        </is>
      </c>
    </row>
    <row r="32">
      <c r="A32" s="4" t="inlineStr"/>
      <c r="B32" s="4" t="inlineStr">
        <is>
          <t>固定費</t>
        </is>
      </c>
      <c r="C32" s="4" t="inlineStr">
        <is>
          <t>≤¥420,750</t>
        </is>
      </c>
      <c r="D32" s="4" t="inlineStr">
        <is>
          <t>—</t>
        </is>
      </c>
      <c r="E32" s="51" t="n"/>
      <c r="F32" s="51" t="n"/>
      <c r="G32" s="4" t="inlineStr">
        <is>
          <t>黒字化まで増やさない</t>
        </is>
      </c>
    </row>
    <row r="33">
      <c r="A33" s="4" t="inlineStr"/>
      <c r="B33" s="4" t="inlineStr">
        <is>
          <t>人件費率</t>
        </is>
      </c>
      <c r="C33" s="4" t="inlineStr">
        <is>
          <t>—</t>
        </is>
      </c>
      <c r="D33" s="4" t="inlineStr">
        <is>
          <t>—</t>
        </is>
      </c>
      <c r="E33" s="51" t="n"/>
      <c r="F33" s="51" t="n"/>
      <c r="G33" s="4" t="inlineStr">
        <is>
          <t>売上比で管理</t>
        </is>
      </c>
    </row>
    <row r="34">
      <c r="A34" s="4" t="inlineStr"/>
      <c r="B34" s="4" t="inlineStr">
        <is>
          <t>在庫評価額</t>
        </is>
      </c>
      <c r="C34" s="4" t="inlineStr">
        <is>
          <t>—</t>
        </is>
      </c>
      <c r="D34" s="4" t="inlineStr">
        <is>
          <t>—</t>
        </is>
      </c>
      <c r="E34" s="51" t="n"/>
      <c r="F34" s="51" t="n"/>
      <c r="G34" s="4" t="inlineStr">
        <is>
          <t>滞留分は評価減を計上</t>
        </is>
      </c>
    </row>
    <row r="36">
      <c r="A36" s="11" t="inlineStr">
        <is>
          <t>異常値検知ルール（原因候補 → 確認データ → 対策）</t>
        </is>
      </c>
    </row>
    <row r="37">
      <c r="A37" s="2" t="inlineStr">
        <is>
          <t>CPA +20%以上 → 入札競合増／クリエイティブ疲弊／LP不調 → 媒体別CPA・CTR・CVR → クリエイティブ差替、入札上限設定</t>
        </is>
      </c>
    </row>
    <row r="38">
      <c r="A38" s="2" t="inlineStr">
        <is>
          <t>CVR −20%以上 → LP改変／欠品／価格改定／競合値下げ → LP解析・在庫・競合価格 → 直前の変更を戻す</t>
        </is>
      </c>
    </row>
    <row r="39">
      <c r="A39" s="2" t="inlineStr">
        <is>
          <t>売上 −20%以上 → 広告停止／季節要因／アカウント制限 → 媒体アカウント状態・前年同月 → 原因特定まで広告増額しない</t>
        </is>
      </c>
    </row>
    <row r="40">
      <c r="A40" s="2" t="inlineStr">
        <is>
          <t>返品率 +30%以上 → 品質不良ロット／サイズ誤認 → 返品理由の分類 → 該当ロット出荷停止</t>
        </is>
      </c>
    </row>
    <row r="41">
      <c r="A41" s="2" t="inlineStr">
        <is>
          <t>在庫回転 悪化 → 過剰発注／SKUミスマッチ → SKU別回転日数 → 追加発注停止、値引き計画</t>
        </is>
      </c>
    </row>
    <row r="42">
      <c r="A42" s="2" t="inlineStr">
        <is>
          <t>粗利率 低下 → 値引き／手数料増／為替 → 06_Unit Economics を再計算 → 値引き停止または売価改定</t>
        </is>
      </c>
    </row>
    <row r="43">
      <c r="A43" s="2" t="inlineStr">
        <is>
          <t>広告費率 上昇 → CPA悪化／客単価低下 → 媒体別・SKU別の広告費率 → 20%超の媒体を停止</t>
        </is>
      </c>
    </row>
  </sheetData>
  <mergeCells count="13">
    <mergeCell ref="A36:G36"/>
    <mergeCell ref="A14:G14"/>
    <mergeCell ref="A1:G1"/>
    <mergeCell ref="A40:G40"/>
    <mergeCell ref="A39:G39"/>
    <mergeCell ref="A4:G4"/>
    <mergeCell ref="A38:G38"/>
    <mergeCell ref="A2:G2"/>
    <mergeCell ref="A25:G25"/>
    <mergeCell ref="A43:G43"/>
    <mergeCell ref="A41:G41"/>
    <mergeCell ref="A42:G42"/>
    <mergeCell ref="A37:G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22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55" t="inlineStr">
        <is>
          <t>30日アクションプラン（RACI・ICE）</t>
        </is>
      </c>
    </row>
    <row r="2">
      <c r="A2" s="2" t="inlineStr">
        <is>
          <t>R=実行 A=最終責任／ICE=Impact×Confidence×Ease（各1-10）。「みんなでやる」は禁止。責任者は必ず1名。</t>
        </is>
      </c>
    </row>
    <row r="4">
      <c r="A4" s="3" t="inlineStr">
        <is>
          <t>優</t>
        </is>
      </c>
      <c r="B4" s="3" t="inlineStr">
        <is>
          <t>タスク</t>
        </is>
      </c>
      <c r="C4" s="3" t="inlineStr">
        <is>
          <t>目的</t>
        </is>
      </c>
      <c r="D4" s="3" t="inlineStr">
        <is>
          <t>R(実行)</t>
        </is>
      </c>
      <c r="E4" s="3" t="inlineStr">
        <is>
          <t>A(責任)</t>
        </is>
      </c>
      <c r="F4" s="3" t="inlineStr">
        <is>
          <t>開始</t>
        </is>
      </c>
      <c r="G4" s="3" t="inlineStr">
        <is>
          <t>期限</t>
        </is>
      </c>
      <c r="H4" s="3" t="inlineStr">
        <is>
          <t>KPI/完了条件</t>
        </is>
      </c>
      <c r="I4" s="3" t="inlineStr">
        <is>
          <t>状態</t>
        </is>
      </c>
      <c r="J4" s="3" t="inlineStr">
        <is>
          <t>次回アクション</t>
        </is>
      </c>
      <c r="K4" s="3" t="inlineStr">
        <is>
          <t>I</t>
        </is>
      </c>
      <c r="L4" s="3" t="inlineStr">
        <is>
          <t>C</t>
        </is>
      </c>
      <c r="M4" s="3" t="inlineStr">
        <is>
          <t>E</t>
        </is>
      </c>
      <c r="N4" s="3" t="inlineStr">
        <is>
          <t>ICE</t>
        </is>
      </c>
    </row>
    <row r="5">
      <c r="A5" s="53" t="n">
        <v>1</v>
      </c>
      <c r="B5" s="12" t="inlineStr">
        <is>
          <t>700個の発注を一旦保留する</t>
        </is>
      </c>
      <c r="C5" s="12" t="inlineStr">
        <is>
          <t>最大リスクの回避</t>
        </is>
      </c>
      <c r="D5" s="12" t="inlineStr">
        <is>
          <t>北野</t>
        </is>
      </c>
      <c r="E5" s="12" t="inlineStr">
        <is>
          <t>北野</t>
        </is>
      </c>
      <c r="F5" s="12" t="inlineStr">
        <is>
          <t>9/11</t>
        </is>
      </c>
      <c r="G5" s="12" t="inlineStr">
        <is>
          <t>9/11</t>
        </is>
      </c>
      <c r="H5" s="12" t="inlineStr">
        <is>
          <t>サプライヤーへ保留連絡済み</t>
        </is>
      </c>
      <c r="I5" s="12" t="inlineStr">
        <is>
          <t>未着手</t>
        </is>
      </c>
      <c r="J5" s="12" t="inlineStr">
        <is>
          <t>Gate4まで凍結</t>
        </is>
      </c>
      <c r="K5" s="53" t="n">
        <v>10</v>
      </c>
      <c r="L5" s="53" t="n">
        <v>10</v>
      </c>
      <c r="M5" s="53" t="n">
        <v>10</v>
      </c>
      <c r="N5" s="56">
        <f>K5*L5*M5</f>
        <v>1000</v>
      </c>
    </row>
    <row r="6">
      <c r="A6" s="53" t="n">
        <v>2</v>
      </c>
      <c r="B6" s="12" t="inlineStr">
        <is>
          <t>モール実手数料を契約書で確定</t>
        </is>
      </c>
      <c r="C6" s="12" t="inlineStr">
        <is>
          <t>4%前提が崩れないか確認</t>
        </is>
      </c>
      <c r="D6" s="12" t="inlineStr">
        <is>
          <t>北野</t>
        </is>
      </c>
      <c r="E6" s="12" t="inlineStr">
        <is>
          <t>北野</t>
        </is>
      </c>
      <c r="F6" s="12" t="inlineStr">
        <is>
          <t>9/11</t>
        </is>
      </c>
      <c r="G6" s="12" t="inlineStr">
        <is>
          <t>9/15</t>
        </is>
      </c>
      <c r="H6" s="12" t="inlineStr">
        <is>
          <t>3チャネルの実負担率を数値化</t>
        </is>
      </c>
      <c r="I6" s="12" t="inlineStr">
        <is>
          <t>未着手</t>
        </is>
      </c>
      <c r="J6" s="12" t="inlineStr">
        <is>
          <t>02/06シート更新</t>
        </is>
      </c>
      <c r="K6" s="53" t="n">
        <v>10</v>
      </c>
      <c r="L6" s="53" t="n">
        <v>9</v>
      </c>
      <c r="M6" s="53" t="n">
        <v>9</v>
      </c>
      <c r="N6" s="56">
        <f>K6*L6*M6</f>
        <v>810</v>
      </c>
    </row>
    <row r="7">
      <c r="A7" s="53" t="n">
        <v>3</v>
      </c>
      <c r="B7" s="12" t="inlineStr">
        <is>
          <t>Kill Criteria を文書化し全員共有</t>
        </is>
      </c>
      <c r="C7" s="12" t="inlineStr">
        <is>
          <t>感情での継続を防ぐ</t>
        </is>
      </c>
      <c r="D7" s="12" t="inlineStr">
        <is>
          <t>北野</t>
        </is>
      </c>
      <c r="E7" s="12" t="inlineStr">
        <is>
          <t>北野</t>
        </is>
      </c>
      <c r="F7" s="12" t="inlineStr">
        <is>
          <t>9/11</t>
        </is>
      </c>
      <c r="G7" s="12" t="inlineStr">
        <is>
          <t>9/13</t>
        </is>
      </c>
      <c r="H7" s="12" t="inlineStr">
        <is>
          <t>署名付きの撤退基準文書</t>
        </is>
      </c>
      <c r="I7" s="12" t="inlineStr">
        <is>
          <t>未着手</t>
        </is>
      </c>
      <c r="J7" s="12" t="inlineStr">
        <is>
          <t>月次レビュー</t>
        </is>
      </c>
      <c r="K7" s="53" t="n">
        <v>8</v>
      </c>
      <c r="L7" s="53" t="n">
        <v>10</v>
      </c>
      <c r="M7" s="53" t="n">
        <v>10</v>
      </c>
      <c r="N7" s="56">
        <f>K7*L7*M7</f>
        <v>800</v>
      </c>
    </row>
    <row r="8">
      <c r="A8" s="53" t="n">
        <v>4</v>
      </c>
      <c r="B8" s="12" t="inlineStr">
        <is>
          <t>手元キャッシュと資金繰り表を作る</t>
        </is>
      </c>
      <c r="C8" s="12" t="inlineStr">
        <is>
          <t>1,420万円を出せるか判定</t>
        </is>
      </c>
      <c r="D8" s="12" t="inlineStr">
        <is>
          <t>北野</t>
        </is>
      </c>
      <c r="E8" s="12" t="inlineStr">
        <is>
          <t>北野</t>
        </is>
      </c>
      <c r="F8" s="12" t="inlineStr">
        <is>
          <t>9/11</t>
        </is>
      </c>
      <c r="G8" s="12" t="inlineStr">
        <is>
          <t>9/15</t>
        </is>
      </c>
      <c r="H8" s="12" t="inlineStr">
        <is>
          <t>月次資金繰り表12ヶ月分</t>
        </is>
      </c>
      <c r="I8" s="12" t="inlineStr">
        <is>
          <t>未着手</t>
        </is>
      </c>
      <c r="J8" s="12" t="inlineStr">
        <is>
          <t>11シート更新</t>
        </is>
      </c>
      <c r="K8" s="53" t="n">
        <v>10</v>
      </c>
      <c r="L8" s="53" t="n">
        <v>10</v>
      </c>
      <c r="M8" s="53" t="n">
        <v>8</v>
      </c>
      <c r="N8" s="56">
        <f>K8*L8*M8</f>
        <v>800</v>
      </c>
    </row>
    <row r="9">
      <c r="A9" s="18" t="n">
        <v>5</v>
      </c>
      <c r="B9" s="4" t="inlineStr">
        <is>
          <t>関税・国際送料・倉庫費の実見積</t>
        </is>
      </c>
      <c r="C9" s="4" t="inlineStr">
        <is>
          <t>未算入コストを潰す</t>
        </is>
      </c>
      <c r="D9" s="4" t="inlineStr">
        <is>
          <t>要任命</t>
        </is>
      </c>
      <c r="E9" s="4" t="inlineStr">
        <is>
          <t>北野</t>
        </is>
      </c>
      <c r="F9" s="4" t="inlineStr">
        <is>
          <t>9/11</t>
        </is>
      </c>
      <c r="G9" s="4" t="inlineStr">
        <is>
          <t>9/18</t>
        </is>
      </c>
      <c r="H9" s="4" t="inlineStr">
        <is>
          <t>700個ベースの円/個が確定</t>
        </is>
      </c>
      <c r="I9" s="4" t="inlineStr">
        <is>
          <t>未着手</t>
        </is>
      </c>
      <c r="J9" s="4" t="inlineStr">
        <is>
          <t>02シート更新</t>
        </is>
      </c>
      <c r="K9" s="18" t="n">
        <v>10</v>
      </c>
      <c r="L9" s="18" t="n">
        <v>8</v>
      </c>
      <c r="M9" s="18" t="n">
        <v>8</v>
      </c>
      <c r="N9" s="39">
        <f>K9*L9*M9</f>
        <v>640</v>
      </c>
    </row>
    <row r="10">
      <c r="A10" s="18" t="n">
        <v>6</v>
      </c>
      <c r="B10" s="4" t="inlineStr">
        <is>
          <t>過去の販売実績・CPA・CVRを集計</t>
        </is>
      </c>
      <c r="C10" s="4" t="inlineStr">
        <is>
          <t>全前提の検証</t>
        </is>
      </c>
      <c r="D10" s="4" t="inlineStr">
        <is>
          <t>要任命</t>
        </is>
      </c>
      <c r="E10" s="4" t="inlineStr">
        <is>
          <t>北野</t>
        </is>
      </c>
      <c r="F10" s="4" t="inlineStr">
        <is>
          <t>9/11</t>
        </is>
      </c>
      <c r="G10" s="4" t="inlineStr">
        <is>
          <t>9/16</t>
        </is>
      </c>
      <c r="H10" s="4" t="inlineStr">
        <is>
          <t>SKU別・媒体別の月次実績</t>
        </is>
      </c>
      <c r="I10" s="4" t="inlineStr">
        <is>
          <t>未着手</t>
        </is>
      </c>
      <c r="J10" s="4" t="inlineStr">
        <is>
          <t>02/07/08シート更新</t>
        </is>
      </c>
      <c r="K10" s="18" t="n">
        <v>10</v>
      </c>
      <c r="L10" s="18" t="n">
        <v>9</v>
      </c>
      <c r="M10" s="18" t="n">
        <v>7</v>
      </c>
      <c r="N10" s="39">
        <f>K10*L10*M10</f>
        <v>630</v>
      </c>
    </row>
    <row r="11">
      <c r="A11" s="18" t="n">
        <v>7</v>
      </c>
      <c r="B11" s="4" t="inlineStr">
        <is>
          <t>L の予約販売ページを公開</t>
        </is>
      </c>
      <c r="C11" s="4" t="inlineStr">
        <is>
          <t>在庫ゼロで実需を測る</t>
        </is>
      </c>
      <c r="D11" s="4" t="inlineStr">
        <is>
          <t>要任命</t>
        </is>
      </c>
      <c r="E11" s="4" t="inlineStr">
        <is>
          <t>北野</t>
        </is>
      </c>
      <c r="F11" s="4" t="inlineStr">
        <is>
          <t>9/11</t>
        </is>
      </c>
      <c r="G11" s="4" t="inlineStr">
        <is>
          <t>9/18</t>
        </is>
      </c>
      <c r="H11" s="4" t="inlineStr">
        <is>
          <t>14日間の予約件数</t>
        </is>
      </c>
      <c r="I11" s="4" t="inlineStr">
        <is>
          <t>未着手</t>
        </is>
      </c>
      <c r="J11" s="4" t="inlineStr">
        <is>
          <t>Gate1判定</t>
        </is>
      </c>
      <c r="K11" s="18" t="n">
        <v>9</v>
      </c>
      <c r="L11" s="18" t="n">
        <v>8</v>
      </c>
      <c r="M11" s="18" t="n">
        <v>8</v>
      </c>
      <c r="N11" s="39">
        <f>K11*L11*M11</f>
        <v>576</v>
      </c>
    </row>
    <row r="12">
      <c r="A12" s="18" t="n">
        <v>8</v>
      </c>
      <c r="B12" s="4" t="inlineStr">
        <is>
          <t>分割発注（100〜150個）の条件を取る</t>
        </is>
      </c>
      <c r="C12" s="4" t="inlineStr">
        <is>
          <t>在庫リスクを1/5に</t>
        </is>
      </c>
      <c r="D12" s="4" t="inlineStr">
        <is>
          <t>北野</t>
        </is>
      </c>
      <c r="E12" s="4" t="inlineStr">
        <is>
          <t>北野</t>
        </is>
      </c>
      <c r="F12" s="4" t="inlineStr">
        <is>
          <t>9/11</t>
        </is>
      </c>
      <c r="G12" s="4" t="inlineStr">
        <is>
          <t>9/25</t>
        </is>
      </c>
      <c r="H12" s="4" t="inlineStr">
        <is>
          <t>分割時の単価・最低ロット</t>
        </is>
      </c>
      <c r="I12" s="4" t="inlineStr">
        <is>
          <t>未着手</t>
        </is>
      </c>
      <c r="J12" s="4" t="inlineStr">
        <is>
          <t>Gate3判定</t>
        </is>
      </c>
      <c r="K12" s="18" t="n">
        <v>9</v>
      </c>
      <c r="L12" s="18" t="n">
        <v>8</v>
      </c>
      <c r="M12" s="18" t="n">
        <v>7</v>
      </c>
      <c r="N12" s="39">
        <f>K12*L12*M12</f>
        <v>504</v>
      </c>
    </row>
    <row r="13">
      <c r="A13" s="18" t="n">
        <v>9</v>
      </c>
      <c r="B13" s="4" t="inlineStr">
        <is>
          <t>KPIダッシュボードを日次運用に乗せる</t>
        </is>
      </c>
      <c r="C13" s="4" t="inlineStr">
        <is>
          <t>異常の早期検知</t>
        </is>
      </c>
      <c r="D13" s="4" t="inlineStr">
        <is>
          <t>要任命</t>
        </is>
      </c>
      <c r="E13" s="4" t="inlineStr">
        <is>
          <t>北野</t>
        </is>
      </c>
      <c r="F13" s="4" t="inlineStr">
        <is>
          <t>9/15</t>
        </is>
      </c>
      <c r="G13" s="4" t="inlineStr">
        <is>
          <t>9/30</t>
        </is>
      </c>
      <c r="H13" s="4" t="inlineStr">
        <is>
          <t>Daily7指標が毎朝見える</t>
        </is>
      </c>
      <c r="I13" s="4" t="inlineStr">
        <is>
          <t>未着手</t>
        </is>
      </c>
      <c r="J13" s="4" t="inlineStr">
        <is>
          <t>週次レビュー</t>
        </is>
      </c>
      <c r="K13" s="18" t="n">
        <v>8</v>
      </c>
      <c r="L13" s="18" t="n">
        <v>9</v>
      </c>
      <c r="M13" s="18" t="n">
        <v>7</v>
      </c>
      <c r="N13" s="39">
        <f>K13*L13*M13</f>
        <v>504</v>
      </c>
    </row>
    <row r="14">
      <c r="A14" s="18" t="n">
        <v>10</v>
      </c>
      <c r="B14" s="4" t="inlineStr">
        <is>
          <t>広告テスト（日額5,000円×30日）</t>
        </is>
      </c>
      <c r="C14" s="4" t="inlineStr">
        <is>
          <t>実CPAの取得</t>
        </is>
      </c>
      <c r="D14" s="4" t="inlineStr">
        <is>
          <t>要任命</t>
        </is>
      </c>
      <c r="E14" s="4" t="inlineStr">
        <is>
          <t>北野</t>
        </is>
      </c>
      <c r="F14" s="4" t="inlineStr">
        <is>
          <t>9/18</t>
        </is>
      </c>
      <c r="G14" s="4" t="inlineStr">
        <is>
          <t>10/18</t>
        </is>
      </c>
      <c r="H14" s="4" t="inlineStr">
        <is>
          <t>CV≥10件 CPA≤6,000</t>
        </is>
      </c>
      <c r="I14" s="4" t="inlineStr">
        <is>
          <t>未着手</t>
        </is>
      </c>
      <c r="J14" s="4" t="inlineStr">
        <is>
          <t>Gate1判定</t>
        </is>
      </c>
      <c r="K14" s="18" t="n">
        <v>9</v>
      </c>
      <c r="L14" s="18" t="n">
        <v>7</v>
      </c>
      <c r="M14" s="18" t="n">
        <v>7</v>
      </c>
      <c r="N14" s="18">
        <f>K14*L14*M14</f>
        <v>441</v>
      </c>
    </row>
    <row r="15">
      <c r="A15" s="18" t="n">
        <v>11</v>
      </c>
      <c r="B15" s="4" t="inlineStr">
        <is>
          <t>700個の仕入単価を交渉</t>
        </is>
      </c>
      <c r="C15" s="4" t="inlineStr">
        <is>
          <t>▲20%で損益分岐78→50個</t>
        </is>
      </c>
      <c r="D15" s="4" t="inlineStr">
        <is>
          <t>北野</t>
        </is>
      </c>
      <c r="E15" s="4" t="inlineStr">
        <is>
          <t>北野</t>
        </is>
      </c>
      <c r="F15" s="4" t="inlineStr">
        <is>
          <t>9/11</t>
        </is>
      </c>
      <c r="G15" s="4" t="inlineStr">
        <is>
          <t>9/25</t>
        </is>
      </c>
      <c r="H15" s="4" t="inlineStr">
        <is>
          <t>数量別単価の書面回答</t>
        </is>
      </c>
      <c r="I15" s="4" t="inlineStr">
        <is>
          <t>未着手</t>
        </is>
      </c>
      <c r="J15" s="4" t="inlineStr">
        <is>
          <t>再審査</t>
        </is>
      </c>
      <c r="K15" s="18" t="n">
        <v>10</v>
      </c>
      <c r="L15" s="18" t="n">
        <v>7</v>
      </c>
      <c r="M15" s="18" t="n">
        <v>6</v>
      </c>
      <c r="N15" s="18">
        <f>K15*L15*M15</f>
        <v>420</v>
      </c>
    </row>
    <row r="16">
      <c r="A16" s="18" t="n">
        <v>12</v>
      </c>
      <c r="B16" s="4" t="inlineStr">
        <is>
          <t>返品ポリシーとサイズ比較コンテンツ整備</t>
        </is>
      </c>
      <c r="C16" s="4" t="inlineStr">
        <is>
          <t>CVR改善と返品抑制</t>
        </is>
      </c>
      <c r="D16" s="4" t="inlineStr">
        <is>
          <t>要任命</t>
        </is>
      </c>
      <c r="E16" s="4" t="inlineStr">
        <is>
          <t>北野</t>
        </is>
      </c>
      <c r="F16" s="4" t="inlineStr">
        <is>
          <t>9/18</t>
        </is>
      </c>
      <c r="G16" s="4" t="inlineStr">
        <is>
          <t>10/05</t>
        </is>
      </c>
      <c r="H16" s="4" t="inlineStr">
        <is>
          <t>LPに実測重量・容量比較を掲載</t>
        </is>
      </c>
      <c r="I16" s="4" t="inlineStr">
        <is>
          <t>未着手</t>
        </is>
      </c>
      <c r="J16" s="4" t="inlineStr">
        <is>
          <t>CVR計測</t>
        </is>
      </c>
      <c r="K16" s="18" t="n">
        <v>7</v>
      </c>
      <c r="L16" s="18" t="n">
        <v>7</v>
      </c>
      <c r="M16" s="18" t="n">
        <v>8</v>
      </c>
      <c r="N16" s="18">
        <f>K16*L16*M16</f>
        <v>392</v>
      </c>
    </row>
    <row r="18">
      <c r="A18" s="11" t="inlineStr">
        <is>
          <t>今はやらないこと（重要だが今ではない）</t>
        </is>
      </c>
    </row>
    <row r="19">
      <c r="A19" s="47" t="inlineStr">
        <is>
          <t>1. 700個の一括発注 — Gate4を突破するまで凍結。サンクコスト（既払マーケ費・既存在庫）は判断材料にしない。</t>
        </is>
      </c>
    </row>
    <row r="20">
      <c r="A20" s="47" t="inlineStr">
        <is>
          <t>2. 人の増員 — 固定費は黒字化まで増やさない。「人を増やせば解決」は現時点で根拠がない。</t>
        </is>
      </c>
    </row>
    <row r="21">
      <c r="A21" s="47" t="inlineStr">
        <is>
          <t>3. 新チャネル・新SKUの追加 — 既存SKUのCPA・CVRが成立していない段階で広げない。</t>
        </is>
      </c>
    </row>
    <row r="22">
      <c r="A22" s="47" t="inlineStr">
        <is>
          <t>4. 大型の広告増額 — Gate1/2の実測CPAが出るまで日額5,000円を超えない。</t>
        </is>
      </c>
    </row>
    <row r="24">
      <c r="A24" s="11" t="inlineStr">
        <is>
          <t>確認日</t>
        </is>
      </c>
    </row>
    <row r="25">
      <c r="A25" s="57" t="inlineStr">
        <is>
          <t>9/18（Gate0判定）／10/11（Gate1判定）／11/10（Gate2判定）／12/10（Gate3判定）／毎週月曜 KPIレビュー</t>
        </is>
      </c>
    </row>
  </sheetData>
  <mergeCells count="9">
    <mergeCell ref="A18:N18"/>
    <mergeCell ref="A22:N22"/>
    <mergeCell ref="A20:N20"/>
    <mergeCell ref="A21:N21"/>
    <mergeCell ref="A2:N2"/>
    <mergeCell ref="A24:N24"/>
    <mergeCell ref="A25:N25"/>
    <mergeCell ref="A19:N19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54" customWidth="1" min="4" max="4"/>
  </cols>
  <sheetData>
    <row r="1">
      <c r="A1" s="55" t="inlineStr">
        <is>
          <t>プレモーテム・成功要因・最終採点</t>
        </is>
      </c>
    </row>
    <row r="2">
      <c r="A2" s="2" t="inlineStr">
        <is>
          <t>「12ヶ月後に失敗した」と仮定して理由を先に出す。次に「想定以上に成功した」要因を再現条件として抽出する。</t>
        </is>
      </c>
    </row>
    <row r="4">
      <c r="A4" s="11" t="inlineStr">
        <is>
          <t>プレモーテム：12ヶ月後、この事業は失敗した。その理由15個</t>
        </is>
      </c>
    </row>
    <row r="5">
      <c r="A5" s="3" t="inlineStr">
        <is>
          <t>No</t>
        </is>
      </c>
      <c r="B5" s="3" t="inlineStr">
        <is>
          <t>失敗理由</t>
        </is>
      </c>
      <c r="C5" s="3" t="inlineStr">
        <is>
          <t>分類</t>
        </is>
      </c>
      <c r="D5" s="3" t="inlineStr">
        <is>
          <t>対応</t>
        </is>
      </c>
    </row>
    <row r="6">
      <c r="A6" s="4" t="n">
        <v>1</v>
      </c>
      <c r="B6" s="4" t="inlineStr">
        <is>
          <t>700個の在庫が捌けず、半額処分で約271万円の損失を出した</t>
        </is>
      </c>
      <c r="C6" s="4" t="inlineStr">
        <is>
          <t>今防げる</t>
        </is>
      </c>
      <c r="D6" s="4" t="inlineStr">
        <is>
          <t>分割発注に切替／予約販売で需要を先に測る</t>
        </is>
      </c>
    </row>
    <row r="7">
      <c r="A7" s="4" t="n">
        <v>2</v>
      </c>
      <c r="B7" s="45" t="inlineStr">
        <is>
          <t>CPAが6,000円を超え続け、広告を止めたら売上がほぼゼロになった</t>
        </is>
      </c>
      <c r="C7" s="4" t="inlineStr">
        <is>
          <t>今防げる</t>
        </is>
      </c>
      <c r="D7" s="4" t="inlineStr">
        <is>
          <t>小ロットで実CPAを測ってから増資</t>
        </is>
      </c>
    </row>
    <row r="8">
      <c r="A8" s="4" t="n">
        <v>3</v>
      </c>
      <c r="B8" s="4" t="inlineStr">
        <is>
          <t>モール手数料が実は12%で、限界利益が想定の6割しかなかった</t>
        </is>
      </c>
      <c r="C8" s="4" t="inlineStr">
        <is>
          <t>今防げる</t>
        </is>
      </c>
      <c r="D8" s="4" t="inlineStr">
        <is>
          <t>契約書で実負担率を確定（Gate0）</t>
        </is>
      </c>
    </row>
    <row r="9">
      <c r="A9" s="4" t="n">
        <v>4</v>
      </c>
      <c r="B9" s="45" t="inlineStr">
        <is>
          <t>関税・国際送料・倉庫費が1個1,500円かかり、損益分岐が108個/月に跳ねた</t>
        </is>
      </c>
      <c r="C9" s="4" t="inlineStr">
        <is>
          <t>今防げる</t>
        </is>
      </c>
      <c r="D9" s="4" t="inlineStr">
        <is>
          <t>通関業者・3PLに事前見積（Gate0）</t>
        </is>
      </c>
    </row>
    <row r="10">
      <c r="A10" s="4" t="n">
        <v>5</v>
      </c>
      <c r="B10" s="4" t="inlineStr">
        <is>
          <t>仕入代金の支払いで資金が尽き、広告を打てなくなった</t>
        </is>
      </c>
      <c r="C10" s="4" t="inlineStr">
        <is>
          <t>今防げる</t>
        </is>
      </c>
      <c r="D10" s="4" t="inlineStr">
        <is>
          <t>資金繰り表で最大運転資金を先に確定</t>
        </is>
      </c>
    </row>
    <row r="11">
      <c r="A11" s="4" t="n">
        <v>6</v>
      </c>
      <c r="B11" s="4" t="inlineStr">
        <is>
          <t>月58個すら売れず、固定費だけが毎月42万円流出し続けた</t>
        </is>
      </c>
      <c r="C11" s="4" t="inlineStr">
        <is>
          <t>今防げる</t>
        </is>
      </c>
      <c r="D11" s="4" t="inlineStr">
        <is>
          <t>Gate方式で段階投資。未達なら次を出さない</t>
        </is>
      </c>
    </row>
    <row r="12">
      <c r="A12" s="4" t="n">
        <v>7</v>
      </c>
      <c r="B12" s="4" t="inlineStr">
        <is>
          <t>担当者が退職し、運用が経営者に全部戻ってきた</t>
        </is>
      </c>
      <c r="C12" s="4" t="inlineStr">
        <is>
          <t>今防げる</t>
        </is>
      </c>
      <c r="D12" s="4" t="inlineStr">
        <is>
          <t>SOP化・責任者の明文化（17_Action Plan）</t>
        </is>
      </c>
    </row>
    <row r="13">
      <c r="A13" s="4" t="n">
        <v>8</v>
      </c>
      <c r="B13" s="4" t="inlineStr">
        <is>
          <t>L の需要が想定より小さく、L在庫だけが丸ごと残った</t>
        </is>
      </c>
      <c r="C13" s="4" t="inlineStr">
        <is>
          <t>今防げる</t>
        </is>
      </c>
      <c r="D13" s="4" t="inlineStr">
        <is>
          <t>予約販売で実需確認してから発注</t>
        </is>
      </c>
    </row>
    <row r="14">
      <c r="A14" s="4" t="n">
        <v>9</v>
      </c>
      <c r="B14" s="4" t="inlineStr">
        <is>
          <t>季節性を読み違え、閑散期に在庫が積み上がった</t>
        </is>
      </c>
      <c r="C14" s="4" t="inlineStr">
        <is>
          <t>今防げる</t>
        </is>
      </c>
      <c r="D14" s="4" t="inlineStr">
        <is>
          <t>需要の山谷を月次で分解してから発注量を決める</t>
        </is>
      </c>
    </row>
    <row r="15">
      <c r="A15" s="4" t="n">
        <v>10</v>
      </c>
      <c r="B15" s="4" t="inlineStr">
        <is>
          <t>サンクコストに引きずられ、赤字なのに撤退できなかった</t>
        </is>
      </c>
      <c r="C15" s="4" t="inlineStr">
        <is>
          <t>今防げる</t>
        </is>
      </c>
      <c r="D15" s="4" t="inlineStr">
        <is>
          <t>Kill Criteriaを事前に文書化・署名</t>
        </is>
      </c>
    </row>
    <row r="16">
      <c r="A16" s="4" t="n">
        <v>11</v>
      </c>
      <c r="B16" s="4" t="inlineStr">
        <is>
          <t>競合が同型番の廉価版を出し、値下げ競争で粗利が消えた</t>
        </is>
      </c>
      <c r="C16" s="58" t="inlineStr">
        <is>
          <t>開始後に監視</t>
        </is>
      </c>
      <c r="D16" s="4" t="inlineStr">
        <is>
          <t>意匠登録・レビュー資産・バンドルで防御</t>
        </is>
      </c>
    </row>
    <row r="17">
      <c r="A17" s="4" t="n">
        <v>12</v>
      </c>
      <c r="B17" s="4" t="inlineStr">
        <is>
          <t>レビューが集まらずCVRが上がらないまま広告費だけ溶けた</t>
        </is>
      </c>
      <c r="C17" s="58" t="inlineStr">
        <is>
          <t>開始後に監視</t>
        </is>
      </c>
      <c r="D17" s="4" t="inlineStr">
        <is>
          <t>初期購入者フォロー設計をGate1で組む</t>
        </is>
      </c>
    </row>
    <row r="18">
      <c r="A18" s="4" t="n">
        <v>13</v>
      </c>
      <c r="B18" s="4" t="inlineStr">
        <is>
          <t>返品が多発し、大型商品の返送料で限界利益が消えた</t>
        </is>
      </c>
      <c r="C18" s="58" t="inlineStr">
        <is>
          <t>開始後に監視</t>
        </is>
      </c>
      <c r="D18" s="4" t="inlineStr">
        <is>
          <t>返品理由を分類し商品・LPを改善</t>
        </is>
      </c>
    </row>
    <row r="19">
      <c r="A19" s="4" t="n">
        <v>14</v>
      </c>
      <c r="B19" s="4" t="inlineStr">
        <is>
          <t>円安で原価が20%上がり、売価を上げられず赤字化した</t>
        </is>
      </c>
      <c r="C19" s="58" t="inlineStr">
        <is>
          <t>開始後に監視</t>
        </is>
      </c>
      <c r="D19" s="4" t="inlineStr">
        <is>
          <t>為替予約／分割発注で平準化</t>
        </is>
      </c>
    </row>
    <row r="20">
      <c r="A20" s="4" t="n">
        <v>15</v>
      </c>
      <c r="B20" s="4" t="inlineStr">
        <is>
          <t>スーツケース市場そのものが縮小し、何をしても数量が出なかった</t>
        </is>
      </c>
      <c r="C20" s="10" t="inlineStr">
        <is>
          <t>防げない</t>
        </is>
      </c>
      <c r="D20" s="4" t="inlineStr">
        <is>
          <t>早期に撤退できる在庫水準を維持する</t>
        </is>
      </c>
    </row>
    <row r="22">
      <c r="A22" s="11" t="inlineStr">
        <is>
          <t>逆に想定以上に成功したとしたら：再現可能な成功要因10個</t>
        </is>
      </c>
    </row>
    <row r="23">
      <c r="A23" s="3" t="inlineStr">
        <is>
          <t>No</t>
        </is>
      </c>
      <c r="B23" s="3" t="inlineStr">
        <is>
          <t>成功要因</t>
        </is>
      </c>
      <c r="C23" s="3" t="inlineStr">
        <is>
          <t>再現性</t>
        </is>
      </c>
      <c r="D23" s="3" t="inlineStr">
        <is>
          <t>必要条件</t>
        </is>
      </c>
    </row>
    <row r="24">
      <c r="A24" s="4" t="n">
        <v>1</v>
      </c>
      <c r="B24" s="45" t="inlineStr">
        <is>
          <t>700個発注で仕入単価が▲20%下がり、限界利益が8,512円になった</t>
        </is>
      </c>
      <c r="C24" s="59" t="inlineStr">
        <is>
          <t>高</t>
        </is>
      </c>
      <c r="D24" s="4" t="inlineStr">
        <is>
          <t>数量割引の書面確約</t>
        </is>
      </c>
    </row>
    <row r="25">
      <c r="A25" s="4" t="n">
        <v>2</v>
      </c>
      <c r="B25" s="4" t="inlineStr">
        <is>
          <t>L の予約販売が想定を超え、在庫を持つ前に需要が確定した</t>
        </is>
      </c>
      <c r="C25" s="59" t="inlineStr">
        <is>
          <t>高</t>
        </is>
      </c>
      <c r="D25" s="4" t="inlineStr">
        <is>
          <t>予約ページの公開と14日の計測</t>
        </is>
      </c>
    </row>
    <row r="26">
      <c r="A26" s="4" t="n">
        <v>3</v>
      </c>
      <c r="B26" s="4" t="inlineStr">
        <is>
          <t>固定費を月30万円以下に抑えたまま数量を伸ばした</t>
        </is>
      </c>
      <c r="C26" s="59" t="inlineStr">
        <is>
          <t>高</t>
        </is>
      </c>
      <c r="D26" s="4" t="inlineStr">
        <is>
          <t>黒字化まで増員しない規律</t>
        </is>
      </c>
    </row>
    <row r="27">
      <c r="A27" s="4" t="n">
        <v>4</v>
      </c>
      <c r="B27" s="4" t="inlineStr">
        <is>
          <t>分割発注で在庫回転90日を維持し、資金が寝なかった</t>
        </is>
      </c>
      <c r="C27" s="59" t="inlineStr">
        <is>
          <t>高</t>
        </is>
      </c>
      <c r="D27" s="4" t="inlineStr">
        <is>
          <t>分割発注の条件取得</t>
        </is>
      </c>
    </row>
    <row r="28">
      <c r="A28" s="4" t="n">
        <v>5</v>
      </c>
      <c r="B28" s="4" t="inlineStr">
        <is>
          <t>Kill Criteriaを守り、ダメなSKUを早期に切った</t>
        </is>
      </c>
      <c r="C28" s="59" t="inlineStr">
        <is>
          <t>高</t>
        </is>
      </c>
      <c r="D28" s="4" t="inlineStr">
        <is>
          <t>撤退基準の文書化と実行</t>
        </is>
      </c>
    </row>
    <row r="29">
      <c r="A29" s="4" t="n">
        <v>6</v>
      </c>
      <c r="B29" s="4" t="inlineStr">
        <is>
          <t>レビュー200件超が積み上がり、自然流入で売れる状態になった</t>
        </is>
      </c>
      <c r="C29" s="4" t="inlineStr">
        <is>
          <t>中</t>
        </is>
      </c>
      <c r="D29" s="4" t="inlineStr">
        <is>
          <t>初期購入者フォローの仕組み</t>
        </is>
      </c>
    </row>
    <row r="30">
      <c r="A30" s="4" t="n">
        <v>7</v>
      </c>
      <c r="B30" s="4" t="inlineStr">
        <is>
          <t>CPAが3,600円に下がり、月87個で黒字化した</t>
        </is>
      </c>
      <c r="C30" s="4" t="inlineStr">
        <is>
          <t>中</t>
        </is>
      </c>
      <c r="D30" s="4" t="inlineStr">
        <is>
          <t>クリエイティブの継続改善とLP最適化</t>
        </is>
      </c>
    </row>
    <row r="31">
      <c r="A31" s="4" t="n">
        <v>8</v>
      </c>
      <c r="B31" s="4" t="inlineStr">
        <is>
          <t>機内持込サイズなど明確なニッチで一位を取った</t>
        </is>
      </c>
      <c r="C31" s="4" t="inlineStr">
        <is>
          <t>中</t>
        </is>
      </c>
      <c r="D31" s="4" t="inlineStr">
        <is>
          <t>SKUを絞る意思決定</t>
        </is>
      </c>
    </row>
    <row r="32">
      <c r="A32" s="4" t="n">
        <v>9</v>
      </c>
      <c r="B32" s="4" t="inlineStr">
        <is>
          <t>自社EC比率を上げ、モール手数料を4%に抑え続けられた</t>
        </is>
      </c>
      <c r="C32" s="4" t="inlineStr">
        <is>
          <t>中</t>
        </is>
      </c>
      <c r="D32" s="4" t="inlineStr">
        <is>
          <t>自社ECへの送客導線</t>
        </is>
      </c>
    </row>
    <row r="33">
      <c r="A33" s="4" t="n">
        <v>10</v>
      </c>
      <c r="B33" s="4" t="inlineStr">
        <is>
          <t>返品率3%以下を維持し、限界利益が計画通り残った</t>
        </is>
      </c>
      <c r="C33" s="4" t="inlineStr">
        <is>
          <t>中</t>
        </is>
      </c>
      <c r="D33" s="4" t="inlineStr">
        <is>
          <t>サイズ比較コンテンツと品質検査</t>
        </is>
      </c>
    </row>
    <row r="35">
      <c r="A35" s="11" t="inlineStr">
        <is>
          <t>A｜最終投資審査 採点（12項目）</t>
        </is>
      </c>
    </row>
    <row r="36">
      <c r="A36" s="3" t="inlineStr"/>
      <c r="B36" s="3" t="inlineStr">
        <is>
          <t>評価項目</t>
        </is>
      </c>
      <c r="C36" s="3" t="inlineStr">
        <is>
          <t>点数 /100</t>
        </is>
      </c>
      <c r="D36" s="3" t="inlineStr">
        <is>
          <t>評価理由</t>
        </is>
      </c>
    </row>
    <row r="37">
      <c r="A37" s="4" t="inlineStr"/>
      <c r="B37" s="4" t="inlineStr">
        <is>
          <t>市場性</t>
        </is>
      </c>
      <c r="C37" s="39" t="n">
        <v>55</v>
      </c>
      <c r="D37" s="45" t="inlineStr">
        <is>
          <t>市場は存在するが成熟・レッドオーシャン。TAM/SAM/SOMの実データ未提出</t>
        </is>
      </c>
    </row>
    <row r="38">
      <c r="A38" s="4" t="inlineStr"/>
      <c r="B38" s="4" t="inlineStr">
        <is>
          <t>顧客課題</t>
        </is>
      </c>
      <c r="C38" s="39" t="n">
        <v>45</v>
      </c>
      <c r="D38" s="45" t="inlineStr">
        <is>
          <t>PainkillerではなくVitamin。買替サイクル5〜10年で緊急性が低く先送りされやすい</t>
        </is>
      </c>
    </row>
    <row r="39">
      <c r="A39" s="4" t="inlineStr"/>
      <c r="B39" s="4" t="inlineStr">
        <is>
          <t>商品力</t>
        </is>
      </c>
      <c r="C39" s="39" t="n">
        <v>50</v>
      </c>
      <c r="D39" s="4" t="inlineStr">
        <is>
          <t>機能・品質の差別化情報が未提出。最も競争が激しい2〜3万円帯</t>
        </is>
      </c>
    </row>
    <row r="40">
      <c r="A40" s="4" t="inlineStr"/>
      <c r="B40" s="4" t="inlineStr">
        <is>
          <t>競争優位性</t>
        </is>
      </c>
      <c r="C40" s="25" t="n">
        <v>30</v>
      </c>
      <c r="D40" s="45" t="inlineStr">
        <is>
          <t>USP・意匠・レビュー資産のいずれも未確認。コピーされやすい構造</t>
        </is>
      </c>
    </row>
    <row r="41">
      <c r="A41" s="4" t="inlineStr"/>
      <c r="B41" s="4" t="inlineStr">
        <is>
          <t>粗利構造</t>
        </is>
      </c>
      <c r="C41" s="39" t="n">
        <v>55</v>
      </c>
      <c r="D41" s="45" t="inlineStr">
        <is>
          <t>粗利率37.2%。EC物販の健全値50%に届かない。未算入コストでさらに低下</t>
        </is>
      </c>
    </row>
    <row r="42">
      <c r="A42" s="4" t="inlineStr"/>
      <c r="B42" s="4" t="inlineStr">
        <is>
          <t>ユニットエコノミクス</t>
        </is>
      </c>
      <c r="C42" s="25" t="n">
        <v>35</v>
      </c>
      <c r="D42" s="45" t="inlineStr">
        <is>
          <t>限界利益5,432円・率20.3%。限界利益ベースのLTV/CAC 1.2倍は危険水準</t>
        </is>
      </c>
    </row>
    <row r="43">
      <c r="A43" s="4" t="inlineStr"/>
      <c r="B43" s="4" t="inlineStr">
        <is>
          <t>広告再現性</t>
        </is>
      </c>
      <c r="C43" s="25" t="n">
        <v>20</v>
      </c>
      <c r="D43" s="45" t="inlineStr">
        <is>
          <t>CPA・CVR・ROASの実績が一切ない。再現性が評価できない＝投資できない</t>
        </is>
      </c>
    </row>
    <row r="44">
      <c r="A44" s="4" t="inlineStr"/>
      <c r="B44" s="4" t="inlineStr">
        <is>
          <t>オペレーション</t>
        </is>
      </c>
      <c r="C44" s="39" t="n">
        <v>40</v>
      </c>
      <c r="D44" s="45" t="inlineStr">
        <is>
          <t>700個の保管・在庫回転・3PL計画が未提出。回転362日は不健全</t>
        </is>
      </c>
    </row>
    <row r="45">
      <c r="A45" s="4" t="inlineStr"/>
      <c r="B45" s="4" t="inlineStr">
        <is>
          <t>組織</t>
        </is>
      </c>
      <c r="C45" s="25" t="n">
        <v>35</v>
      </c>
      <c r="D45" s="45" t="inlineStr">
        <is>
          <t>責任者未指名の業務が多数。経営者依存。給与300万W1名前提の体制</t>
        </is>
      </c>
    </row>
    <row r="46">
      <c r="A46" s="4" t="inlineStr"/>
      <c r="B46" s="4" t="inlineStr">
        <is>
          <t>キャッシュ耐性</t>
        </is>
      </c>
      <c r="C46" s="25" t="n">
        <v>25</v>
      </c>
      <c r="D46" s="45" t="inlineStr">
        <is>
          <t>最大運転資金1,420万円に対し手元資金が未開示。過去9ヶ月支出の3.4倍を先出しする</t>
        </is>
      </c>
    </row>
    <row r="47">
      <c r="A47" s="4" t="inlineStr"/>
      <c r="B47" s="4" t="inlineStr">
        <is>
          <t>スケーラビリティ</t>
        </is>
      </c>
      <c r="C47" s="39" t="n">
        <v>45</v>
      </c>
      <c r="D47" s="4" t="inlineStr">
        <is>
          <t>在庫型・低リピート。数量を伸ばすほど運転資金が比例して必要</t>
        </is>
      </c>
    </row>
    <row r="48">
      <c r="A48" s="4" t="inlineStr"/>
      <c r="B48" s="4" t="inlineStr">
        <is>
          <t>リスク耐性</t>
        </is>
      </c>
      <c r="C48" s="25" t="n">
        <v>25</v>
      </c>
      <c r="D48" s="45" t="inlineStr">
        <is>
          <t>Score20以上のリスクが複数。撤退基準が未設定。滞留在庫が全損に近い形で効く</t>
        </is>
      </c>
    </row>
    <row r="49">
      <c r="A49" s="24" t="inlineStr"/>
      <c r="B49" s="24" t="inlineStr">
        <is>
          <t>総合スコア</t>
        </is>
      </c>
      <c r="C49" s="60">
        <f>AVERAGE(C37:C48)</f>
        <v>38.333333333333336</v>
      </c>
      <c r="D49" s="61" t="inlineStr">
        <is>
          <t>0〜39＝即却下 ／ 40〜59＝原則NO GO ／ 60〜69＝大幅修正 ／ 70〜79＝小規模テストのみ ／ 80〜89＝条件付きGO ／ 90〜＝即GO</t>
        </is>
      </c>
    </row>
    <row r="50">
      <c r="A50" s="24" t="inlineStr"/>
      <c r="B50" s="24" t="inlineStr">
        <is>
          <t>最終判断</t>
        </is>
      </c>
      <c r="C50" s="28" t="inlineStr">
        <is>
          <t>中止（700個一括）</t>
        </is>
      </c>
      <c r="D50" s="61" t="inlineStr">
        <is>
          <t>小規模テストのみ実施（Gate0〜Gate3）。700個の一括発注は承認しない</t>
        </is>
      </c>
    </row>
    <row r="52">
      <c r="A52" s="11" t="inlineStr">
        <is>
          <t>注記</t>
        </is>
      </c>
    </row>
    <row r="53">
      <c r="A53" s="2" t="inlineStr">
        <is>
          <t>★この採点は提供データに基づく。評価が低い項目の多くは「データが未提出で評価できない」ことによる減点。</t>
        </is>
      </c>
    </row>
    <row r="54">
      <c r="A54" s="2" t="inlineStr">
        <is>
          <t>実績販売数・CPA・CVR・返品率・手元キャッシュ・700個の数量割引単価 が提出されれば、採点は大きく変わりうる（特に広告再現性20点、キャッシュ耐性25点）。</t>
        </is>
      </c>
    </row>
    <row r="55">
      <c r="A55" s="2" t="inlineStr">
        <is>
          <t>ただし「標準ケースで年間赤字」という構造的問題は、数量割引か固定費削減がない限りデータ提出だけでは解消しない。</t>
        </is>
      </c>
    </row>
  </sheetData>
  <mergeCells count="9">
    <mergeCell ref="A1:D1"/>
    <mergeCell ref="A22:D22"/>
    <mergeCell ref="A53:D53"/>
    <mergeCell ref="A35:D35"/>
    <mergeCell ref="A4:D4"/>
    <mergeCell ref="A54:D54"/>
    <mergeCell ref="A55:D55"/>
    <mergeCell ref="A52:D5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2026-09-11T20:31:54Z</dcterms:created>
  <dcterms:modified xsi:type="dcterms:W3CDTF">2026-09-11T20:31:55Z</dcterms:modified>
</cp:coreProperties>
</file>