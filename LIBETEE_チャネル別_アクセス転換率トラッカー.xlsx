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_使い方" sheetId="1" state="visible" r:id="rId1"/>
    <sheet name="01_日次入力" sheetId="2" state="visible" r:id="rId2"/>
    <sheet name="02_メタ広告" sheetId="3" state="visible" r:id="rId3"/>
    <sheet name="03_週次サマリー" sheetId="4" state="visible" r:id="rId4"/>
    <sheet name="04_実績比較" sheetId="5" state="visible" r:id="rId5"/>
    <sheet name="00_設定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¥#,##0"/>
    <numFmt numFmtId="166" formatCode="0.0%"/>
    <numFmt numFmtId="167" formatCode="yyyy/mm/dd"/>
    <numFmt numFmtId="168" formatCode="#,##0.0"/>
    <numFmt numFmtId="169" formatCode="0.000%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sz val="9"/>
    </font>
    <font>
      <name val="Arial"/>
      <b val="1"/>
      <sz val="11"/>
    </font>
    <font>
      <name val="Arial"/>
      <b val="1"/>
      <color rgb="FFFFFFFF"/>
      <sz val="9"/>
    </font>
    <font>
      <name val="Arial"/>
      <sz val="10"/>
    </font>
    <font>
      <name val="Arial"/>
      <color rgb="FF0000FF"/>
      <sz val="10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4F9FB"/>
      </patternFill>
    </fill>
    <fill>
      <patternFill patternType="solid">
        <fgColor rgb="FFEAF4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5" borderId="1" pivotButton="0" quotePrefix="0" xfId="0"/>
    <xf numFmtId="0" fontId="2" fillId="0" borderId="1" applyAlignment="1" pivotButton="0" quotePrefix="0" xfId="0">
      <alignment vertical="center" wrapText="1"/>
    </xf>
    <xf numFmtId="3" fontId="6" fillId="5" borderId="1" pivotButton="0" quotePrefix="0" xfId="0"/>
    <xf numFmtId="165" fontId="5" fillId="0" borderId="1" pivotButton="0" quotePrefix="0" xfId="0"/>
    <xf numFmtId="166" fontId="6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1" fillId="2" borderId="0" applyAlignment="1" pivotButton="0" quotePrefix="0" xfId="0">
      <alignment horizontal="center" vertical="center"/>
    </xf>
    <xf numFmtId="167" fontId="5" fillId="9" borderId="1" pivotButton="0" quotePrefix="0" xfId="0"/>
    <xf numFmtId="0" fontId="5" fillId="9" borderId="1" pivotButton="0" quotePrefix="0" xfId="0"/>
    <xf numFmtId="3" fontId="5" fillId="10" borderId="1" pivotButton="0" quotePrefix="0" xfId="0"/>
    <xf numFmtId="166" fontId="5" fillId="0" borderId="1" pivotButton="0" quotePrefix="0" xfId="0"/>
    <xf numFmtId="3" fontId="5" fillId="0" borderId="1" pivotButton="0" quotePrefix="0" xfId="0"/>
    <xf numFmtId="0" fontId="3" fillId="0" borderId="1" applyAlignment="1" pivotButton="0" quotePrefix="0" xfId="0">
      <alignment horizontal="center" vertical="center"/>
    </xf>
    <xf numFmtId="167" fontId="5" fillId="0" borderId="1" pivotButton="0" quotePrefix="0" xfId="0"/>
    <xf numFmtId="167" fontId="5" fillId="9" borderId="1" pivotButton="0" quotePrefix="0" xfId="0"/>
    <xf numFmtId="167" fontId="5" fillId="0" borderId="1" pivotButton="0" quotePrefix="0" xfId="0"/>
    <xf numFmtId="0" fontId="1" fillId="2" borderId="0" applyAlignment="1" pivotButton="0" quotePrefix="0" xfId="0">
      <alignment horizontal="center" vertical="center"/>
    </xf>
    <xf numFmtId="168" fontId="5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pivotButton="0" quotePrefix="0" xfId="0"/>
    <xf numFmtId="167" fontId="5" fillId="5" borderId="1" pivotButton="0" quotePrefix="0" xfId="0"/>
    <xf numFmtId="0" fontId="5" fillId="5" borderId="1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10" fontId="5" fillId="0" borderId="1" pivotButton="0" quotePrefix="0" xfId="0"/>
    <xf numFmtId="169" fontId="5" fillId="7" borderId="1" pivotButton="0" quotePrefix="0" xfId="0"/>
    <xf numFmtId="0" fontId="3" fillId="0" borderId="1" applyAlignment="1" pivotButton="0" quotePrefix="0" xfId="0">
      <alignment horizontal="center" vertical="center"/>
    </xf>
    <xf numFmtId="169" fontId="5" fillId="8" borderId="1" pivotButton="0" quotePrefix="0" xfId="0"/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62" customWidth="1" min="3" max="3"/>
  </cols>
  <sheetData>
    <row r="1">
      <c r="A1" s="30" t="inlineStr">
        <is>
          <t>使い方（1日3分）</t>
        </is>
      </c>
    </row>
    <row r="2">
      <c r="A2" s="2" t="inlineStr">
        <is>
          <t>毎日やること、週1回やること、数字の取り方の順で書いてあります。</t>
        </is>
      </c>
    </row>
    <row r="4">
      <c r="A4" s="3" t="inlineStr">
        <is>
          <t>毎日（3分）</t>
        </is>
      </c>
    </row>
    <row r="5">
      <c r="A5" s="5" t="n">
        <v>1</v>
      </c>
      <c r="B5" s="5" t="inlineStr">
        <is>
          <t>01_日次入力 に1行ずつ足す</t>
        </is>
      </c>
      <c r="C5" s="31" t="inlineStr">
        <is>
          <t>NAVER・Coupang それぞれ1行。日付・訪問者数・商品閲覧・カート追加・注文数・売上・在庫状態を入れる。</t>
        </is>
      </c>
    </row>
    <row r="6">
      <c r="A6" s="5" t="n">
        <v>2</v>
      </c>
      <c r="B6" s="5" t="inlineStr">
        <is>
          <t>02_メタ広告 に1行足す</t>
        </is>
      </c>
      <c r="C6" s="31" t="inlineStr">
        <is>
          <t>広告を回している日だけ。広告費・表示回数・クリック・LPビュー・CV・売上。</t>
        </is>
      </c>
    </row>
    <row r="7">
      <c r="A7" s="5" t="n">
        <v>3</v>
      </c>
      <c r="B7" s="5" t="inlineStr">
        <is>
          <t>P列/16列の判定マークを見る</t>
        </is>
      </c>
      <c r="C7" s="5" t="inlineStr">
        <is>
          <t>✕ が出たらその日のうちに原因を1つメモ欄に書く。</t>
        </is>
      </c>
    </row>
    <row r="9">
      <c r="A9" s="3" t="inlineStr">
        <is>
          <t>週1回（10分）</t>
        </is>
      </c>
    </row>
    <row r="10">
      <c r="A10" s="5" t="n">
        <v>1</v>
      </c>
      <c r="B10" s="5" t="inlineStr">
        <is>
          <t>03_週次サマリー の週開始日を今週に更新</t>
        </is>
      </c>
      <c r="C10" s="5" t="inlineStr">
        <is>
          <t>月曜の日付を入れるだけで自動集計される。</t>
        </is>
      </c>
    </row>
    <row r="11">
      <c r="A11" s="5" t="n">
        <v>2</v>
      </c>
      <c r="B11" s="5" t="inlineStr">
        <is>
          <t>カート率 と カート→注文率 を見る</t>
        </is>
      </c>
      <c r="C11" s="31" t="inlineStr">
        <is>
          <t>カート率が低い＝集客か商品ページの問題。カート→注文が低い＝在庫・送料・決済の問題。</t>
        </is>
      </c>
    </row>
    <row r="12">
      <c r="A12" s="5" t="n">
        <v>3</v>
      </c>
      <c r="B12" s="5" t="inlineStr">
        <is>
          <t>在庫「無」の日を除いて判断する</t>
        </is>
      </c>
      <c r="C12" s="5" t="inlineStr">
        <is>
          <t>在庫切れの週の転換率は実力を表さない。</t>
        </is>
      </c>
    </row>
    <row r="14">
      <c r="A14" s="3" t="inlineStr">
        <is>
          <t>数字の取り方</t>
        </is>
      </c>
    </row>
    <row r="15">
      <c r="A15" s="5" t="inlineStr">
        <is>
          <t>NAVER</t>
        </is>
      </c>
      <c r="B15" s="5" t="inlineStr">
        <is>
          <t>訪問者数 / 商品閲覧</t>
        </is>
      </c>
      <c r="C15" s="31" t="inlineStr">
        <is>
          <t>스마트스토어센터 → 통계 → 마켓별 유입 または 전체 요약</t>
        </is>
      </c>
    </row>
    <row r="16">
      <c r="A16" s="5" t="inlineStr">
        <is>
          <t>NAVER</t>
        </is>
      </c>
      <c r="B16" s="5" t="inlineStr">
        <is>
          <t>カート追加</t>
        </is>
      </c>
      <c r="C16" s="31" t="inlineStr">
        <is>
          <t>통계 → 판매분석 → 마케팅분석 の장바구니 지표。取れない場合は空欄でOK</t>
        </is>
      </c>
    </row>
    <row r="17">
      <c r="A17" s="5" t="inlineStr">
        <is>
          <t>NAVER</t>
        </is>
      </c>
      <c r="B17" s="5" t="inlineStr">
        <is>
          <t>注文数 / 売上</t>
        </is>
      </c>
      <c r="C17" s="5" t="inlineStr">
        <is>
          <t>판매관리 → 주문 통합검색（취소・반품を除いた確정 기준）</t>
        </is>
      </c>
    </row>
    <row r="18">
      <c r="A18" s="5" t="inlineStr">
        <is>
          <t>Coupang</t>
        </is>
      </c>
      <c r="B18" s="5" t="inlineStr">
        <is>
          <t>訪問者 / 商品閲覧 / カート</t>
        </is>
      </c>
      <c r="C18" s="5" t="inlineStr">
        <is>
          <t>쿠팡 윙 → 통계 → 상품별 판매 현황・유입 통계</t>
        </is>
      </c>
    </row>
    <row r="19">
      <c r="A19" s="5" t="inlineStr">
        <is>
          <t>Coupang</t>
        </is>
      </c>
      <c r="B19" s="5" t="inlineStr">
        <is>
          <t>注文数 / 売上</t>
        </is>
      </c>
      <c r="C19" s="5" t="inlineStr">
        <is>
          <t>쿠팡 윙 → 주문/배송 관리</t>
        </is>
      </c>
    </row>
    <row r="20">
      <c r="A20" s="5" t="inlineStr">
        <is>
          <t>メタ広告</t>
        </is>
      </c>
      <c r="B20" s="5" t="inlineStr">
        <is>
          <t>広告費/表示回数/クリック/LPビュー/CV</t>
        </is>
      </c>
      <c r="C20" s="31" t="inlineStr">
        <is>
          <t>広告マネージャ → 列をカスタマイズ →「ランディングページビュー」「購入」「購入コンバージョン値」を追加</t>
        </is>
      </c>
    </row>
    <row r="21">
      <c r="A21" s="5" t="inlineStr">
        <is>
          <t>共通</t>
        </is>
      </c>
      <c r="B21" s="5" t="inlineStr">
        <is>
          <t>在庫状態</t>
        </is>
      </c>
      <c r="C21" s="31" t="inlineStr">
        <is>
          <t>その日の在庫が 有／僅少（5個以下）／無 のどれか。判断の前提になるので必ず入れる</t>
        </is>
      </c>
    </row>
    <row r="23">
      <c r="A23" s="3" t="inlineStr">
        <is>
          <t>注記</t>
        </is>
      </c>
    </row>
    <row r="24">
      <c r="A24" s="2" t="inlineStr">
        <is>
          <t>分からない項目は空欄のままで構いません。空欄の指標は自動で空欄になり、判定も出ません。</t>
        </is>
      </c>
    </row>
    <row r="25">
      <c r="A25" s="2" t="inlineStr">
        <is>
          <t>★ただし「カート追加」と「在庫状態」の2つだけは、可能な限り毎日入れてください。この2つが無いと、売れない原因を切り分けられません。</t>
        </is>
      </c>
    </row>
  </sheetData>
  <mergeCells count="8">
    <mergeCell ref="A25:C25"/>
    <mergeCell ref="A1:C1"/>
    <mergeCell ref="A23:C23"/>
    <mergeCell ref="A14:C14"/>
    <mergeCell ref="A9:C9"/>
    <mergeCell ref="A4:C4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0" customWidth="1" min="6" max="6"/>
    <col width="13" customWidth="1" min="7" max="7"/>
    <col width="11" customWidth="1" min="8" max="8"/>
    <col width="12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0" customWidth="1" min="16" max="16"/>
    <col width="34" customWidth="1" min="17" max="17"/>
  </cols>
  <sheetData>
    <row r="1">
      <c r="A1" s="24" t="inlineStr">
        <is>
          <t>ストア 日次入力（NAVER / Coupang / 自社EC）</t>
        </is>
      </c>
    </row>
    <row r="2">
      <c r="A2" s="2" t="inlineStr">
        <is>
          <t>青の枠（C〜J列）だけ毎日入れてください。K列から右は自動計算です。1日1チャネル1行。</t>
        </is>
      </c>
    </row>
    <row r="4">
      <c r="A4" s="4" t="inlineStr">
        <is>
          <t>日付</t>
        </is>
      </c>
      <c r="B4" s="4" t="inlineStr">
        <is>
          <t>チャネル</t>
        </is>
      </c>
      <c r="C4" s="4" t="inlineStr">
        <is>
          <t>訪問者数</t>
        </is>
      </c>
      <c r="D4" s="4" t="inlineStr">
        <is>
          <t>商品閲覧</t>
        </is>
      </c>
      <c r="E4" s="4" t="inlineStr">
        <is>
          <t>カート追加</t>
        </is>
      </c>
      <c r="F4" s="4" t="inlineStr">
        <is>
          <t>注文数</t>
        </is>
      </c>
      <c r="G4" s="4" t="inlineStr">
        <is>
          <t>売上(W)</t>
        </is>
      </c>
      <c r="H4" s="4" t="inlineStr">
        <is>
          <t>在庫状態</t>
        </is>
      </c>
      <c r="I4" s="4" t="inlineStr">
        <is>
          <t>広告費(W)</t>
        </is>
      </c>
      <c r="J4" s="4" t="inlineStr">
        <is>
          <t>カート率</t>
        </is>
      </c>
      <c r="K4" s="4" t="inlineStr">
        <is>
          <t>カート→注文</t>
        </is>
      </c>
      <c r="L4" s="4" t="inlineStr">
        <is>
          <t>購入転換率</t>
        </is>
      </c>
      <c r="M4" s="4" t="inlineStr">
        <is>
          <t>客単価(W)</t>
        </is>
      </c>
      <c r="N4" s="4" t="inlineStr">
        <is>
          <t>CPA(W)</t>
        </is>
      </c>
      <c r="O4" s="4" t="inlineStr">
        <is>
          <t>広告費率</t>
        </is>
      </c>
      <c r="P4" s="4" t="inlineStr">
        <is>
          <t>判定</t>
        </is>
      </c>
      <c r="Q4" s="4" t="inlineStr">
        <is>
          <t>メモ</t>
        </is>
      </c>
    </row>
    <row r="5">
      <c r="A5" s="22" t="n">
        <v>46275</v>
      </c>
      <c r="B5" s="16" t="inlineStr">
        <is>
          <t>NAVER</t>
        </is>
      </c>
      <c r="C5" s="17" t="n">
        <v>374</v>
      </c>
      <c r="D5" s="17" t="n"/>
      <c r="E5" s="17" t="n"/>
      <c r="F5" s="17" t="n">
        <v>0</v>
      </c>
      <c r="G5" s="17" t="n">
        <v>0</v>
      </c>
      <c r="H5" s="16" t="inlineStr">
        <is>
          <t>有</t>
        </is>
      </c>
      <c r="I5" s="17" t="n"/>
      <c r="J5" s="18">
        <f>IF(OR($C5="",$E5=""),"",$E5/$C5)</f>
        <v/>
      </c>
      <c r="K5" s="18">
        <f>IF(OR($E5="",$E5=0,$F5=""),"",$F5/$E5)</f>
        <v/>
      </c>
      <c r="L5" s="18">
        <f>IF(OR($C5="",$F5=""),"",$F5/$C5)</f>
        <v/>
      </c>
      <c r="M5" s="19">
        <f>IF(OR($F5="",$F5=0,$G5=""),"",$G5/$F5)</f>
        <v/>
      </c>
      <c r="N5" s="19">
        <f>IF(OR($I5="",$F5="",$F5=0),"",$I5/$F5)</f>
        <v/>
      </c>
      <c r="O5" s="18">
        <f>IF(OR($I5="",$G5="",$G5=0),"",$I5/$G5)</f>
        <v/>
      </c>
      <c r="P5" s="26">
        <f>IF($L5="","",IF($L5&gt;='00_設定'!$B$12,"◎",IF($L5&gt;='00_設定'!$B$13,"○",IF($L5&gt;=0.002,"▲","✕"))))</f>
        <v/>
      </c>
      <c r="Q5" s="7" t="inlineStr">
        <is>
          <t>予約分11件を発送完了（新規注文ではない）</t>
        </is>
      </c>
    </row>
    <row r="6">
      <c r="A6" s="23" t="n">
        <v>46275</v>
      </c>
      <c r="B6" s="5" t="inlineStr">
        <is>
          <t>Coupang</t>
        </is>
      </c>
      <c r="C6" s="17" t="n">
        <v>5</v>
      </c>
      <c r="D6" s="17" t="n">
        <v>6</v>
      </c>
      <c r="E6" s="17" t="n">
        <v>0</v>
      </c>
      <c r="F6" s="17" t="n">
        <v>0</v>
      </c>
      <c r="G6" s="17" t="n">
        <v>0</v>
      </c>
      <c r="H6" s="5" t="inlineStr">
        <is>
          <t>無</t>
        </is>
      </c>
      <c r="I6" s="17" t="n"/>
      <c r="J6" s="18">
        <f>IF(OR($C6="",$E6=""),"",$E6/$C6)</f>
        <v/>
      </c>
      <c r="K6" s="18">
        <f>IF(OR($E6="",$E6=0,$F6=""),"",$F6/$E6)</f>
        <v/>
      </c>
      <c r="L6" s="18">
        <f>IF(OR($C6="",$F6=""),"",$F6/$C6)</f>
        <v/>
      </c>
      <c r="M6" s="19">
        <f>IF(OR($F6="",$F6=0,$G6=""),"",$G6/$F6)</f>
        <v/>
      </c>
      <c r="N6" s="19">
        <f>IF(OR($I6="",$F6="",$F6=0),"",$I6/$F6)</f>
        <v/>
      </c>
      <c r="O6" s="18">
        <f>IF(OR($I6="",$G6="",$G6=0),"",$I6/$G6)</f>
        <v/>
      </c>
      <c r="P6" s="26">
        <f>IF($L6="","",IF($L6&gt;='00_設定'!$B$12,"◎",IF($L6&gt;='00_設定'!$B$13,"○",IF($L6&gt;=0.002,"▲","✕"))))</f>
        <v/>
      </c>
      <c r="Q6" s="7" t="inlineStr">
        <is>
          <t>在庫切れのため再登録前</t>
        </is>
      </c>
    </row>
    <row r="7">
      <c r="A7" s="22" t="n">
        <v>46274</v>
      </c>
      <c r="B7" s="16" t="inlineStr">
        <is>
          <t>NAVER</t>
        </is>
      </c>
      <c r="C7" s="17" t="n"/>
      <c r="D7" s="17" t="n"/>
      <c r="E7" s="17" t="n"/>
      <c r="F7" s="17" t="n"/>
      <c r="G7" s="17" t="n"/>
      <c r="H7" s="16" t="inlineStr">
        <is>
          <t>有</t>
        </is>
      </c>
      <c r="I7" s="17" t="inlineStr"/>
      <c r="J7" s="18">
        <f>IF(OR($C7="",$E7=""),"",$E7/$C7)</f>
        <v/>
      </c>
      <c r="K7" s="18">
        <f>IF(OR($E7="",$E7=0,$F7=""),"",$F7/$E7)</f>
        <v/>
      </c>
      <c r="L7" s="18">
        <f>IF(OR($C7="",$F7=""),"",$F7/$C7)</f>
        <v/>
      </c>
      <c r="M7" s="19">
        <f>IF(OR($F7="",$F7=0,$G7=""),"",$G7/$F7)</f>
        <v/>
      </c>
      <c r="N7" s="19">
        <f>IF(OR($I7="",$F7="",$F7=0),"",$I7/$F7)</f>
        <v/>
      </c>
      <c r="O7" s="18">
        <f>IF(OR($I7="",$G7="",$G7=0),"",$I7/$G7)</f>
        <v/>
      </c>
      <c r="P7" s="26">
        <f>IF($L7="","",IF($L7&gt;='00_設定'!$B$12,"◎",IF($L7&gt;='00_設定'!$B$13,"○",IF($L7&gt;=0.002,"▲","✕"))))</f>
        <v/>
      </c>
      <c r="Q7" s="7" t="inlineStr">
        <is>
          <t>9/8-9/9合計で833件のため日次按分が必要</t>
        </is>
      </c>
    </row>
    <row r="8">
      <c r="A8" s="23" t="n">
        <v>46274</v>
      </c>
      <c r="B8" s="5" t="inlineStr">
        <is>
          <t>Coupang</t>
        </is>
      </c>
      <c r="C8" s="17" t="n"/>
      <c r="D8" s="17" t="n"/>
      <c r="E8" s="17" t="n">
        <v>0</v>
      </c>
      <c r="F8" s="17" t="n">
        <v>0</v>
      </c>
      <c r="G8" s="17" t="n">
        <v>0</v>
      </c>
      <c r="H8" s="5" t="inlineStr">
        <is>
          <t>無</t>
        </is>
      </c>
      <c r="I8" s="17" t="inlineStr"/>
      <c r="J8" s="18">
        <f>IF(OR($C8="",$E8=""),"",$E8/$C8)</f>
        <v/>
      </c>
      <c r="K8" s="18">
        <f>IF(OR($E8="",$E8=0,$F8=""),"",$F8/$E8)</f>
        <v/>
      </c>
      <c r="L8" s="18">
        <f>IF(OR($C8="",$F8=""),"",$F8/$C8)</f>
        <v/>
      </c>
      <c r="M8" s="19">
        <f>IF(OR($F8="",$F8=0,$G8=""),"",$G8/$F8)</f>
        <v/>
      </c>
      <c r="N8" s="19">
        <f>IF(OR($I8="",$F8="",$F8=0),"",$I8/$F8)</f>
        <v/>
      </c>
      <c r="O8" s="18">
        <f>IF(OR($I8="",$G8="",$G8=0),"",$I8/$G8)</f>
        <v/>
      </c>
      <c r="P8" s="26">
        <f>IF($L8="","",IF($L8&gt;='00_設定'!$B$12,"◎",IF($L8&gt;='00_設定'!$B$13,"○",IF($L8&gt;=0.002,"▲","✕"))))</f>
        <v/>
      </c>
      <c r="Q8" s="7" t="inlineStr"/>
    </row>
    <row r="9">
      <c r="A9" s="22" t="n"/>
      <c r="B9" s="16" t="n"/>
      <c r="C9" s="17" t="n"/>
      <c r="D9" s="17" t="n"/>
      <c r="E9" s="17" t="n"/>
      <c r="F9" s="17" t="n"/>
      <c r="G9" s="17" t="n"/>
      <c r="H9" s="16" t="n"/>
      <c r="I9" s="17" t="n"/>
      <c r="J9" s="18">
        <f>IF(OR($C9="",$E9=""),"",$E9/$C9)</f>
        <v/>
      </c>
      <c r="K9" s="18">
        <f>IF(OR($E9="",$E9=0,$F9=""),"",$F9/$E9)</f>
        <v/>
      </c>
      <c r="L9" s="18">
        <f>IF(OR($C9="",$F9=""),"",$F9/$C9)</f>
        <v/>
      </c>
      <c r="M9" s="19">
        <f>IF(OR($F9="",$F9=0,$G9=""),"",$G9/$F9)</f>
        <v/>
      </c>
      <c r="N9" s="19">
        <f>IF(OR($I9="",$F9="",$F9=0),"",$I9/$F9)</f>
        <v/>
      </c>
      <c r="O9" s="18">
        <f>IF(OR($I9="",$G9="",$G9=0),"",$I9/$G9)</f>
        <v/>
      </c>
      <c r="P9" s="26">
        <f>IF($L9="","",IF($L9&gt;='00_設定'!$B$12,"◎",IF($L9&gt;='00_設定'!$B$13,"○",IF($L9&gt;=0.002,"▲","✕"))))</f>
        <v/>
      </c>
      <c r="Q9" s="7" t="n"/>
    </row>
    <row r="10">
      <c r="A10" s="23" t="n"/>
      <c r="B10" s="5" t="n"/>
      <c r="C10" s="17" t="n"/>
      <c r="D10" s="17" t="n"/>
      <c r="E10" s="17" t="n"/>
      <c r="F10" s="17" t="n"/>
      <c r="G10" s="17" t="n"/>
      <c r="H10" s="5" t="n"/>
      <c r="I10" s="17" t="n"/>
      <c r="J10" s="18">
        <f>IF(OR($C10="",$E10=""),"",$E10/$C10)</f>
        <v/>
      </c>
      <c r="K10" s="18">
        <f>IF(OR($E10="",$E10=0,$F10=""),"",$F10/$E10)</f>
        <v/>
      </c>
      <c r="L10" s="18">
        <f>IF(OR($C10="",$F10=""),"",$F10/$C10)</f>
        <v/>
      </c>
      <c r="M10" s="19">
        <f>IF(OR($F10="",$F10=0,$G10=""),"",$G10/$F10)</f>
        <v/>
      </c>
      <c r="N10" s="19">
        <f>IF(OR($I10="",$F10="",$F10=0),"",$I10/$F10)</f>
        <v/>
      </c>
      <c r="O10" s="18">
        <f>IF(OR($I10="",$G10="",$G10=0),"",$I10/$G10)</f>
        <v/>
      </c>
      <c r="P10" s="26">
        <f>IF($L10="","",IF($L10&gt;='00_設定'!$B$12,"◎",IF($L10&gt;='00_設定'!$B$13,"○",IF($L10&gt;=0.002,"▲","✕"))))</f>
        <v/>
      </c>
      <c r="Q10" s="7" t="n"/>
    </row>
    <row r="11">
      <c r="A11" s="22" t="n"/>
      <c r="B11" s="16" t="n"/>
      <c r="C11" s="17" t="n"/>
      <c r="D11" s="17" t="n"/>
      <c r="E11" s="17" t="n"/>
      <c r="F11" s="17" t="n"/>
      <c r="G11" s="17" t="n"/>
      <c r="H11" s="16" t="n"/>
      <c r="I11" s="17" t="n"/>
      <c r="J11" s="18">
        <f>IF(OR($C11="",$E11=""),"",$E11/$C11)</f>
        <v/>
      </c>
      <c r="K11" s="18">
        <f>IF(OR($E11="",$E11=0,$F11=""),"",$F11/$E11)</f>
        <v/>
      </c>
      <c r="L11" s="18">
        <f>IF(OR($C11="",$F11=""),"",$F11/$C11)</f>
        <v/>
      </c>
      <c r="M11" s="19">
        <f>IF(OR($F11="",$F11=0,$G11=""),"",$G11/$F11)</f>
        <v/>
      </c>
      <c r="N11" s="19">
        <f>IF(OR($I11="",$F11="",$F11=0),"",$I11/$F11)</f>
        <v/>
      </c>
      <c r="O11" s="18">
        <f>IF(OR($I11="",$G11="",$G11=0),"",$I11/$G11)</f>
        <v/>
      </c>
      <c r="P11" s="26">
        <f>IF($L11="","",IF($L11&gt;='00_設定'!$B$12,"◎",IF($L11&gt;='00_設定'!$B$13,"○",IF($L11&gt;=0.002,"▲","✕"))))</f>
        <v/>
      </c>
      <c r="Q11" s="7" t="n"/>
    </row>
    <row r="12">
      <c r="A12" s="23" t="n"/>
      <c r="B12" s="5" t="n"/>
      <c r="C12" s="17" t="n"/>
      <c r="D12" s="17" t="n"/>
      <c r="E12" s="17" t="n"/>
      <c r="F12" s="17" t="n"/>
      <c r="G12" s="17" t="n"/>
      <c r="H12" s="5" t="n"/>
      <c r="I12" s="17" t="n"/>
      <c r="J12" s="18">
        <f>IF(OR($C12="",$E12=""),"",$E12/$C12)</f>
        <v/>
      </c>
      <c r="K12" s="18">
        <f>IF(OR($E12="",$E12=0,$F12=""),"",$F12/$E12)</f>
        <v/>
      </c>
      <c r="L12" s="18">
        <f>IF(OR($C12="",$F12=""),"",$F12/$C12)</f>
        <v/>
      </c>
      <c r="M12" s="19">
        <f>IF(OR($F12="",$F12=0,$G12=""),"",$G12/$F12)</f>
        <v/>
      </c>
      <c r="N12" s="19">
        <f>IF(OR($I12="",$F12="",$F12=0),"",$I12/$F12)</f>
        <v/>
      </c>
      <c r="O12" s="18">
        <f>IF(OR($I12="",$G12="",$G12=0),"",$I12/$G12)</f>
        <v/>
      </c>
      <c r="P12" s="26">
        <f>IF($L12="","",IF($L12&gt;='00_設定'!$B$12,"◎",IF($L12&gt;='00_設定'!$B$13,"○",IF($L12&gt;=0.002,"▲","✕"))))</f>
        <v/>
      </c>
      <c r="Q12" s="7" t="n"/>
    </row>
    <row r="13">
      <c r="A13" s="22" t="n"/>
      <c r="B13" s="16" t="n"/>
      <c r="C13" s="17" t="n"/>
      <c r="D13" s="17" t="n"/>
      <c r="E13" s="17" t="n"/>
      <c r="F13" s="17" t="n"/>
      <c r="G13" s="17" t="n"/>
      <c r="H13" s="16" t="n"/>
      <c r="I13" s="17" t="n"/>
      <c r="J13" s="18">
        <f>IF(OR($C13="",$E13=""),"",$E13/$C13)</f>
        <v/>
      </c>
      <c r="K13" s="18">
        <f>IF(OR($E13="",$E13=0,$F13=""),"",$F13/$E13)</f>
        <v/>
      </c>
      <c r="L13" s="18">
        <f>IF(OR($C13="",$F13=""),"",$F13/$C13)</f>
        <v/>
      </c>
      <c r="M13" s="19">
        <f>IF(OR($F13="",$F13=0,$G13=""),"",$G13/$F13)</f>
        <v/>
      </c>
      <c r="N13" s="19">
        <f>IF(OR($I13="",$F13="",$F13=0),"",$I13/$F13)</f>
        <v/>
      </c>
      <c r="O13" s="18">
        <f>IF(OR($I13="",$G13="",$G13=0),"",$I13/$G13)</f>
        <v/>
      </c>
      <c r="P13" s="26">
        <f>IF($L13="","",IF($L13&gt;='00_設定'!$B$12,"◎",IF($L13&gt;='00_設定'!$B$13,"○",IF($L13&gt;=0.002,"▲","✕"))))</f>
        <v/>
      </c>
      <c r="Q13" s="7" t="n"/>
    </row>
    <row r="14">
      <c r="A14" s="23" t="n"/>
      <c r="B14" s="5" t="n"/>
      <c r="C14" s="17" t="n"/>
      <c r="D14" s="17" t="n"/>
      <c r="E14" s="17" t="n"/>
      <c r="F14" s="17" t="n"/>
      <c r="G14" s="17" t="n"/>
      <c r="H14" s="5" t="n"/>
      <c r="I14" s="17" t="n"/>
      <c r="J14" s="18">
        <f>IF(OR($C14="",$E14=""),"",$E14/$C14)</f>
        <v/>
      </c>
      <c r="K14" s="18">
        <f>IF(OR($E14="",$E14=0,$F14=""),"",$F14/$E14)</f>
        <v/>
      </c>
      <c r="L14" s="18">
        <f>IF(OR($C14="",$F14=""),"",$F14/$C14)</f>
        <v/>
      </c>
      <c r="M14" s="19">
        <f>IF(OR($F14="",$F14=0,$G14=""),"",$G14/$F14)</f>
        <v/>
      </c>
      <c r="N14" s="19">
        <f>IF(OR($I14="",$F14="",$F14=0),"",$I14/$F14)</f>
        <v/>
      </c>
      <c r="O14" s="18">
        <f>IF(OR($I14="",$G14="",$G14=0),"",$I14/$G14)</f>
        <v/>
      </c>
      <c r="P14" s="26">
        <f>IF($L14="","",IF($L14&gt;='00_設定'!$B$12,"◎",IF($L14&gt;='00_設定'!$B$13,"○",IF($L14&gt;=0.002,"▲","✕"))))</f>
        <v/>
      </c>
      <c r="Q14" s="7" t="n"/>
    </row>
    <row r="15">
      <c r="A15" s="22" t="n"/>
      <c r="B15" s="16" t="n"/>
      <c r="C15" s="17" t="n"/>
      <c r="D15" s="17" t="n"/>
      <c r="E15" s="17" t="n"/>
      <c r="F15" s="17" t="n"/>
      <c r="G15" s="17" t="n"/>
      <c r="H15" s="16" t="n"/>
      <c r="I15" s="17" t="n"/>
      <c r="J15" s="18">
        <f>IF(OR($C15="",$E15=""),"",$E15/$C15)</f>
        <v/>
      </c>
      <c r="K15" s="18">
        <f>IF(OR($E15="",$E15=0,$F15=""),"",$F15/$E15)</f>
        <v/>
      </c>
      <c r="L15" s="18">
        <f>IF(OR($C15="",$F15=""),"",$F15/$C15)</f>
        <v/>
      </c>
      <c r="M15" s="19">
        <f>IF(OR($F15="",$F15=0,$G15=""),"",$G15/$F15)</f>
        <v/>
      </c>
      <c r="N15" s="19">
        <f>IF(OR($I15="",$F15="",$F15=0),"",$I15/$F15)</f>
        <v/>
      </c>
      <c r="O15" s="18">
        <f>IF(OR($I15="",$G15="",$G15=0),"",$I15/$G15)</f>
        <v/>
      </c>
      <c r="P15" s="26">
        <f>IF($L15="","",IF($L15&gt;='00_設定'!$B$12,"◎",IF($L15&gt;='00_設定'!$B$13,"○",IF($L15&gt;=0.002,"▲","✕"))))</f>
        <v/>
      </c>
      <c r="Q15" s="7" t="n"/>
    </row>
    <row r="16">
      <c r="A16" s="23" t="n"/>
      <c r="B16" s="5" t="n"/>
      <c r="C16" s="17" t="n"/>
      <c r="D16" s="17" t="n"/>
      <c r="E16" s="17" t="n"/>
      <c r="F16" s="17" t="n"/>
      <c r="G16" s="17" t="n"/>
      <c r="H16" s="5" t="n"/>
      <c r="I16" s="17" t="n"/>
      <c r="J16" s="18">
        <f>IF(OR($C16="",$E16=""),"",$E16/$C16)</f>
        <v/>
      </c>
      <c r="K16" s="18">
        <f>IF(OR($E16="",$E16=0,$F16=""),"",$F16/$E16)</f>
        <v/>
      </c>
      <c r="L16" s="18">
        <f>IF(OR($C16="",$F16=""),"",$F16/$C16)</f>
        <v/>
      </c>
      <c r="M16" s="19">
        <f>IF(OR($F16="",$F16=0,$G16=""),"",$G16/$F16)</f>
        <v/>
      </c>
      <c r="N16" s="19">
        <f>IF(OR($I16="",$F16="",$F16=0),"",$I16/$F16)</f>
        <v/>
      </c>
      <c r="O16" s="18">
        <f>IF(OR($I16="",$G16="",$G16=0),"",$I16/$G16)</f>
        <v/>
      </c>
      <c r="P16" s="26">
        <f>IF($L16="","",IF($L16&gt;='00_設定'!$B$12,"◎",IF($L16&gt;='00_設定'!$B$13,"○",IF($L16&gt;=0.002,"▲","✕"))))</f>
        <v/>
      </c>
      <c r="Q16" s="7" t="n"/>
    </row>
    <row r="17">
      <c r="A17" s="22" t="n"/>
      <c r="B17" s="16" t="n"/>
      <c r="C17" s="17" t="n"/>
      <c r="D17" s="17" t="n"/>
      <c r="E17" s="17" t="n"/>
      <c r="F17" s="17" t="n"/>
      <c r="G17" s="17" t="n"/>
      <c r="H17" s="16" t="n"/>
      <c r="I17" s="17" t="n"/>
      <c r="J17" s="18">
        <f>IF(OR($C17="",$E17=""),"",$E17/$C17)</f>
        <v/>
      </c>
      <c r="K17" s="18">
        <f>IF(OR($E17="",$E17=0,$F17=""),"",$F17/$E17)</f>
        <v/>
      </c>
      <c r="L17" s="18">
        <f>IF(OR($C17="",$F17=""),"",$F17/$C17)</f>
        <v/>
      </c>
      <c r="M17" s="19">
        <f>IF(OR($F17="",$F17=0,$G17=""),"",$G17/$F17)</f>
        <v/>
      </c>
      <c r="N17" s="19">
        <f>IF(OR($I17="",$F17="",$F17=0),"",$I17/$F17)</f>
        <v/>
      </c>
      <c r="O17" s="18">
        <f>IF(OR($I17="",$G17="",$G17=0),"",$I17/$G17)</f>
        <v/>
      </c>
      <c r="P17" s="26">
        <f>IF($L17="","",IF($L17&gt;='00_設定'!$B$12,"◎",IF($L17&gt;='00_設定'!$B$13,"○",IF($L17&gt;=0.002,"▲","✕"))))</f>
        <v/>
      </c>
      <c r="Q17" s="7" t="n"/>
    </row>
    <row r="18">
      <c r="A18" s="23" t="n"/>
      <c r="B18" s="5" t="n"/>
      <c r="C18" s="17" t="n"/>
      <c r="D18" s="17" t="n"/>
      <c r="E18" s="17" t="n"/>
      <c r="F18" s="17" t="n"/>
      <c r="G18" s="17" t="n"/>
      <c r="H18" s="5" t="n"/>
      <c r="I18" s="17" t="n"/>
      <c r="J18" s="18">
        <f>IF(OR($C18="",$E18=""),"",$E18/$C18)</f>
        <v/>
      </c>
      <c r="K18" s="18">
        <f>IF(OR($E18="",$E18=0,$F18=""),"",$F18/$E18)</f>
        <v/>
      </c>
      <c r="L18" s="18">
        <f>IF(OR($C18="",$F18=""),"",$F18/$C18)</f>
        <v/>
      </c>
      <c r="M18" s="19">
        <f>IF(OR($F18="",$F18=0,$G18=""),"",$G18/$F18)</f>
        <v/>
      </c>
      <c r="N18" s="19">
        <f>IF(OR($I18="",$F18="",$F18=0),"",$I18/$F18)</f>
        <v/>
      </c>
      <c r="O18" s="18">
        <f>IF(OR($I18="",$G18="",$G18=0),"",$I18/$G18)</f>
        <v/>
      </c>
      <c r="P18" s="26">
        <f>IF($L18="","",IF($L18&gt;='00_設定'!$B$12,"◎",IF($L18&gt;='00_設定'!$B$13,"○",IF($L18&gt;=0.002,"▲","✕"))))</f>
        <v/>
      </c>
      <c r="Q18" s="7" t="n"/>
    </row>
    <row r="19">
      <c r="A19" s="22" t="n"/>
      <c r="B19" s="16" t="n"/>
      <c r="C19" s="17" t="n"/>
      <c r="D19" s="17" t="n"/>
      <c r="E19" s="17" t="n"/>
      <c r="F19" s="17" t="n"/>
      <c r="G19" s="17" t="n"/>
      <c r="H19" s="16" t="n"/>
      <c r="I19" s="17" t="n"/>
      <c r="J19" s="18">
        <f>IF(OR($C19="",$E19=""),"",$E19/$C19)</f>
        <v/>
      </c>
      <c r="K19" s="18">
        <f>IF(OR($E19="",$E19=0,$F19=""),"",$F19/$E19)</f>
        <v/>
      </c>
      <c r="L19" s="18">
        <f>IF(OR($C19="",$F19=""),"",$F19/$C19)</f>
        <v/>
      </c>
      <c r="M19" s="19">
        <f>IF(OR($F19="",$F19=0,$G19=""),"",$G19/$F19)</f>
        <v/>
      </c>
      <c r="N19" s="19">
        <f>IF(OR($I19="",$F19="",$F19=0),"",$I19/$F19)</f>
        <v/>
      </c>
      <c r="O19" s="18">
        <f>IF(OR($I19="",$G19="",$G19=0),"",$I19/$G19)</f>
        <v/>
      </c>
      <c r="P19" s="26">
        <f>IF($L19="","",IF($L19&gt;='00_設定'!$B$12,"◎",IF($L19&gt;='00_設定'!$B$13,"○",IF($L19&gt;=0.002,"▲","✕"))))</f>
        <v/>
      </c>
      <c r="Q19" s="7" t="n"/>
    </row>
    <row r="20">
      <c r="A20" s="23" t="n"/>
      <c r="B20" s="5" t="n"/>
      <c r="C20" s="17" t="n"/>
      <c r="D20" s="17" t="n"/>
      <c r="E20" s="17" t="n"/>
      <c r="F20" s="17" t="n"/>
      <c r="G20" s="17" t="n"/>
      <c r="H20" s="5" t="n"/>
      <c r="I20" s="17" t="n"/>
      <c r="J20" s="18">
        <f>IF(OR($C20="",$E20=""),"",$E20/$C20)</f>
        <v/>
      </c>
      <c r="K20" s="18">
        <f>IF(OR($E20="",$E20=0,$F20=""),"",$F20/$E20)</f>
        <v/>
      </c>
      <c r="L20" s="18">
        <f>IF(OR($C20="",$F20=""),"",$F20/$C20)</f>
        <v/>
      </c>
      <c r="M20" s="19">
        <f>IF(OR($F20="",$F20=0,$G20=""),"",$G20/$F20)</f>
        <v/>
      </c>
      <c r="N20" s="19">
        <f>IF(OR($I20="",$F20="",$F20=0),"",$I20/$F20)</f>
        <v/>
      </c>
      <c r="O20" s="18">
        <f>IF(OR($I20="",$G20="",$G20=0),"",$I20/$G20)</f>
        <v/>
      </c>
      <c r="P20" s="26">
        <f>IF($L20="","",IF($L20&gt;='00_設定'!$B$12,"◎",IF($L20&gt;='00_設定'!$B$13,"○",IF($L20&gt;=0.002,"▲","✕"))))</f>
        <v/>
      </c>
      <c r="Q20" s="7" t="n"/>
    </row>
    <row r="21">
      <c r="A21" s="22" t="n"/>
      <c r="B21" s="16" t="n"/>
      <c r="C21" s="17" t="n"/>
      <c r="D21" s="17" t="n"/>
      <c r="E21" s="17" t="n"/>
      <c r="F21" s="17" t="n"/>
      <c r="G21" s="17" t="n"/>
      <c r="H21" s="16" t="n"/>
      <c r="I21" s="17" t="n"/>
      <c r="J21" s="18">
        <f>IF(OR($C21="",$E21=""),"",$E21/$C21)</f>
        <v/>
      </c>
      <c r="K21" s="18">
        <f>IF(OR($E21="",$E21=0,$F21=""),"",$F21/$E21)</f>
        <v/>
      </c>
      <c r="L21" s="18">
        <f>IF(OR($C21="",$F21=""),"",$F21/$C21)</f>
        <v/>
      </c>
      <c r="M21" s="19">
        <f>IF(OR($F21="",$F21=0,$G21=""),"",$G21/$F21)</f>
        <v/>
      </c>
      <c r="N21" s="19">
        <f>IF(OR($I21="",$F21="",$F21=0),"",$I21/$F21)</f>
        <v/>
      </c>
      <c r="O21" s="18">
        <f>IF(OR($I21="",$G21="",$G21=0),"",$I21/$G21)</f>
        <v/>
      </c>
      <c r="P21" s="26">
        <f>IF($L21="","",IF($L21&gt;='00_設定'!$B$12,"◎",IF($L21&gt;='00_設定'!$B$13,"○",IF($L21&gt;=0.002,"▲","✕"))))</f>
        <v/>
      </c>
      <c r="Q21" s="7" t="n"/>
    </row>
    <row r="22">
      <c r="A22" s="23" t="n"/>
      <c r="B22" s="5" t="n"/>
      <c r="C22" s="17" t="n"/>
      <c r="D22" s="17" t="n"/>
      <c r="E22" s="17" t="n"/>
      <c r="F22" s="17" t="n"/>
      <c r="G22" s="17" t="n"/>
      <c r="H22" s="5" t="n"/>
      <c r="I22" s="17" t="n"/>
      <c r="J22" s="18">
        <f>IF(OR($C22="",$E22=""),"",$E22/$C22)</f>
        <v/>
      </c>
      <c r="K22" s="18">
        <f>IF(OR($E22="",$E22=0,$F22=""),"",$F22/$E22)</f>
        <v/>
      </c>
      <c r="L22" s="18">
        <f>IF(OR($C22="",$F22=""),"",$F22/$C22)</f>
        <v/>
      </c>
      <c r="M22" s="19">
        <f>IF(OR($F22="",$F22=0,$G22=""),"",$G22/$F22)</f>
        <v/>
      </c>
      <c r="N22" s="19">
        <f>IF(OR($I22="",$F22="",$F22=0),"",$I22/$F22)</f>
        <v/>
      </c>
      <c r="O22" s="18">
        <f>IF(OR($I22="",$G22="",$G22=0),"",$I22/$G22)</f>
        <v/>
      </c>
      <c r="P22" s="26">
        <f>IF($L22="","",IF($L22&gt;='00_設定'!$B$12,"◎",IF($L22&gt;='00_設定'!$B$13,"○",IF($L22&gt;=0.002,"▲","✕"))))</f>
        <v/>
      </c>
      <c r="Q22" s="7" t="n"/>
    </row>
    <row r="23">
      <c r="A23" s="22" t="n"/>
      <c r="B23" s="16" t="n"/>
      <c r="C23" s="17" t="n"/>
      <c r="D23" s="17" t="n"/>
      <c r="E23" s="17" t="n"/>
      <c r="F23" s="17" t="n"/>
      <c r="G23" s="17" t="n"/>
      <c r="H23" s="16" t="n"/>
      <c r="I23" s="17" t="n"/>
      <c r="J23" s="18">
        <f>IF(OR($C23="",$E23=""),"",$E23/$C23)</f>
        <v/>
      </c>
      <c r="K23" s="18">
        <f>IF(OR($E23="",$E23=0,$F23=""),"",$F23/$E23)</f>
        <v/>
      </c>
      <c r="L23" s="18">
        <f>IF(OR($C23="",$F23=""),"",$F23/$C23)</f>
        <v/>
      </c>
      <c r="M23" s="19">
        <f>IF(OR($F23="",$F23=0,$G23=""),"",$G23/$F23)</f>
        <v/>
      </c>
      <c r="N23" s="19">
        <f>IF(OR($I23="",$F23="",$F23=0),"",$I23/$F23)</f>
        <v/>
      </c>
      <c r="O23" s="18">
        <f>IF(OR($I23="",$G23="",$G23=0),"",$I23/$G23)</f>
        <v/>
      </c>
      <c r="P23" s="26">
        <f>IF($L23="","",IF($L23&gt;='00_設定'!$B$12,"◎",IF($L23&gt;='00_設定'!$B$13,"○",IF($L23&gt;=0.002,"▲","✕"))))</f>
        <v/>
      </c>
      <c r="Q23" s="7" t="n"/>
    </row>
    <row r="24">
      <c r="A24" s="23" t="n"/>
      <c r="B24" s="5" t="n"/>
      <c r="C24" s="17" t="n"/>
      <c r="D24" s="17" t="n"/>
      <c r="E24" s="17" t="n"/>
      <c r="F24" s="17" t="n"/>
      <c r="G24" s="17" t="n"/>
      <c r="H24" s="5" t="n"/>
      <c r="I24" s="17" t="n"/>
      <c r="J24" s="18">
        <f>IF(OR($C24="",$E24=""),"",$E24/$C24)</f>
        <v/>
      </c>
      <c r="K24" s="18">
        <f>IF(OR($E24="",$E24=0,$F24=""),"",$F24/$E24)</f>
        <v/>
      </c>
      <c r="L24" s="18">
        <f>IF(OR($C24="",$F24=""),"",$F24/$C24)</f>
        <v/>
      </c>
      <c r="M24" s="19">
        <f>IF(OR($F24="",$F24=0,$G24=""),"",$G24/$F24)</f>
        <v/>
      </c>
      <c r="N24" s="19">
        <f>IF(OR($I24="",$F24="",$F24=0),"",$I24/$F24)</f>
        <v/>
      </c>
      <c r="O24" s="18">
        <f>IF(OR($I24="",$G24="",$G24=0),"",$I24/$G24)</f>
        <v/>
      </c>
      <c r="P24" s="26">
        <f>IF($L24="","",IF($L24&gt;='00_設定'!$B$12,"◎",IF($L24&gt;='00_設定'!$B$13,"○",IF($L24&gt;=0.002,"▲","✕"))))</f>
        <v/>
      </c>
      <c r="Q24" s="7" t="n"/>
    </row>
    <row r="25">
      <c r="A25" s="22" t="n"/>
      <c r="B25" s="16" t="n"/>
      <c r="C25" s="17" t="n"/>
      <c r="D25" s="17" t="n"/>
      <c r="E25" s="17" t="n"/>
      <c r="F25" s="17" t="n"/>
      <c r="G25" s="17" t="n"/>
      <c r="H25" s="16" t="n"/>
      <c r="I25" s="17" t="n"/>
      <c r="J25" s="18">
        <f>IF(OR($C25="",$E25=""),"",$E25/$C25)</f>
        <v/>
      </c>
      <c r="K25" s="18">
        <f>IF(OR($E25="",$E25=0,$F25=""),"",$F25/$E25)</f>
        <v/>
      </c>
      <c r="L25" s="18">
        <f>IF(OR($C25="",$F25=""),"",$F25/$C25)</f>
        <v/>
      </c>
      <c r="M25" s="19">
        <f>IF(OR($F25="",$F25=0,$G25=""),"",$G25/$F25)</f>
        <v/>
      </c>
      <c r="N25" s="19">
        <f>IF(OR($I25="",$F25="",$F25=0),"",$I25/$F25)</f>
        <v/>
      </c>
      <c r="O25" s="18">
        <f>IF(OR($I25="",$G25="",$G25=0),"",$I25/$G25)</f>
        <v/>
      </c>
      <c r="P25" s="26">
        <f>IF($L25="","",IF($L25&gt;='00_設定'!$B$12,"◎",IF($L25&gt;='00_設定'!$B$13,"○",IF($L25&gt;=0.002,"▲","✕"))))</f>
        <v/>
      </c>
      <c r="Q25" s="7" t="n"/>
    </row>
    <row r="26">
      <c r="A26" s="23" t="n"/>
      <c r="B26" s="5" t="n"/>
      <c r="C26" s="17" t="n"/>
      <c r="D26" s="17" t="n"/>
      <c r="E26" s="17" t="n"/>
      <c r="F26" s="17" t="n"/>
      <c r="G26" s="17" t="n"/>
      <c r="H26" s="5" t="n"/>
      <c r="I26" s="17" t="n"/>
      <c r="J26" s="18">
        <f>IF(OR($C26="",$E26=""),"",$E26/$C26)</f>
        <v/>
      </c>
      <c r="K26" s="18">
        <f>IF(OR($E26="",$E26=0,$F26=""),"",$F26/$E26)</f>
        <v/>
      </c>
      <c r="L26" s="18">
        <f>IF(OR($C26="",$F26=""),"",$F26/$C26)</f>
        <v/>
      </c>
      <c r="M26" s="19">
        <f>IF(OR($F26="",$F26=0,$G26=""),"",$G26/$F26)</f>
        <v/>
      </c>
      <c r="N26" s="19">
        <f>IF(OR($I26="",$F26="",$F26=0),"",$I26/$F26)</f>
        <v/>
      </c>
      <c r="O26" s="18">
        <f>IF(OR($I26="",$G26="",$G26=0),"",$I26/$G26)</f>
        <v/>
      </c>
      <c r="P26" s="26">
        <f>IF($L26="","",IF($L26&gt;='00_設定'!$B$12,"◎",IF($L26&gt;='00_設定'!$B$13,"○",IF($L26&gt;=0.002,"▲","✕"))))</f>
        <v/>
      </c>
      <c r="Q26" s="7" t="n"/>
    </row>
    <row r="27">
      <c r="A27" s="22" t="n"/>
      <c r="B27" s="16" t="n"/>
      <c r="C27" s="17" t="n"/>
      <c r="D27" s="17" t="n"/>
      <c r="E27" s="17" t="n"/>
      <c r="F27" s="17" t="n"/>
      <c r="G27" s="17" t="n"/>
      <c r="H27" s="16" t="n"/>
      <c r="I27" s="17" t="n"/>
      <c r="J27" s="18">
        <f>IF(OR($C27="",$E27=""),"",$E27/$C27)</f>
        <v/>
      </c>
      <c r="K27" s="18">
        <f>IF(OR($E27="",$E27=0,$F27=""),"",$F27/$E27)</f>
        <v/>
      </c>
      <c r="L27" s="18">
        <f>IF(OR($C27="",$F27=""),"",$F27/$C27)</f>
        <v/>
      </c>
      <c r="M27" s="19">
        <f>IF(OR($F27="",$F27=0,$G27=""),"",$G27/$F27)</f>
        <v/>
      </c>
      <c r="N27" s="19">
        <f>IF(OR($I27="",$F27="",$F27=0),"",$I27/$F27)</f>
        <v/>
      </c>
      <c r="O27" s="18">
        <f>IF(OR($I27="",$G27="",$G27=0),"",$I27/$G27)</f>
        <v/>
      </c>
      <c r="P27" s="26">
        <f>IF($L27="","",IF($L27&gt;='00_設定'!$B$12,"◎",IF($L27&gt;='00_設定'!$B$13,"○",IF($L27&gt;=0.002,"▲","✕"))))</f>
        <v/>
      </c>
      <c r="Q27" s="7" t="n"/>
    </row>
    <row r="28">
      <c r="A28" s="23" t="n"/>
      <c r="B28" s="5" t="n"/>
      <c r="C28" s="17" t="n"/>
      <c r="D28" s="17" t="n"/>
      <c r="E28" s="17" t="n"/>
      <c r="F28" s="17" t="n"/>
      <c r="G28" s="17" t="n"/>
      <c r="H28" s="5" t="n"/>
      <c r="I28" s="17" t="n"/>
      <c r="J28" s="18">
        <f>IF(OR($C28="",$E28=""),"",$E28/$C28)</f>
        <v/>
      </c>
      <c r="K28" s="18">
        <f>IF(OR($E28="",$E28=0,$F28=""),"",$F28/$E28)</f>
        <v/>
      </c>
      <c r="L28" s="18">
        <f>IF(OR($C28="",$F28=""),"",$F28/$C28)</f>
        <v/>
      </c>
      <c r="M28" s="19">
        <f>IF(OR($F28="",$F28=0,$G28=""),"",$G28/$F28)</f>
        <v/>
      </c>
      <c r="N28" s="19">
        <f>IF(OR($I28="",$F28="",$F28=0),"",$I28/$F28)</f>
        <v/>
      </c>
      <c r="O28" s="18">
        <f>IF(OR($I28="",$G28="",$G28=0),"",$I28/$G28)</f>
        <v/>
      </c>
      <c r="P28" s="26">
        <f>IF($L28="","",IF($L28&gt;='00_設定'!$B$12,"◎",IF($L28&gt;='00_設定'!$B$13,"○",IF($L28&gt;=0.002,"▲","✕"))))</f>
        <v/>
      </c>
      <c r="Q28" s="7" t="n"/>
    </row>
    <row r="29">
      <c r="A29" s="22" t="n"/>
      <c r="B29" s="16" t="n"/>
      <c r="C29" s="17" t="n"/>
      <c r="D29" s="17" t="n"/>
      <c r="E29" s="17" t="n"/>
      <c r="F29" s="17" t="n"/>
      <c r="G29" s="17" t="n"/>
      <c r="H29" s="16" t="n"/>
      <c r="I29" s="17" t="n"/>
      <c r="J29" s="18">
        <f>IF(OR($C29="",$E29=""),"",$E29/$C29)</f>
        <v/>
      </c>
      <c r="K29" s="18">
        <f>IF(OR($E29="",$E29=0,$F29=""),"",$F29/$E29)</f>
        <v/>
      </c>
      <c r="L29" s="18">
        <f>IF(OR($C29="",$F29=""),"",$F29/$C29)</f>
        <v/>
      </c>
      <c r="M29" s="19">
        <f>IF(OR($F29="",$F29=0,$G29=""),"",$G29/$F29)</f>
        <v/>
      </c>
      <c r="N29" s="19">
        <f>IF(OR($I29="",$F29="",$F29=0),"",$I29/$F29)</f>
        <v/>
      </c>
      <c r="O29" s="18">
        <f>IF(OR($I29="",$G29="",$G29=0),"",$I29/$G29)</f>
        <v/>
      </c>
      <c r="P29" s="26">
        <f>IF($L29="","",IF($L29&gt;='00_設定'!$B$12,"◎",IF($L29&gt;='00_設定'!$B$13,"○",IF($L29&gt;=0.002,"▲","✕"))))</f>
        <v/>
      </c>
      <c r="Q29" s="7" t="n"/>
    </row>
    <row r="30">
      <c r="A30" s="23" t="n"/>
      <c r="B30" s="5" t="n"/>
      <c r="C30" s="17" t="n"/>
      <c r="D30" s="17" t="n"/>
      <c r="E30" s="17" t="n"/>
      <c r="F30" s="17" t="n"/>
      <c r="G30" s="17" t="n"/>
      <c r="H30" s="5" t="n"/>
      <c r="I30" s="17" t="n"/>
      <c r="J30" s="18">
        <f>IF(OR($C30="",$E30=""),"",$E30/$C30)</f>
        <v/>
      </c>
      <c r="K30" s="18">
        <f>IF(OR($E30="",$E30=0,$F30=""),"",$F30/$E30)</f>
        <v/>
      </c>
      <c r="L30" s="18">
        <f>IF(OR($C30="",$F30=""),"",$F30/$C30)</f>
        <v/>
      </c>
      <c r="M30" s="19">
        <f>IF(OR($F30="",$F30=0,$G30=""),"",$G30/$F30)</f>
        <v/>
      </c>
      <c r="N30" s="19">
        <f>IF(OR($I30="",$F30="",$F30=0),"",$I30/$F30)</f>
        <v/>
      </c>
      <c r="O30" s="18">
        <f>IF(OR($I30="",$G30="",$G30=0),"",$I30/$G30)</f>
        <v/>
      </c>
      <c r="P30" s="26">
        <f>IF($L30="","",IF($L30&gt;='00_設定'!$B$12,"◎",IF($L30&gt;='00_設定'!$B$13,"○",IF($L30&gt;=0.002,"▲","✕"))))</f>
        <v/>
      </c>
      <c r="Q30" s="7" t="n"/>
    </row>
    <row r="31">
      <c r="A31" s="22" t="n"/>
      <c r="B31" s="16" t="n"/>
      <c r="C31" s="17" t="n"/>
      <c r="D31" s="17" t="n"/>
      <c r="E31" s="17" t="n"/>
      <c r="F31" s="17" t="n"/>
      <c r="G31" s="17" t="n"/>
      <c r="H31" s="16" t="n"/>
      <c r="I31" s="17" t="n"/>
      <c r="J31" s="18">
        <f>IF(OR($C31="",$E31=""),"",$E31/$C31)</f>
        <v/>
      </c>
      <c r="K31" s="18">
        <f>IF(OR($E31="",$E31=0,$F31=""),"",$F31/$E31)</f>
        <v/>
      </c>
      <c r="L31" s="18">
        <f>IF(OR($C31="",$F31=""),"",$F31/$C31)</f>
        <v/>
      </c>
      <c r="M31" s="19">
        <f>IF(OR($F31="",$F31=0,$G31=""),"",$G31/$F31)</f>
        <v/>
      </c>
      <c r="N31" s="19">
        <f>IF(OR($I31="",$F31="",$F31=0),"",$I31/$F31)</f>
        <v/>
      </c>
      <c r="O31" s="18">
        <f>IF(OR($I31="",$G31="",$G31=0),"",$I31/$G31)</f>
        <v/>
      </c>
      <c r="P31" s="26">
        <f>IF($L31="","",IF($L31&gt;='00_設定'!$B$12,"◎",IF($L31&gt;='00_設定'!$B$13,"○",IF($L31&gt;=0.002,"▲","✕"))))</f>
        <v/>
      </c>
      <c r="Q31" s="7" t="n"/>
    </row>
    <row r="32">
      <c r="A32" s="23" t="n"/>
      <c r="B32" s="5" t="n"/>
      <c r="C32" s="17" t="n"/>
      <c r="D32" s="17" t="n"/>
      <c r="E32" s="17" t="n"/>
      <c r="F32" s="17" t="n"/>
      <c r="G32" s="17" t="n"/>
      <c r="H32" s="5" t="n"/>
      <c r="I32" s="17" t="n"/>
      <c r="J32" s="18">
        <f>IF(OR($C32="",$E32=""),"",$E32/$C32)</f>
        <v/>
      </c>
      <c r="K32" s="18">
        <f>IF(OR($E32="",$E32=0,$F32=""),"",$F32/$E32)</f>
        <v/>
      </c>
      <c r="L32" s="18">
        <f>IF(OR($C32="",$F32=""),"",$F32/$C32)</f>
        <v/>
      </c>
      <c r="M32" s="19">
        <f>IF(OR($F32="",$F32=0,$G32=""),"",$G32/$F32)</f>
        <v/>
      </c>
      <c r="N32" s="19">
        <f>IF(OR($I32="",$F32="",$F32=0),"",$I32/$F32)</f>
        <v/>
      </c>
      <c r="O32" s="18">
        <f>IF(OR($I32="",$G32="",$G32=0),"",$I32/$G32)</f>
        <v/>
      </c>
      <c r="P32" s="26">
        <f>IF($L32="","",IF($L32&gt;='00_設定'!$B$12,"◎",IF($L32&gt;='00_設定'!$B$13,"○",IF($L32&gt;=0.002,"▲","✕"))))</f>
        <v/>
      </c>
      <c r="Q32" s="7" t="n"/>
    </row>
    <row r="33">
      <c r="A33" s="22" t="n"/>
      <c r="B33" s="16" t="n"/>
      <c r="C33" s="17" t="n"/>
      <c r="D33" s="17" t="n"/>
      <c r="E33" s="17" t="n"/>
      <c r="F33" s="17" t="n"/>
      <c r="G33" s="17" t="n"/>
      <c r="H33" s="16" t="n"/>
      <c r="I33" s="17" t="n"/>
      <c r="J33" s="18">
        <f>IF(OR($C33="",$E33=""),"",$E33/$C33)</f>
        <v/>
      </c>
      <c r="K33" s="18">
        <f>IF(OR($E33="",$E33=0,$F33=""),"",$F33/$E33)</f>
        <v/>
      </c>
      <c r="L33" s="18">
        <f>IF(OR($C33="",$F33=""),"",$F33/$C33)</f>
        <v/>
      </c>
      <c r="M33" s="19">
        <f>IF(OR($F33="",$F33=0,$G33=""),"",$G33/$F33)</f>
        <v/>
      </c>
      <c r="N33" s="19">
        <f>IF(OR($I33="",$F33="",$F33=0),"",$I33/$F33)</f>
        <v/>
      </c>
      <c r="O33" s="18">
        <f>IF(OR($I33="",$G33="",$G33=0),"",$I33/$G33)</f>
        <v/>
      </c>
      <c r="P33" s="26">
        <f>IF($L33="","",IF($L33&gt;='00_設定'!$B$12,"◎",IF($L33&gt;='00_設定'!$B$13,"○",IF($L33&gt;=0.002,"▲","✕"))))</f>
        <v/>
      </c>
      <c r="Q33" s="7" t="n"/>
    </row>
    <row r="34">
      <c r="A34" s="23" t="n"/>
      <c r="B34" s="5" t="n"/>
      <c r="C34" s="17" t="n"/>
      <c r="D34" s="17" t="n"/>
      <c r="E34" s="17" t="n"/>
      <c r="F34" s="17" t="n"/>
      <c r="G34" s="17" t="n"/>
      <c r="H34" s="5" t="n"/>
      <c r="I34" s="17" t="n"/>
      <c r="J34" s="18">
        <f>IF(OR($C34="",$E34=""),"",$E34/$C34)</f>
        <v/>
      </c>
      <c r="K34" s="18">
        <f>IF(OR($E34="",$E34=0,$F34=""),"",$F34/$E34)</f>
        <v/>
      </c>
      <c r="L34" s="18">
        <f>IF(OR($C34="",$F34=""),"",$F34/$C34)</f>
        <v/>
      </c>
      <c r="M34" s="19">
        <f>IF(OR($F34="",$F34=0,$G34=""),"",$G34/$F34)</f>
        <v/>
      </c>
      <c r="N34" s="19">
        <f>IF(OR($I34="",$F34="",$F34=0),"",$I34/$F34)</f>
        <v/>
      </c>
      <c r="O34" s="18">
        <f>IF(OR($I34="",$G34="",$G34=0),"",$I34/$G34)</f>
        <v/>
      </c>
      <c r="P34" s="26">
        <f>IF($L34="","",IF($L34&gt;='00_設定'!$B$12,"◎",IF($L34&gt;='00_設定'!$B$13,"○",IF($L34&gt;=0.002,"▲","✕"))))</f>
        <v/>
      </c>
      <c r="Q34" s="7" t="n"/>
    </row>
    <row r="35">
      <c r="A35" s="22" t="n"/>
      <c r="B35" s="16" t="n"/>
      <c r="C35" s="17" t="n"/>
      <c r="D35" s="17" t="n"/>
      <c r="E35" s="17" t="n"/>
      <c r="F35" s="17" t="n"/>
      <c r="G35" s="17" t="n"/>
      <c r="H35" s="16" t="n"/>
      <c r="I35" s="17" t="n"/>
      <c r="J35" s="18">
        <f>IF(OR($C35="",$E35=""),"",$E35/$C35)</f>
        <v/>
      </c>
      <c r="K35" s="18">
        <f>IF(OR($E35="",$E35=0,$F35=""),"",$F35/$E35)</f>
        <v/>
      </c>
      <c r="L35" s="18">
        <f>IF(OR($C35="",$F35=""),"",$F35/$C35)</f>
        <v/>
      </c>
      <c r="M35" s="19">
        <f>IF(OR($F35="",$F35=0,$G35=""),"",$G35/$F35)</f>
        <v/>
      </c>
      <c r="N35" s="19">
        <f>IF(OR($I35="",$F35="",$F35=0),"",$I35/$F35)</f>
        <v/>
      </c>
      <c r="O35" s="18">
        <f>IF(OR($I35="",$G35="",$G35=0),"",$I35/$G35)</f>
        <v/>
      </c>
      <c r="P35" s="26">
        <f>IF($L35="","",IF($L35&gt;='00_設定'!$B$12,"◎",IF($L35&gt;='00_設定'!$B$13,"○",IF($L35&gt;=0.002,"▲","✕"))))</f>
        <v/>
      </c>
      <c r="Q35" s="7" t="n"/>
    </row>
    <row r="36">
      <c r="A36" s="23" t="n"/>
      <c r="B36" s="5" t="n"/>
      <c r="C36" s="17" t="n"/>
      <c r="D36" s="17" t="n"/>
      <c r="E36" s="17" t="n"/>
      <c r="F36" s="17" t="n"/>
      <c r="G36" s="17" t="n"/>
      <c r="H36" s="5" t="n"/>
      <c r="I36" s="17" t="n"/>
      <c r="J36" s="18">
        <f>IF(OR($C36="",$E36=""),"",$E36/$C36)</f>
        <v/>
      </c>
      <c r="K36" s="18">
        <f>IF(OR($E36="",$E36=0,$F36=""),"",$F36/$E36)</f>
        <v/>
      </c>
      <c r="L36" s="18">
        <f>IF(OR($C36="",$F36=""),"",$F36/$C36)</f>
        <v/>
      </c>
      <c r="M36" s="19">
        <f>IF(OR($F36="",$F36=0,$G36=""),"",$G36/$F36)</f>
        <v/>
      </c>
      <c r="N36" s="19">
        <f>IF(OR($I36="",$F36="",$F36=0),"",$I36/$F36)</f>
        <v/>
      </c>
      <c r="O36" s="18">
        <f>IF(OR($I36="",$G36="",$G36=0),"",$I36/$G36)</f>
        <v/>
      </c>
      <c r="P36" s="26">
        <f>IF($L36="","",IF($L36&gt;='00_設定'!$B$12,"◎",IF($L36&gt;='00_設定'!$B$13,"○",IF($L36&gt;=0.002,"▲","✕"))))</f>
        <v/>
      </c>
      <c r="Q36" s="7" t="n"/>
    </row>
    <row r="37">
      <c r="A37" s="22" t="n"/>
      <c r="B37" s="16" t="n"/>
      <c r="C37" s="17" t="n"/>
      <c r="D37" s="17" t="n"/>
      <c r="E37" s="17" t="n"/>
      <c r="F37" s="17" t="n"/>
      <c r="G37" s="17" t="n"/>
      <c r="H37" s="16" t="n"/>
      <c r="I37" s="17" t="n"/>
      <c r="J37" s="18">
        <f>IF(OR($C37="",$E37=""),"",$E37/$C37)</f>
        <v/>
      </c>
      <c r="K37" s="18">
        <f>IF(OR($E37="",$E37=0,$F37=""),"",$F37/$E37)</f>
        <v/>
      </c>
      <c r="L37" s="18">
        <f>IF(OR($C37="",$F37=""),"",$F37/$C37)</f>
        <v/>
      </c>
      <c r="M37" s="19">
        <f>IF(OR($F37="",$F37=0,$G37=""),"",$G37/$F37)</f>
        <v/>
      </c>
      <c r="N37" s="19">
        <f>IF(OR($I37="",$F37="",$F37=0),"",$I37/$F37)</f>
        <v/>
      </c>
      <c r="O37" s="18">
        <f>IF(OR($I37="",$G37="",$G37=0),"",$I37/$G37)</f>
        <v/>
      </c>
      <c r="P37" s="26">
        <f>IF($L37="","",IF($L37&gt;='00_設定'!$B$12,"◎",IF($L37&gt;='00_設定'!$B$13,"○",IF($L37&gt;=0.002,"▲","✕"))))</f>
        <v/>
      </c>
      <c r="Q37" s="7" t="n"/>
    </row>
    <row r="38">
      <c r="A38" s="23" t="n"/>
      <c r="B38" s="5" t="n"/>
      <c r="C38" s="17" t="n"/>
      <c r="D38" s="17" t="n"/>
      <c r="E38" s="17" t="n"/>
      <c r="F38" s="17" t="n"/>
      <c r="G38" s="17" t="n"/>
      <c r="H38" s="5" t="n"/>
      <c r="I38" s="17" t="n"/>
      <c r="J38" s="18">
        <f>IF(OR($C38="",$E38=""),"",$E38/$C38)</f>
        <v/>
      </c>
      <c r="K38" s="18">
        <f>IF(OR($E38="",$E38=0,$F38=""),"",$F38/$E38)</f>
        <v/>
      </c>
      <c r="L38" s="18">
        <f>IF(OR($C38="",$F38=""),"",$F38/$C38)</f>
        <v/>
      </c>
      <c r="M38" s="19">
        <f>IF(OR($F38="",$F38=0,$G38=""),"",$G38/$F38)</f>
        <v/>
      </c>
      <c r="N38" s="19">
        <f>IF(OR($I38="",$F38="",$F38=0),"",$I38/$F38)</f>
        <v/>
      </c>
      <c r="O38" s="18">
        <f>IF(OR($I38="",$G38="",$G38=0),"",$I38/$G38)</f>
        <v/>
      </c>
      <c r="P38" s="26">
        <f>IF($L38="","",IF($L38&gt;='00_設定'!$B$12,"◎",IF($L38&gt;='00_設定'!$B$13,"○",IF($L38&gt;=0.002,"▲","✕"))))</f>
        <v/>
      </c>
      <c r="Q38" s="7" t="n"/>
    </row>
    <row r="39">
      <c r="A39" s="22" t="n"/>
      <c r="B39" s="16" t="n"/>
      <c r="C39" s="17" t="n"/>
      <c r="D39" s="17" t="n"/>
      <c r="E39" s="17" t="n"/>
      <c r="F39" s="17" t="n"/>
      <c r="G39" s="17" t="n"/>
      <c r="H39" s="16" t="n"/>
      <c r="I39" s="17" t="n"/>
      <c r="J39" s="18">
        <f>IF(OR($C39="",$E39=""),"",$E39/$C39)</f>
        <v/>
      </c>
      <c r="K39" s="18">
        <f>IF(OR($E39="",$E39=0,$F39=""),"",$F39/$E39)</f>
        <v/>
      </c>
      <c r="L39" s="18">
        <f>IF(OR($C39="",$F39=""),"",$F39/$C39)</f>
        <v/>
      </c>
      <c r="M39" s="19">
        <f>IF(OR($F39="",$F39=0,$G39=""),"",$G39/$F39)</f>
        <v/>
      </c>
      <c r="N39" s="19">
        <f>IF(OR($I39="",$F39="",$F39=0),"",$I39/$F39)</f>
        <v/>
      </c>
      <c r="O39" s="18">
        <f>IF(OR($I39="",$G39="",$G39=0),"",$I39/$G39)</f>
        <v/>
      </c>
      <c r="P39" s="26">
        <f>IF($L39="","",IF($L39&gt;='00_設定'!$B$12,"◎",IF($L39&gt;='00_設定'!$B$13,"○",IF($L39&gt;=0.002,"▲","✕"))))</f>
        <v/>
      </c>
      <c r="Q39" s="7" t="n"/>
    </row>
    <row r="40">
      <c r="A40" s="23" t="n"/>
      <c r="B40" s="5" t="n"/>
      <c r="C40" s="17" t="n"/>
      <c r="D40" s="17" t="n"/>
      <c r="E40" s="17" t="n"/>
      <c r="F40" s="17" t="n"/>
      <c r="G40" s="17" t="n"/>
      <c r="H40" s="5" t="n"/>
      <c r="I40" s="17" t="n"/>
      <c r="J40" s="18">
        <f>IF(OR($C40="",$E40=""),"",$E40/$C40)</f>
        <v/>
      </c>
      <c r="K40" s="18">
        <f>IF(OR($E40="",$E40=0,$F40=""),"",$F40/$E40)</f>
        <v/>
      </c>
      <c r="L40" s="18">
        <f>IF(OR($C40="",$F40=""),"",$F40/$C40)</f>
        <v/>
      </c>
      <c r="M40" s="19">
        <f>IF(OR($F40="",$F40=0,$G40=""),"",$G40/$F40)</f>
        <v/>
      </c>
      <c r="N40" s="19">
        <f>IF(OR($I40="",$F40="",$F40=0),"",$I40/$F40)</f>
        <v/>
      </c>
      <c r="O40" s="18">
        <f>IF(OR($I40="",$G40="",$G40=0),"",$I40/$G40)</f>
        <v/>
      </c>
      <c r="P40" s="26">
        <f>IF($L40="","",IF($L40&gt;='00_設定'!$B$12,"◎",IF($L40&gt;='00_設定'!$B$13,"○",IF($L40&gt;=0.002,"▲","✕"))))</f>
        <v/>
      </c>
      <c r="Q40" s="7" t="n"/>
    </row>
    <row r="41">
      <c r="A41" s="22" t="n"/>
      <c r="B41" s="16" t="n"/>
      <c r="C41" s="17" t="n"/>
      <c r="D41" s="17" t="n"/>
      <c r="E41" s="17" t="n"/>
      <c r="F41" s="17" t="n"/>
      <c r="G41" s="17" t="n"/>
      <c r="H41" s="16" t="n"/>
      <c r="I41" s="17" t="n"/>
      <c r="J41" s="18">
        <f>IF(OR($C41="",$E41=""),"",$E41/$C41)</f>
        <v/>
      </c>
      <c r="K41" s="18">
        <f>IF(OR($E41="",$E41=0,$F41=""),"",$F41/$E41)</f>
        <v/>
      </c>
      <c r="L41" s="18">
        <f>IF(OR($C41="",$F41=""),"",$F41/$C41)</f>
        <v/>
      </c>
      <c r="M41" s="19">
        <f>IF(OR($F41="",$F41=0,$G41=""),"",$G41/$F41)</f>
        <v/>
      </c>
      <c r="N41" s="19">
        <f>IF(OR($I41="",$F41="",$F41=0),"",$I41/$F41)</f>
        <v/>
      </c>
      <c r="O41" s="18">
        <f>IF(OR($I41="",$G41="",$G41=0),"",$I41/$G41)</f>
        <v/>
      </c>
      <c r="P41" s="26">
        <f>IF($L41="","",IF($L41&gt;='00_設定'!$B$12,"◎",IF($L41&gt;='00_設定'!$B$13,"○",IF($L41&gt;=0.002,"▲","✕"))))</f>
        <v/>
      </c>
      <c r="Q41" s="7" t="n"/>
    </row>
    <row r="42">
      <c r="A42" s="23" t="n"/>
      <c r="B42" s="5" t="n"/>
      <c r="C42" s="17" t="n"/>
      <c r="D42" s="17" t="n"/>
      <c r="E42" s="17" t="n"/>
      <c r="F42" s="17" t="n"/>
      <c r="G42" s="17" t="n"/>
      <c r="H42" s="5" t="n"/>
      <c r="I42" s="17" t="n"/>
      <c r="J42" s="18">
        <f>IF(OR($C42="",$E42=""),"",$E42/$C42)</f>
        <v/>
      </c>
      <c r="K42" s="18">
        <f>IF(OR($E42="",$E42=0,$F42=""),"",$F42/$E42)</f>
        <v/>
      </c>
      <c r="L42" s="18">
        <f>IF(OR($C42="",$F42=""),"",$F42/$C42)</f>
        <v/>
      </c>
      <c r="M42" s="19">
        <f>IF(OR($F42="",$F42=0,$G42=""),"",$G42/$F42)</f>
        <v/>
      </c>
      <c r="N42" s="19">
        <f>IF(OR($I42="",$F42="",$F42=0),"",$I42/$F42)</f>
        <v/>
      </c>
      <c r="O42" s="18">
        <f>IF(OR($I42="",$G42="",$G42=0),"",$I42/$G42)</f>
        <v/>
      </c>
      <c r="P42" s="26">
        <f>IF($L42="","",IF($L42&gt;='00_設定'!$B$12,"◎",IF($L42&gt;='00_設定'!$B$13,"○",IF($L42&gt;=0.002,"▲","✕"))))</f>
        <v/>
      </c>
      <c r="Q42" s="7" t="n"/>
    </row>
    <row r="43">
      <c r="A43" s="22" t="n"/>
      <c r="B43" s="16" t="n"/>
      <c r="C43" s="17" t="n"/>
      <c r="D43" s="17" t="n"/>
      <c r="E43" s="17" t="n"/>
      <c r="F43" s="17" t="n"/>
      <c r="G43" s="17" t="n"/>
      <c r="H43" s="16" t="n"/>
      <c r="I43" s="17" t="n"/>
      <c r="J43" s="18">
        <f>IF(OR($C43="",$E43=""),"",$E43/$C43)</f>
        <v/>
      </c>
      <c r="K43" s="18">
        <f>IF(OR($E43="",$E43=0,$F43=""),"",$F43/$E43)</f>
        <v/>
      </c>
      <c r="L43" s="18">
        <f>IF(OR($C43="",$F43=""),"",$F43/$C43)</f>
        <v/>
      </c>
      <c r="M43" s="19">
        <f>IF(OR($F43="",$F43=0,$G43=""),"",$G43/$F43)</f>
        <v/>
      </c>
      <c r="N43" s="19">
        <f>IF(OR($I43="",$F43="",$F43=0),"",$I43/$F43)</f>
        <v/>
      </c>
      <c r="O43" s="18">
        <f>IF(OR($I43="",$G43="",$G43=0),"",$I43/$G43)</f>
        <v/>
      </c>
      <c r="P43" s="26">
        <f>IF($L43="","",IF($L43&gt;='00_設定'!$B$12,"◎",IF($L43&gt;='00_設定'!$B$13,"○",IF($L43&gt;=0.002,"▲","✕"))))</f>
        <v/>
      </c>
      <c r="Q43" s="7" t="n"/>
    </row>
    <row r="44">
      <c r="A44" s="23" t="n"/>
      <c r="B44" s="5" t="n"/>
      <c r="C44" s="17" t="n"/>
      <c r="D44" s="17" t="n"/>
      <c r="E44" s="17" t="n"/>
      <c r="F44" s="17" t="n"/>
      <c r="G44" s="17" t="n"/>
      <c r="H44" s="5" t="n"/>
      <c r="I44" s="17" t="n"/>
      <c r="J44" s="18">
        <f>IF(OR($C44="",$E44=""),"",$E44/$C44)</f>
        <v/>
      </c>
      <c r="K44" s="18">
        <f>IF(OR($E44="",$E44=0,$F44=""),"",$F44/$E44)</f>
        <v/>
      </c>
      <c r="L44" s="18">
        <f>IF(OR($C44="",$F44=""),"",$F44/$C44)</f>
        <v/>
      </c>
      <c r="M44" s="19">
        <f>IF(OR($F44="",$F44=0,$G44=""),"",$G44/$F44)</f>
        <v/>
      </c>
      <c r="N44" s="19">
        <f>IF(OR($I44="",$F44="",$F44=0),"",$I44/$F44)</f>
        <v/>
      </c>
      <c r="O44" s="18">
        <f>IF(OR($I44="",$G44="",$G44=0),"",$I44/$G44)</f>
        <v/>
      </c>
      <c r="P44" s="26">
        <f>IF($L44="","",IF($L44&gt;='00_設定'!$B$12,"◎",IF($L44&gt;='00_設定'!$B$13,"○",IF($L44&gt;=0.002,"▲","✕"))))</f>
        <v/>
      </c>
      <c r="Q44" s="7" t="n"/>
    </row>
    <row r="45">
      <c r="A45" s="22" t="n"/>
      <c r="B45" s="16" t="n"/>
      <c r="C45" s="17" t="n"/>
      <c r="D45" s="17" t="n"/>
      <c r="E45" s="17" t="n"/>
      <c r="F45" s="17" t="n"/>
      <c r="G45" s="17" t="n"/>
      <c r="H45" s="16" t="n"/>
      <c r="I45" s="17" t="n"/>
      <c r="J45" s="18">
        <f>IF(OR($C45="",$E45=""),"",$E45/$C45)</f>
        <v/>
      </c>
      <c r="K45" s="18">
        <f>IF(OR($E45="",$E45=0,$F45=""),"",$F45/$E45)</f>
        <v/>
      </c>
      <c r="L45" s="18">
        <f>IF(OR($C45="",$F45=""),"",$F45/$C45)</f>
        <v/>
      </c>
      <c r="M45" s="19">
        <f>IF(OR($F45="",$F45=0,$G45=""),"",$G45/$F45)</f>
        <v/>
      </c>
      <c r="N45" s="19">
        <f>IF(OR($I45="",$F45="",$F45=0),"",$I45/$F45)</f>
        <v/>
      </c>
      <c r="O45" s="18">
        <f>IF(OR($I45="",$G45="",$G45=0),"",$I45/$G45)</f>
        <v/>
      </c>
      <c r="P45" s="26">
        <f>IF($L45="","",IF($L45&gt;='00_設定'!$B$12,"◎",IF($L45&gt;='00_設定'!$B$13,"○",IF($L45&gt;=0.002,"▲","✕"))))</f>
        <v/>
      </c>
      <c r="Q45" s="7" t="n"/>
    </row>
    <row r="46">
      <c r="A46" s="23" t="n"/>
      <c r="B46" s="5" t="n"/>
      <c r="C46" s="17" t="n"/>
      <c r="D46" s="17" t="n"/>
      <c r="E46" s="17" t="n"/>
      <c r="F46" s="17" t="n"/>
      <c r="G46" s="17" t="n"/>
      <c r="H46" s="5" t="n"/>
      <c r="I46" s="17" t="n"/>
      <c r="J46" s="18">
        <f>IF(OR($C46="",$E46=""),"",$E46/$C46)</f>
        <v/>
      </c>
      <c r="K46" s="18">
        <f>IF(OR($E46="",$E46=0,$F46=""),"",$F46/$E46)</f>
        <v/>
      </c>
      <c r="L46" s="18">
        <f>IF(OR($C46="",$F46=""),"",$F46/$C46)</f>
        <v/>
      </c>
      <c r="M46" s="19">
        <f>IF(OR($F46="",$F46=0,$G46=""),"",$G46/$F46)</f>
        <v/>
      </c>
      <c r="N46" s="19">
        <f>IF(OR($I46="",$F46="",$F46=0),"",$I46/$F46)</f>
        <v/>
      </c>
      <c r="O46" s="18">
        <f>IF(OR($I46="",$G46="",$G46=0),"",$I46/$G46)</f>
        <v/>
      </c>
      <c r="P46" s="26">
        <f>IF($L46="","",IF($L46&gt;='00_設定'!$B$12,"◎",IF($L46&gt;='00_設定'!$B$13,"○",IF($L46&gt;=0.002,"▲","✕"))))</f>
        <v/>
      </c>
      <c r="Q46" s="7" t="n"/>
    </row>
    <row r="47">
      <c r="A47" s="22" t="n"/>
      <c r="B47" s="16" t="n"/>
      <c r="C47" s="17" t="n"/>
      <c r="D47" s="17" t="n"/>
      <c r="E47" s="17" t="n"/>
      <c r="F47" s="17" t="n"/>
      <c r="G47" s="17" t="n"/>
      <c r="H47" s="16" t="n"/>
      <c r="I47" s="17" t="n"/>
      <c r="J47" s="18">
        <f>IF(OR($C47="",$E47=""),"",$E47/$C47)</f>
        <v/>
      </c>
      <c r="K47" s="18">
        <f>IF(OR($E47="",$E47=0,$F47=""),"",$F47/$E47)</f>
        <v/>
      </c>
      <c r="L47" s="18">
        <f>IF(OR($C47="",$F47=""),"",$F47/$C47)</f>
        <v/>
      </c>
      <c r="M47" s="19">
        <f>IF(OR($F47="",$F47=0,$G47=""),"",$G47/$F47)</f>
        <v/>
      </c>
      <c r="N47" s="19">
        <f>IF(OR($I47="",$F47="",$F47=0),"",$I47/$F47)</f>
        <v/>
      </c>
      <c r="O47" s="18">
        <f>IF(OR($I47="",$G47="",$G47=0),"",$I47/$G47)</f>
        <v/>
      </c>
      <c r="P47" s="26">
        <f>IF($L47="","",IF($L47&gt;='00_設定'!$B$12,"◎",IF($L47&gt;='00_設定'!$B$13,"○",IF($L47&gt;=0.002,"▲","✕"))))</f>
        <v/>
      </c>
      <c r="Q47" s="7" t="n"/>
    </row>
    <row r="48">
      <c r="A48" s="23" t="n"/>
      <c r="B48" s="5" t="n"/>
      <c r="C48" s="17" t="n"/>
      <c r="D48" s="17" t="n"/>
      <c r="E48" s="17" t="n"/>
      <c r="F48" s="17" t="n"/>
      <c r="G48" s="17" t="n"/>
      <c r="H48" s="5" t="n"/>
      <c r="I48" s="17" t="n"/>
      <c r="J48" s="18">
        <f>IF(OR($C48="",$E48=""),"",$E48/$C48)</f>
        <v/>
      </c>
      <c r="K48" s="18">
        <f>IF(OR($E48="",$E48=0,$F48=""),"",$F48/$E48)</f>
        <v/>
      </c>
      <c r="L48" s="18">
        <f>IF(OR($C48="",$F48=""),"",$F48/$C48)</f>
        <v/>
      </c>
      <c r="M48" s="19">
        <f>IF(OR($F48="",$F48=0,$G48=""),"",$G48/$F48)</f>
        <v/>
      </c>
      <c r="N48" s="19">
        <f>IF(OR($I48="",$F48="",$F48=0),"",$I48/$F48)</f>
        <v/>
      </c>
      <c r="O48" s="18">
        <f>IF(OR($I48="",$G48="",$G48=0),"",$I48/$G48)</f>
        <v/>
      </c>
      <c r="P48" s="26">
        <f>IF($L48="","",IF($L48&gt;='00_設定'!$B$12,"◎",IF($L48&gt;='00_設定'!$B$13,"○",IF($L48&gt;=0.002,"▲","✕"))))</f>
        <v/>
      </c>
      <c r="Q48" s="7" t="n"/>
    </row>
    <row r="49">
      <c r="A49" s="22" t="n"/>
      <c r="B49" s="16" t="n"/>
      <c r="C49" s="17" t="n"/>
      <c r="D49" s="17" t="n"/>
      <c r="E49" s="17" t="n"/>
      <c r="F49" s="17" t="n"/>
      <c r="G49" s="17" t="n"/>
      <c r="H49" s="16" t="n"/>
      <c r="I49" s="17" t="n"/>
      <c r="J49" s="18">
        <f>IF(OR($C49="",$E49=""),"",$E49/$C49)</f>
        <v/>
      </c>
      <c r="K49" s="18">
        <f>IF(OR($E49="",$E49=0,$F49=""),"",$F49/$E49)</f>
        <v/>
      </c>
      <c r="L49" s="18">
        <f>IF(OR($C49="",$F49=""),"",$F49/$C49)</f>
        <v/>
      </c>
      <c r="M49" s="19">
        <f>IF(OR($F49="",$F49=0,$G49=""),"",$G49/$F49)</f>
        <v/>
      </c>
      <c r="N49" s="19">
        <f>IF(OR($I49="",$F49="",$F49=0),"",$I49/$F49)</f>
        <v/>
      </c>
      <c r="O49" s="18">
        <f>IF(OR($I49="",$G49="",$G49=0),"",$I49/$G49)</f>
        <v/>
      </c>
      <c r="P49" s="26">
        <f>IF($L49="","",IF($L49&gt;='00_設定'!$B$12,"◎",IF($L49&gt;='00_設定'!$B$13,"○",IF($L49&gt;=0.002,"▲","✕"))))</f>
        <v/>
      </c>
      <c r="Q49" s="7" t="n"/>
    </row>
    <row r="50">
      <c r="A50" s="23" t="n"/>
      <c r="B50" s="5" t="n"/>
      <c r="C50" s="17" t="n"/>
      <c r="D50" s="17" t="n"/>
      <c r="E50" s="17" t="n"/>
      <c r="F50" s="17" t="n"/>
      <c r="G50" s="17" t="n"/>
      <c r="H50" s="5" t="n"/>
      <c r="I50" s="17" t="n"/>
      <c r="J50" s="18">
        <f>IF(OR($C50="",$E50=""),"",$E50/$C50)</f>
        <v/>
      </c>
      <c r="K50" s="18">
        <f>IF(OR($E50="",$E50=0,$F50=""),"",$F50/$E50)</f>
        <v/>
      </c>
      <c r="L50" s="18">
        <f>IF(OR($C50="",$F50=""),"",$F50/$C50)</f>
        <v/>
      </c>
      <c r="M50" s="19">
        <f>IF(OR($F50="",$F50=0,$G50=""),"",$G50/$F50)</f>
        <v/>
      </c>
      <c r="N50" s="19">
        <f>IF(OR($I50="",$F50="",$F50=0),"",$I50/$F50)</f>
        <v/>
      </c>
      <c r="O50" s="18">
        <f>IF(OR($I50="",$G50="",$G50=0),"",$I50/$G50)</f>
        <v/>
      </c>
      <c r="P50" s="26">
        <f>IF($L50="","",IF($L50&gt;='00_設定'!$B$12,"◎",IF($L50&gt;='00_設定'!$B$13,"○",IF($L50&gt;=0.002,"▲","✕"))))</f>
        <v/>
      </c>
      <c r="Q50" s="7" t="n"/>
    </row>
    <row r="51">
      <c r="A51" s="22" t="n"/>
      <c r="B51" s="16" t="n"/>
      <c r="C51" s="17" t="n"/>
      <c r="D51" s="17" t="n"/>
      <c r="E51" s="17" t="n"/>
      <c r="F51" s="17" t="n"/>
      <c r="G51" s="17" t="n"/>
      <c r="H51" s="16" t="n"/>
      <c r="I51" s="17" t="n"/>
      <c r="J51" s="18">
        <f>IF(OR($C51="",$E51=""),"",$E51/$C51)</f>
        <v/>
      </c>
      <c r="K51" s="18">
        <f>IF(OR($E51="",$E51=0,$F51=""),"",$F51/$E51)</f>
        <v/>
      </c>
      <c r="L51" s="18">
        <f>IF(OR($C51="",$F51=""),"",$F51/$C51)</f>
        <v/>
      </c>
      <c r="M51" s="19">
        <f>IF(OR($F51="",$F51=0,$G51=""),"",$G51/$F51)</f>
        <v/>
      </c>
      <c r="N51" s="19">
        <f>IF(OR($I51="",$F51="",$F51=0),"",$I51/$F51)</f>
        <v/>
      </c>
      <c r="O51" s="18">
        <f>IF(OR($I51="",$G51="",$G51=0),"",$I51/$G51)</f>
        <v/>
      </c>
      <c r="P51" s="26">
        <f>IF($L51="","",IF($L51&gt;='00_設定'!$B$12,"◎",IF($L51&gt;='00_設定'!$B$13,"○",IF($L51&gt;=0.002,"▲","✕"))))</f>
        <v/>
      </c>
      <c r="Q51" s="7" t="n"/>
    </row>
    <row r="52">
      <c r="A52" s="23" t="n"/>
      <c r="B52" s="5" t="n"/>
      <c r="C52" s="17" t="n"/>
      <c r="D52" s="17" t="n"/>
      <c r="E52" s="17" t="n"/>
      <c r="F52" s="17" t="n"/>
      <c r="G52" s="17" t="n"/>
      <c r="H52" s="5" t="n"/>
      <c r="I52" s="17" t="n"/>
      <c r="J52" s="18">
        <f>IF(OR($C52="",$E52=""),"",$E52/$C52)</f>
        <v/>
      </c>
      <c r="K52" s="18">
        <f>IF(OR($E52="",$E52=0,$F52=""),"",$F52/$E52)</f>
        <v/>
      </c>
      <c r="L52" s="18">
        <f>IF(OR($C52="",$F52=""),"",$F52/$C52)</f>
        <v/>
      </c>
      <c r="M52" s="19">
        <f>IF(OR($F52="",$F52=0,$G52=""),"",$G52/$F52)</f>
        <v/>
      </c>
      <c r="N52" s="19">
        <f>IF(OR($I52="",$F52="",$F52=0),"",$I52/$F52)</f>
        <v/>
      </c>
      <c r="O52" s="18">
        <f>IF(OR($I52="",$G52="",$G52=0),"",$I52/$G52)</f>
        <v/>
      </c>
      <c r="P52" s="26">
        <f>IF($L52="","",IF($L52&gt;='00_設定'!$B$12,"◎",IF($L52&gt;='00_設定'!$B$13,"○",IF($L52&gt;=0.002,"▲","✕"))))</f>
        <v/>
      </c>
      <c r="Q52" s="7" t="n"/>
    </row>
    <row r="53">
      <c r="A53" s="22" t="n"/>
      <c r="B53" s="16" t="n"/>
      <c r="C53" s="17" t="n"/>
      <c r="D53" s="17" t="n"/>
      <c r="E53" s="17" t="n"/>
      <c r="F53" s="17" t="n"/>
      <c r="G53" s="17" t="n"/>
      <c r="H53" s="16" t="n"/>
      <c r="I53" s="17" t="n"/>
      <c r="J53" s="18">
        <f>IF(OR($C53="",$E53=""),"",$E53/$C53)</f>
        <v/>
      </c>
      <c r="K53" s="18">
        <f>IF(OR($E53="",$E53=0,$F53=""),"",$F53/$E53)</f>
        <v/>
      </c>
      <c r="L53" s="18">
        <f>IF(OR($C53="",$F53=""),"",$F53/$C53)</f>
        <v/>
      </c>
      <c r="M53" s="19">
        <f>IF(OR($F53="",$F53=0,$G53=""),"",$G53/$F53)</f>
        <v/>
      </c>
      <c r="N53" s="19">
        <f>IF(OR($I53="",$F53="",$F53=0),"",$I53/$F53)</f>
        <v/>
      </c>
      <c r="O53" s="18">
        <f>IF(OR($I53="",$G53="",$G53=0),"",$I53/$G53)</f>
        <v/>
      </c>
      <c r="P53" s="26">
        <f>IF($L53="","",IF($L53&gt;='00_設定'!$B$12,"◎",IF($L53&gt;='00_設定'!$B$13,"○",IF($L53&gt;=0.002,"▲","✕"))))</f>
        <v/>
      </c>
      <c r="Q53" s="7" t="n"/>
    </row>
    <row r="54">
      <c r="A54" s="23" t="n"/>
      <c r="B54" s="5" t="n"/>
      <c r="C54" s="17" t="n"/>
      <c r="D54" s="17" t="n"/>
      <c r="E54" s="17" t="n"/>
      <c r="F54" s="17" t="n"/>
      <c r="G54" s="17" t="n"/>
      <c r="H54" s="5" t="n"/>
      <c r="I54" s="17" t="n"/>
      <c r="J54" s="18">
        <f>IF(OR($C54="",$E54=""),"",$E54/$C54)</f>
        <v/>
      </c>
      <c r="K54" s="18">
        <f>IF(OR($E54="",$E54=0,$F54=""),"",$F54/$E54)</f>
        <v/>
      </c>
      <c r="L54" s="18">
        <f>IF(OR($C54="",$F54=""),"",$F54/$C54)</f>
        <v/>
      </c>
      <c r="M54" s="19">
        <f>IF(OR($F54="",$F54=0,$G54=""),"",$G54/$F54)</f>
        <v/>
      </c>
      <c r="N54" s="19">
        <f>IF(OR($I54="",$F54="",$F54=0),"",$I54/$F54)</f>
        <v/>
      </c>
      <c r="O54" s="18">
        <f>IF(OR($I54="",$G54="",$G54=0),"",$I54/$G54)</f>
        <v/>
      </c>
      <c r="P54" s="26">
        <f>IF($L54="","",IF($L54&gt;='00_設定'!$B$12,"◎",IF($L54&gt;='00_設定'!$B$13,"○",IF($L54&gt;=0.002,"▲","✕"))))</f>
        <v/>
      </c>
      <c r="Q54" s="7" t="n"/>
    </row>
    <row r="55">
      <c r="A55" s="22" t="n"/>
      <c r="B55" s="16" t="n"/>
      <c r="C55" s="17" t="n"/>
      <c r="D55" s="17" t="n"/>
      <c r="E55" s="17" t="n"/>
      <c r="F55" s="17" t="n"/>
      <c r="G55" s="17" t="n"/>
      <c r="H55" s="16" t="n"/>
      <c r="I55" s="17" t="n"/>
      <c r="J55" s="18">
        <f>IF(OR($C55="",$E55=""),"",$E55/$C55)</f>
        <v/>
      </c>
      <c r="K55" s="18">
        <f>IF(OR($E55="",$E55=0,$F55=""),"",$F55/$E55)</f>
        <v/>
      </c>
      <c r="L55" s="18">
        <f>IF(OR($C55="",$F55=""),"",$F55/$C55)</f>
        <v/>
      </c>
      <c r="M55" s="19">
        <f>IF(OR($F55="",$F55=0,$G55=""),"",$G55/$F55)</f>
        <v/>
      </c>
      <c r="N55" s="19">
        <f>IF(OR($I55="",$F55="",$F55=0),"",$I55/$F55)</f>
        <v/>
      </c>
      <c r="O55" s="18">
        <f>IF(OR($I55="",$G55="",$G55=0),"",$I55/$G55)</f>
        <v/>
      </c>
      <c r="P55" s="26">
        <f>IF($L55="","",IF($L55&gt;='00_設定'!$B$12,"◎",IF($L55&gt;='00_設定'!$B$13,"○",IF($L55&gt;=0.002,"▲","✕"))))</f>
        <v/>
      </c>
      <c r="Q55" s="7" t="n"/>
    </row>
    <row r="56">
      <c r="A56" s="23" t="n"/>
      <c r="B56" s="5" t="n"/>
      <c r="C56" s="17" t="n"/>
      <c r="D56" s="17" t="n"/>
      <c r="E56" s="17" t="n"/>
      <c r="F56" s="17" t="n"/>
      <c r="G56" s="17" t="n"/>
      <c r="H56" s="5" t="n"/>
      <c r="I56" s="17" t="n"/>
      <c r="J56" s="18">
        <f>IF(OR($C56="",$E56=""),"",$E56/$C56)</f>
        <v/>
      </c>
      <c r="K56" s="18">
        <f>IF(OR($E56="",$E56=0,$F56=""),"",$F56/$E56)</f>
        <v/>
      </c>
      <c r="L56" s="18">
        <f>IF(OR($C56="",$F56=""),"",$F56/$C56)</f>
        <v/>
      </c>
      <c r="M56" s="19">
        <f>IF(OR($F56="",$F56=0,$G56=""),"",$G56/$F56)</f>
        <v/>
      </c>
      <c r="N56" s="19">
        <f>IF(OR($I56="",$F56="",$F56=0),"",$I56/$F56)</f>
        <v/>
      </c>
      <c r="O56" s="18">
        <f>IF(OR($I56="",$G56="",$G56=0),"",$I56/$G56)</f>
        <v/>
      </c>
      <c r="P56" s="26">
        <f>IF($L56="","",IF($L56&gt;='00_設定'!$B$12,"◎",IF($L56&gt;='00_設定'!$B$13,"○",IF($L56&gt;=0.002,"▲","✕"))))</f>
        <v/>
      </c>
      <c r="Q56" s="7" t="n"/>
    </row>
    <row r="57">
      <c r="A57" s="22" t="n"/>
      <c r="B57" s="16" t="n"/>
      <c r="C57" s="17" t="n"/>
      <c r="D57" s="17" t="n"/>
      <c r="E57" s="17" t="n"/>
      <c r="F57" s="17" t="n"/>
      <c r="G57" s="17" t="n"/>
      <c r="H57" s="16" t="n"/>
      <c r="I57" s="17" t="n"/>
      <c r="J57" s="18">
        <f>IF(OR($C57="",$E57=""),"",$E57/$C57)</f>
        <v/>
      </c>
      <c r="K57" s="18">
        <f>IF(OR($E57="",$E57=0,$F57=""),"",$F57/$E57)</f>
        <v/>
      </c>
      <c r="L57" s="18">
        <f>IF(OR($C57="",$F57=""),"",$F57/$C57)</f>
        <v/>
      </c>
      <c r="M57" s="19">
        <f>IF(OR($F57="",$F57=0,$G57=""),"",$G57/$F57)</f>
        <v/>
      </c>
      <c r="N57" s="19">
        <f>IF(OR($I57="",$F57="",$F57=0),"",$I57/$F57)</f>
        <v/>
      </c>
      <c r="O57" s="18">
        <f>IF(OR($I57="",$G57="",$G57=0),"",$I57/$G57)</f>
        <v/>
      </c>
      <c r="P57" s="26">
        <f>IF($L57="","",IF($L57&gt;='00_設定'!$B$12,"◎",IF($L57&gt;='00_設定'!$B$13,"○",IF($L57&gt;=0.002,"▲","✕"))))</f>
        <v/>
      </c>
      <c r="Q57" s="7" t="n"/>
    </row>
    <row r="58">
      <c r="A58" s="23" t="n"/>
      <c r="B58" s="5" t="n"/>
      <c r="C58" s="17" t="n"/>
      <c r="D58" s="17" t="n"/>
      <c r="E58" s="17" t="n"/>
      <c r="F58" s="17" t="n"/>
      <c r="G58" s="17" t="n"/>
      <c r="H58" s="5" t="n"/>
      <c r="I58" s="17" t="n"/>
      <c r="J58" s="18">
        <f>IF(OR($C58="",$E58=""),"",$E58/$C58)</f>
        <v/>
      </c>
      <c r="K58" s="18">
        <f>IF(OR($E58="",$E58=0,$F58=""),"",$F58/$E58)</f>
        <v/>
      </c>
      <c r="L58" s="18">
        <f>IF(OR($C58="",$F58=""),"",$F58/$C58)</f>
        <v/>
      </c>
      <c r="M58" s="19">
        <f>IF(OR($F58="",$F58=0,$G58=""),"",$G58/$F58)</f>
        <v/>
      </c>
      <c r="N58" s="19">
        <f>IF(OR($I58="",$F58="",$F58=0),"",$I58/$F58)</f>
        <v/>
      </c>
      <c r="O58" s="18">
        <f>IF(OR($I58="",$G58="",$G58=0),"",$I58/$G58)</f>
        <v/>
      </c>
      <c r="P58" s="26">
        <f>IF($L58="","",IF($L58&gt;='00_設定'!$B$12,"◎",IF($L58&gt;='00_設定'!$B$13,"○",IF($L58&gt;=0.002,"▲","✕"))))</f>
        <v/>
      </c>
      <c r="Q58" s="7" t="n"/>
    </row>
    <row r="59">
      <c r="A59" s="22" t="n"/>
      <c r="B59" s="16" t="n"/>
      <c r="C59" s="17" t="n"/>
      <c r="D59" s="17" t="n"/>
      <c r="E59" s="17" t="n"/>
      <c r="F59" s="17" t="n"/>
      <c r="G59" s="17" t="n"/>
      <c r="H59" s="16" t="n"/>
      <c r="I59" s="17" t="n"/>
      <c r="J59" s="18">
        <f>IF(OR($C59="",$E59=""),"",$E59/$C59)</f>
        <v/>
      </c>
      <c r="K59" s="18">
        <f>IF(OR($E59="",$E59=0,$F59=""),"",$F59/$E59)</f>
        <v/>
      </c>
      <c r="L59" s="18">
        <f>IF(OR($C59="",$F59=""),"",$F59/$C59)</f>
        <v/>
      </c>
      <c r="M59" s="19">
        <f>IF(OR($F59="",$F59=0,$G59=""),"",$G59/$F59)</f>
        <v/>
      </c>
      <c r="N59" s="19">
        <f>IF(OR($I59="",$F59="",$F59=0),"",$I59/$F59)</f>
        <v/>
      </c>
      <c r="O59" s="18">
        <f>IF(OR($I59="",$G59="",$G59=0),"",$I59/$G59)</f>
        <v/>
      </c>
      <c r="P59" s="26">
        <f>IF($L59="","",IF($L59&gt;='00_設定'!$B$12,"◎",IF($L59&gt;='00_設定'!$B$13,"○",IF($L59&gt;=0.002,"▲","✕"))))</f>
        <v/>
      </c>
      <c r="Q59" s="7" t="n"/>
    </row>
    <row r="60">
      <c r="A60" s="23" t="n"/>
      <c r="B60" s="5" t="n"/>
      <c r="C60" s="17" t="n"/>
      <c r="D60" s="17" t="n"/>
      <c r="E60" s="17" t="n"/>
      <c r="F60" s="17" t="n"/>
      <c r="G60" s="17" t="n"/>
      <c r="H60" s="5" t="n"/>
      <c r="I60" s="17" t="n"/>
      <c r="J60" s="18">
        <f>IF(OR($C60="",$E60=""),"",$E60/$C60)</f>
        <v/>
      </c>
      <c r="K60" s="18">
        <f>IF(OR($E60="",$E60=0,$F60=""),"",$F60/$E60)</f>
        <v/>
      </c>
      <c r="L60" s="18">
        <f>IF(OR($C60="",$F60=""),"",$F60/$C60)</f>
        <v/>
      </c>
      <c r="M60" s="19">
        <f>IF(OR($F60="",$F60=0,$G60=""),"",$G60/$F60)</f>
        <v/>
      </c>
      <c r="N60" s="19">
        <f>IF(OR($I60="",$F60="",$F60=0),"",$I60/$F60)</f>
        <v/>
      </c>
      <c r="O60" s="18">
        <f>IF(OR($I60="",$G60="",$G60=0),"",$I60/$G60)</f>
        <v/>
      </c>
      <c r="P60" s="26">
        <f>IF($L60="","",IF($L60&gt;='00_設定'!$B$12,"◎",IF($L60&gt;='00_設定'!$B$13,"○",IF($L60&gt;=0.002,"▲","✕"))))</f>
        <v/>
      </c>
      <c r="Q60" s="7" t="n"/>
    </row>
    <row r="61">
      <c r="A61" s="22" t="n"/>
      <c r="B61" s="16" t="n"/>
      <c r="C61" s="17" t="n"/>
      <c r="D61" s="17" t="n"/>
      <c r="E61" s="17" t="n"/>
      <c r="F61" s="17" t="n"/>
      <c r="G61" s="17" t="n"/>
      <c r="H61" s="16" t="n"/>
      <c r="I61" s="17" t="n"/>
      <c r="J61" s="18">
        <f>IF(OR($C61="",$E61=""),"",$E61/$C61)</f>
        <v/>
      </c>
      <c r="K61" s="18">
        <f>IF(OR($E61="",$E61=0,$F61=""),"",$F61/$E61)</f>
        <v/>
      </c>
      <c r="L61" s="18">
        <f>IF(OR($C61="",$F61=""),"",$F61/$C61)</f>
        <v/>
      </c>
      <c r="M61" s="19">
        <f>IF(OR($F61="",$F61=0,$G61=""),"",$G61/$F61)</f>
        <v/>
      </c>
      <c r="N61" s="19">
        <f>IF(OR($I61="",$F61="",$F61=0),"",$I61/$F61)</f>
        <v/>
      </c>
      <c r="O61" s="18">
        <f>IF(OR($I61="",$G61="",$G61=0),"",$I61/$G61)</f>
        <v/>
      </c>
      <c r="P61" s="26">
        <f>IF($L61="","",IF($L61&gt;='00_設定'!$B$12,"◎",IF($L61&gt;='00_設定'!$B$13,"○",IF($L61&gt;=0.002,"▲","✕"))))</f>
        <v/>
      </c>
      <c r="Q61" s="7" t="n"/>
    </row>
    <row r="62">
      <c r="A62" s="23" t="n"/>
      <c r="B62" s="5" t="n"/>
      <c r="C62" s="17" t="n"/>
      <c r="D62" s="17" t="n"/>
      <c r="E62" s="17" t="n"/>
      <c r="F62" s="17" t="n"/>
      <c r="G62" s="17" t="n"/>
      <c r="H62" s="5" t="n"/>
      <c r="I62" s="17" t="n"/>
      <c r="J62" s="18">
        <f>IF(OR($C62="",$E62=""),"",$E62/$C62)</f>
        <v/>
      </c>
      <c r="K62" s="18">
        <f>IF(OR($E62="",$E62=0,$F62=""),"",$F62/$E62)</f>
        <v/>
      </c>
      <c r="L62" s="18">
        <f>IF(OR($C62="",$F62=""),"",$F62/$C62)</f>
        <v/>
      </c>
      <c r="M62" s="19">
        <f>IF(OR($F62="",$F62=0,$G62=""),"",$G62/$F62)</f>
        <v/>
      </c>
      <c r="N62" s="19">
        <f>IF(OR($I62="",$F62="",$F62=0),"",$I62/$F62)</f>
        <v/>
      </c>
      <c r="O62" s="18">
        <f>IF(OR($I62="",$G62="",$G62=0),"",$I62/$G62)</f>
        <v/>
      </c>
      <c r="P62" s="26">
        <f>IF($L62="","",IF($L62&gt;='00_設定'!$B$12,"◎",IF($L62&gt;='00_設定'!$B$13,"○",IF($L62&gt;=0.002,"▲","✕"))))</f>
        <v/>
      </c>
      <c r="Q62" s="7" t="n"/>
    </row>
    <row r="63">
      <c r="A63" s="22" t="n"/>
      <c r="B63" s="16" t="n"/>
      <c r="C63" s="17" t="n"/>
      <c r="D63" s="17" t="n"/>
      <c r="E63" s="17" t="n"/>
      <c r="F63" s="17" t="n"/>
      <c r="G63" s="17" t="n"/>
      <c r="H63" s="16" t="n"/>
      <c r="I63" s="17" t="n"/>
      <c r="J63" s="18">
        <f>IF(OR($C63="",$E63=""),"",$E63/$C63)</f>
        <v/>
      </c>
      <c r="K63" s="18">
        <f>IF(OR($E63="",$E63=0,$F63=""),"",$F63/$E63)</f>
        <v/>
      </c>
      <c r="L63" s="18">
        <f>IF(OR($C63="",$F63=""),"",$F63/$C63)</f>
        <v/>
      </c>
      <c r="M63" s="19">
        <f>IF(OR($F63="",$F63=0,$G63=""),"",$G63/$F63)</f>
        <v/>
      </c>
      <c r="N63" s="19">
        <f>IF(OR($I63="",$F63="",$F63=0),"",$I63/$F63)</f>
        <v/>
      </c>
      <c r="O63" s="18">
        <f>IF(OR($I63="",$G63="",$G63=0),"",$I63/$G63)</f>
        <v/>
      </c>
      <c r="P63" s="26">
        <f>IF($L63="","",IF($L63&gt;='00_設定'!$B$12,"◎",IF($L63&gt;='00_設定'!$B$13,"○",IF($L63&gt;=0.002,"▲","✕"))))</f>
        <v/>
      </c>
      <c r="Q63" s="7" t="n"/>
    </row>
    <row r="64">
      <c r="A64" s="23" t="n"/>
      <c r="B64" s="5" t="n"/>
      <c r="C64" s="17" t="n"/>
      <c r="D64" s="17" t="n"/>
      <c r="E64" s="17" t="n"/>
      <c r="F64" s="17" t="n"/>
      <c r="G64" s="17" t="n"/>
      <c r="H64" s="5" t="n"/>
      <c r="I64" s="17" t="n"/>
      <c r="J64" s="18">
        <f>IF(OR($C64="",$E64=""),"",$E64/$C64)</f>
        <v/>
      </c>
      <c r="K64" s="18">
        <f>IF(OR($E64="",$E64=0,$F64=""),"",$F64/$E64)</f>
        <v/>
      </c>
      <c r="L64" s="18">
        <f>IF(OR($C64="",$F64=""),"",$F64/$C64)</f>
        <v/>
      </c>
      <c r="M64" s="19">
        <f>IF(OR($F64="",$F64=0,$G64=""),"",$G64/$F64)</f>
        <v/>
      </c>
      <c r="N64" s="19">
        <f>IF(OR($I64="",$F64="",$F64=0),"",$I64/$F64)</f>
        <v/>
      </c>
      <c r="O64" s="18">
        <f>IF(OR($I64="",$G64="",$G64=0),"",$I64/$G64)</f>
        <v/>
      </c>
      <c r="P64" s="26">
        <f>IF($L64="","",IF($L64&gt;='00_設定'!$B$12,"◎",IF($L64&gt;='00_設定'!$B$13,"○",IF($L64&gt;=0.002,"▲","✕"))))</f>
        <v/>
      </c>
      <c r="Q64" s="7" t="n"/>
    </row>
    <row r="65">
      <c r="A65" s="22" t="n"/>
      <c r="B65" s="16" t="n"/>
      <c r="C65" s="17" t="n"/>
      <c r="D65" s="17" t="n"/>
      <c r="E65" s="17" t="n"/>
      <c r="F65" s="17" t="n"/>
      <c r="G65" s="17" t="n"/>
      <c r="H65" s="16" t="n"/>
      <c r="I65" s="17" t="n"/>
      <c r="J65" s="18">
        <f>IF(OR($C65="",$E65=""),"",$E65/$C65)</f>
        <v/>
      </c>
      <c r="K65" s="18">
        <f>IF(OR($E65="",$E65=0,$F65=""),"",$F65/$E65)</f>
        <v/>
      </c>
      <c r="L65" s="18">
        <f>IF(OR($C65="",$F65=""),"",$F65/$C65)</f>
        <v/>
      </c>
      <c r="M65" s="19">
        <f>IF(OR($F65="",$F65=0,$G65=""),"",$G65/$F65)</f>
        <v/>
      </c>
      <c r="N65" s="19">
        <f>IF(OR($I65="",$F65="",$F65=0),"",$I65/$F65)</f>
        <v/>
      </c>
      <c r="O65" s="18">
        <f>IF(OR($I65="",$G65="",$G65=0),"",$I65/$G65)</f>
        <v/>
      </c>
      <c r="P65" s="26">
        <f>IF($L65="","",IF($L65&gt;='00_設定'!$B$12,"◎",IF($L65&gt;='00_設定'!$B$13,"○",IF($L65&gt;=0.002,"▲","✕"))))</f>
        <v/>
      </c>
      <c r="Q65" s="7" t="n"/>
    </row>
    <row r="66">
      <c r="A66" s="23" t="n"/>
      <c r="B66" s="5" t="n"/>
      <c r="C66" s="17" t="n"/>
      <c r="D66" s="17" t="n"/>
      <c r="E66" s="17" t="n"/>
      <c r="F66" s="17" t="n"/>
      <c r="G66" s="17" t="n"/>
      <c r="H66" s="5" t="n"/>
      <c r="I66" s="17" t="n"/>
      <c r="J66" s="18">
        <f>IF(OR($C66="",$E66=""),"",$E66/$C66)</f>
        <v/>
      </c>
      <c r="K66" s="18">
        <f>IF(OR($E66="",$E66=0,$F66=""),"",$F66/$E66)</f>
        <v/>
      </c>
      <c r="L66" s="18">
        <f>IF(OR($C66="",$F66=""),"",$F66/$C66)</f>
        <v/>
      </c>
      <c r="M66" s="19">
        <f>IF(OR($F66="",$F66=0,$G66=""),"",$G66/$F66)</f>
        <v/>
      </c>
      <c r="N66" s="19">
        <f>IF(OR($I66="",$F66="",$F66=0),"",$I66/$F66)</f>
        <v/>
      </c>
      <c r="O66" s="18">
        <f>IF(OR($I66="",$G66="",$G66=0),"",$I66/$G66)</f>
        <v/>
      </c>
      <c r="P66" s="26">
        <f>IF($L66="","",IF($L66&gt;='00_設定'!$B$12,"◎",IF($L66&gt;='00_設定'!$B$13,"○",IF($L66&gt;=0.002,"▲","✕"))))</f>
        <v/>
      </c>
      <c r="Q66" s="7" t="n"/>
    </row>
    <row r="67">
      <c r="A67" s="22" t="n"/>
      <c r="B67" s="16" t="n"/>
      <c r="C67" s="17" t="n"/>
      <c r="D67" s="17" t="n"/>
      <c r="E67" s="17" t="n"/>
      <c r="F67" s="17" t="n"/>
      <c r="G67" s="17" t="n"/>
      <c r="H67" s="16" t="n"/>
      <c r="I67" s="17" t="n"/>
      <c r="J67" s="18">
        <f>IF(OR($C67="",$E67=""),"",$E67/$C67)</f>
        <v/>
      </c>
      <c r="K67" s="18">
        <f>IF(OR($E67="",$E67=0,$F67=""),"",$F67/$E67)</f>
        <v/>
      </c>
      <c r="L67" s="18">
        <f>IF(OR($C67="",$F67=""),"",$F67/$C67)</f>
        <v/>
      </c>
      <c r="M67" s="19">
        <f>IF(OR($F67="",$F67=0,$G67=""),"",$G67/$F67)</f>
        <v/>
      </c>
      <c r="N67" s="19">
        <f>IF(OR($I67="",$F67="",$F67=0),"",$I67/$F67)</f>
        <v/>
      </c>
      <c r="O67" s="18">
        <f>IF(OR($I67="",$G67="",$G67=0),"",$I67/$G67)</f>
        <v/>
      </c>
      <c r="P67" s="26">
        <f>IF($L67="","",IF($L67&gt;='00_設定'!$B$12,"◎",IF($L67&gt;='00_設定'!$B$13,"○",IF($L67&gt;=0.002,"▲","✕"))))</f>
        <v/>
      </c>
      <c r="Q67" s="7" t="n"/>
    </row>
    <row r="68">
      <c r="A68" s="23" t="n"/>
      <c r="B68" s="5" t="n"/>
      <c r="C68" s="17" t="n"/>
      <c r="D68" s="17" t="n"/>
      <c r="E68" s="17" t="n"/>
      <c r="F68" s="17" t="n"/>
      <c r="G68" s="17" t="n"/>
      <c r="H68" s="5" t="n"/>
      <c r="I68" s="17" t="n"/>
      <c r="J68" s="18">
        <f>IF(OR($C68="",$E68=""),"",$E68/$C68)</f>
        <v/>
      </c>
      <c r="K68" s="18">
        <f>IF(OR($E68="",$E68=0,$F68=""),"",$F68/$E68)</f>
        <v/>
      </c>
      <c r="L68" s="18">
        <f>IF(OR($C68="",$F68=""),"",$F68/$C68)</f>
        <v/>
      </c>
      <c r="M68" s="19">
        <f>IF(OR($F68="",$F68=0,$G68=""),"",$G68/$F68)</f>
        <v/>
      </c>
      <c r="N68" s="19">
        <f>IF(OR($I68="",$F68="",$F68=0),"",$I68/$F68)</f>
        <v/>
      </c>
      <c r="O68" s="18">
        <f>IF(OR($I68="",$G68="",$G68=0),"",$I68/$G68)</f>
        <v/>
      </c>
      <c r="P68" s="26">
        <f>IF($L68="","",IF($L68&gt;='00_設定'!$B$12,"◎",IF($L68&gt;='00_設定'!$B$13,"○",IF($L68&gt;=0.002,"▲","✕"))))</f>
        <v/>
      </c>
      <c r="Q68" s="7" t="n"/>
    </row>
    <row r="69">
      <c r="A69" s="22" t="n"/>
      <c r="B69" s="16" t="n"/>
      <c r="C69" s="17" t="n"/>
      <c r="D69" s="17" t="n"/>
      <c r="E69" s="17" t="n"/>
      <c r="F69" s="17" t="n"/>
      <c r="G69" s="17" t="n"/>
      <c r="H69" s="16" t="n"/>
      <c r="I69" s="17" t="n"/>
      <c r="J69" s="18">
        <f>IF(OR($C69="",$E69=""),"",$E69/$C69)</f>
        <v/>
      </c>
      <c r="K69" s="18">
        <f>IF(OR($E69="",$E69=0,$F69=""),"",$F69/$E69)</f>
        <v/>
      </c>
      <c r="L69" s="18">
        <f>IF(OR($C69="",$F69=""),"",$F69/$C69)</f>
        <v/>
      </c>
      <c r="M69" s="19">
        <f>IF(OR($F69="",$F69=0,$G69=""),"",$G69/$F69)</f>
        <v/>
      </c>
      <c r="N69" s="19">
        <f>IF(OR($I69="",$F69="",$F69=0),"",$I69/$F69)</f>
        <v/>
      </c>
      <c r="O69" s="18">
        <f>IF(OR($I69="",$G69="",$G69=0),"",$I69/$G69)</f>
        <v/>
      </c>
      <c r="P69" s="26">
        <f>IF($L69="","",IF($L69&gt;='00_設定'!$B$12,"◎",IF($L69&gt;='00_設定'!$B$13,"○",IF($L69&gt;=0.002,"▲","✕"))))</f>
        <v/>
      </c>
      <c r="Q69" s="7" t="n"/>
    </row>
    <row r="70">
      <c r="A70" s="23" t="n"/>
      <c r="B70" s="5" t="n"/>
      <c r="C70" s="17" t="n"/>
      <c r="D70" s="17" t="n"/>
      <c r="E70" s="17" t="n"/>
      <c r="F70" s="17" t="n"/>
      <c r="G70" s="17" t="n"/>
      <c r="H70" s="5" t="n"/>
      <c r="I70" s="17" t="n"/>
      <c r="J70" s="18">
        <f>IF(OR($C70="",$E70=""),"",$E70/$C70)</f>
        <v/>
      </c>
      <c r="K70" s="18">
        <f>IF(OR($E70="",$E70=0,$F70=""),"",$F70/$E70)</f>
        <v/>
      </c>
      <c r="L70" s="18">
        <f>IF(OR($C70="",$F70=""),"",$F70/$C70)</f>
        <v/>
      </c>
      <c r="M70" s="19">
        <f>IF(OR($F70="",$F70=0,$G70=""),"",$G70/$F70)</f>
        <v/>
      </c>
      <c r="N70" s="19">
        <f>IF(OR($I70="",$F70="",$F70=0),"",$I70/$F70)</f>
        <v/>
      </c>
      <c r="O70" s="18">
        <f>IF(OR($I70="",$G70="",$G70=0),"",$I70/$G70)</f>
        <v/>
      </c>
      <c r="P70" s="26">
        <f>IF($L70="","",IF($L70&gt;='00_設定'!$B$12,"◎",IF($L70&gt;='00_設定'!$B$13,"○",IF($L70&gt;=0.002,"▲","✕"))))</f>
        <v/>
      </c>
      <c r="Q70" s="7" t="n"/>
    </row>
    <row r="71">
      <c r="A71" s="22" t="n"/>
      <c r="B71" s="16" t="n"/>
      <c r="C71" s="17" t="n"/>
      <c r="D71" s="17" t="n"/>
      <c r="E71" s="17" t="n"/>
      <c r="F71" s="17" t="n"/>
      <c r="G71" s="17" t="n"/>
      <c r="H71" s="16" t="n"/>
      <c r="I71" s="17" t="n"/>
      <c r="J71" s="18">
        <f>IF(OR($C71="",$E71=""),"",$E71/$C71)</f>
        <v/>
      </c>
      <c r="K71" s="18">
        <f>IF(OR($E71="",$E71=0,$F71=""),"",$F71/$E71)</f>
        <v/>
      </c>
      <c r="L71" s="18">
        <f>IF(OR($C71="",$F71=""),"",$F71/$C71)</f>
        <v/>
      </c>
      <c r="M71" s="19">
        <f>IF(OR($F71="",$F71=0,$G71=""),"",$G71/$F71)</f>
        <v/>
      </c>
      <c r="N71" s="19">
        <f>IF(OR($I71="",$F71="",$F71=0),"",$I71/$F71)</f>
        <v/>
      </c>
      <c r="O71" s="18">
        <f>IF(OR($I71="",$G71="",$G71=0),"",$I71/$G71)</f>
        <v/>
      </c>
      <c r="P71" s="26">
        <f>IF($L71="","",IF($L71&gt;='00_設定'!$B$12,"◎",IF($L71&gt;='00_設定'!$B$13,"○",IF($L71&gt;=0.002,"▲","✕"))))</f>
        <v/>
      </c>
      <c r="Q71" s="7" t="n"/>
    </row>
    <row r="72">
      <c r="A72" s="23" t="n"/>
      <c r="B72" s="5" t="n"/>
      <c r="C72" s="17" t="n"/>
      <c r="D72" s="17" t="n"/>
      <c r="E72" s="17" t="n"/>
      <c r="F72" s="17" t="n"/>
      <c r="G72" s="17" t="n"/>
      <c r="H72" s="5" t="n"/>
      <c r="I72" s="17" t="n"/>
      <c r="J72" s="18">
        <f>IF(OR($C72="",$E72=""),"",$E72/$C72)</f>
        <v/>
      </c>
      <c r="K72" s="18">
        <f>IF(OR($E72="",$E72=0,$F72=""),"",$F72/$E72)</f>
        <v/>
      </c>
      <c r="L72" s="18">
        <f>IF(OR($C72="",$F72=""),"",$F72/$C72)</f>
        <v/>
      </c>
      <c r="M72" s="19">
        <f>IF(OR($F72="",$F72=0,$G72=""),"",$G72/$F72)</f>
        <v/>
      </c>
      <c r="N72" s="19">
        <f>IF(OR($I72="",$F72="",$F72=0),"",$I72/$F72)</f>
        <v/>
      </c>
      <c r="O72" s="18">
        <f>IF(OR($I72="",$G72="",$G72=0),"",$I72/$G72)</f>
        <v/>
      </c>
      <c r="P72" s="26">
        <f>IF($L72="","",IF($L72&gt;='00_設定'!$B$12,"◎",IF($L72&gt;='00_設定'!$B$13,"○",IF($L72&gt;=0.002,"▲","✕"))))</f>
        <v/>
      </c>
      <c r="Q72" s="7" t="n"/>
    </row>
    <row r="73">
      <c r="A73" s="22" t="n"/>
      <c r="B73" s="16" t="n"/>
      <c r="C73" s="17" t="n"/>
      <c r="D73" s="17" t="n"/>
      <c r="E73" s="17" t="n"/>
      <c r="F73" s="17" t="n"/>
      <c r="G73" s="17" t="n"/>
      <c r="H73" s="16" t="n"/>
      <c r="I73" s="17" t="n"/>
      <c r="J73" s="18">
        <f>IF(OR($C73="",$E73=""),"",$E73/$C73)</f>
        <v/>
      </c>
      <c r="K73" s="18">
        <f>IF(OR($E73="",$E73=0,$F73=""),"",$F73/$E73)</f>
        <v/>
      </c>
      <c r="L73" s="18">
        <f>IF(OR($C73="",$F73=""),"",$F73/$C73)</f>
        <v/>
      </c>
      <c r="M73" s="19">
        <f>IF(OR($F73="",$F73=0,$G73=""),"",$G73/$F73)</f>
        <v/>
      </c>
      <c r="N73" s="19">
        <f>IF(OR($I73="",$F73="",$F73=0),"",$I73/$F73)</f>
        <v/>
      </c>
      <c r="O73" s="18">
        <f>IF(OR($I73="",$G73="",$G73=0),"",$I73/$G73)</f>
        <v/>
      </c>
      <c r="P73" s="26">
        <f>IF($L73="","",IF($L73&gt;='00_設定'!$B$12,"◎",IF($L73&gt;='00_設定'!$B$13,"○",IF($L73&gt;=0.002,"▲","✕"))))</f>
        <v/>
      </c>
      <c r="Q73" s="7" t="n"/>
    </row>
    <row r="74">
      <c r="A74" s="23" t="n"/>
      <c r="B74" s="5" t="n"/>
      <c r="C74" s="17" t="n"/>
      <c r="D74" s="17" t="n"/>
      <c r="E74" s="17" t="n"/>
      <c r="F74" s="17" t="n"/>
      <c r="G74" s="17" t="n"/>
      <c r="H74" s="5" t="n"/>
      <c r="I74" s="17" t="n"/>
      <c r="J74" s="18">
        <f>IF(OR($C74="",$E74=""),"",$E74/$C74)</f>
        <v/>
      </c>
      <c r="K74" s="18">
        <f>IF(OR($E74="",$E74=0,$F74=""),"",$F74/$E74)</f>
        <v/>
      </c>
      <c r="L74" s="18">
        <f>IF(OR($C74="",$F74=""),"",$F74/$C74)</f>
        <v/>
      </c>
      <c r="M74" s="19">
        <f>IF(OR($F74="",$F74=0,$G74=""),"",$G74/$F74)</f>
        <v/>
      </c>
      <c r="N74" s="19">
        <f>IF(OR($I74="",$F74="",$F74=0),"",$I74/$F74)</f>
        <v/>
      </c>
      <c r="O74" s="18">
        <f>IF(OR($I74="",$G74="",$G74=0),"",$I74/$G74)</f>
        <v/>
      </c>
      <c r="P74" s="26">
        <f>IF($L74="","",IF($L74&gt;='00_設定'!$B$12,"◎",IF($L74&gt;='00_設定'!$B$13,"○",IF($L74&gt;=0.002,"▲","✕"))))</f>
        <v/>
      </c>
      <c r="Q74" s="7" t="n"/>
    </row>
    <row r="75">
      <c r="A75" s="22" t="n"/>
      <c r="B75" s="16" t="n"/>
      <c r="C75" s="17" t="n"/>
      <c r="D75" s="17" t="n"/>
      <c r="E75" s="17" t="n"/>
      <c r="F75" s="17" t="n"/>
      <c r="G75" s="17" t="n"/>
      <c r="H75" s="16" t="n"/>
      <c r="I75" s="17" t="n"/>
      <c r="J75" s="18">
        <f>IF(OR($C75="",$E75=""),"",$E75/$C75)</f>
        <v/>
      </c>
      <c r="K75" s="18">
        <f>IF(OR($E75="",$E75=0,$F75=""),"",$F75/$E75)</f>
        <v/>
      </c>
      <c r="L75" s="18">
        <f>IF(OR($C75="",$F75=""),"",$F75/$C75)</f>
        <v/>
      </c>
      <c r="M75" s="19">
        <f>IF(OR($F75="",$F75=0,$G75=""),"",$G75/$F75)</f>
        <v/>
      </c>
      <c r="N75" s="19">
        <f>IF(OR($I75="",$F75="",$F75=0),"",$I75/$F75)</f>
        <v/>
      </c>
      <c r="O75" s="18">
        <f>IF(OR($I75="",$G75="",$G75=0),"",$I75/$G75)</f>
        <v/>
      </c>
      <c r="P75" s="26">
        <f>IF($L75="","",IF($L75&gt;='00_設定'!$B$12,"◎",IF($L75&gt;='00_設定'!$B$13,"○",IF($L75&gt;=0.002,"▲","✕"))))</f>
        <v/>
      </c>
      <c r="Q75" s="7" t="n"/>
    </row>
    <row r="76">
      <c r="A76" s="23" t="n"/>
      <c r="B76" s="5" t="n"/>
      <c r="C76" s="17" t="n"/>
      <c r="D76" s="17" t="n"/>
      <c r="E76" s="17" t="n"/>
      <c r="F76" s="17" t="n"/>
      <c r="G76" s="17" t="n"/>
      <c r="H76" s="5" t="n"/>
      <c r="I76" s="17" t="n"/>
      <c r="J76" s="18">
        <f>IF(OR($C76="",$E76=""),"",$E76/$C76)</f>
        <v/>
      </c>
      <c r="K76" s="18">
        <f>IF(OR($E76="",$E76=0,$F76=""),"",$F76/$E76)</f>
        <v/>
      </c>
      <c r="L76" s="18">
        <f>IF(OR($C76="",$F76=""),"",$F76/$C76)</f>
        <v/>
      </c>
      <c r="M76" s="19">
        <f>IF(OR($F76="",$F76=0,$G76=""),"",$G76/$F76)</f>
        <v/>
      </c>
      <c r="N76" s="19">
        <f>IF(OR($I76="",$F76="",$F76=0),"",$I76/$F76)</f>
        <v/>
      </c>
      <c r="O76" s="18">
        <f>IF(OR($I76="",$G76="",$G76=0),"",$I76/$G76)</f>
        <v/>
      </c>
      <c r="P76" s="26">
        <f>IF($L76="","",IF($L76&gt;='00_設定'!$B$12,"◎",IF($L76&gt;='00_設定'!$B$13,"○",IF($L76&gt;=0.002,"▲","✕"))))</f>
        <v/>
      </c>
      <c r="Q76" s="7" t="n"/>
    </row>
    <row r="77">
      <c r="A77" s="22" t="n"/>
      <c r="B77" s="16" t="n"/>
      <c r="C77" s="17" t="n"/>
      <c r="D77" s="17" t="n"/>
      <c r="E77" s="17" t="n"/>
      <c r="F77" s="17" t="n"/>
      <c r="G77" s="17" t="n"/>
      <c r="H77" s="16" t="n"/>
      <c r="I77" s="17" t="n"/>
      <c r="J77" s="18">
        <f>IF(OR($C77="",$E77=""),"",$E77/$C77)</f>
        <v/>
      </c>
      <c r="K77" s="18">
        <f>IF(OR($E77="",$E77=0,$F77=""),"",$F77/$E77)</f>
        <v/>
      </c>
      <c r="L77" s="18">
        <f>IF(OR($C77="",$F77=""),"",$F77/$C77)</f>
        <v/>
      </c>
      <c r="M77" s="19">
        <f>IF(OR($F77="",$F77=0,$G77=""),"",$G77/$F77)</f>
        <v/>
      </c>
      <c r="N77" s="19">
        <f>IF(OR($I77="",$F77="",$F77=0),"",$I77/$F77)</f>
        <v/>
      </c>
      <c r="O77" s="18">
        <f>IF(OR($I77="",$G77="",$G77=0),"",$I77/$G77)</f>
        <v/>
      </c>
      <c r="P77" s="26">
        <f>IF($L77="","",IF($L77&gt;='00_設定'!$B$12,"◎",IF($L77&gt;='00_設定'!$B$13,"○",IF($L77&gt;=0.002,"▲","✕"))))</f>
        <v/>
      </c>
      <c r="Q77" s="7" t="n"/>
    </row>
    <row r="78">
      <c r="A78" s="23" t="n"/>
      <c r="B78" s="5" t="n"/>
      <c r="C78" s="17" t="n"/>
      <c r="D78" s="17" t="n"/>
      <c r="E78" s="17" t="n"/>
      <c r="F78" s="17" t="n"/>
      <c r="G78" s="17" t="n"/>
      <c r="H78" s="5" t="n"/>
      <c r="I78" s="17" t="n"/>
      <c r="J78" s="18">
        <f>IF(OR($C78="",$E78=""),"",$E78/$C78)</f>
        <v/>
      </c>
      <c r="K78" s="18">
        <f>IF(OR($E78="",$E78=0,$F78=""),"",$F78/$E78)</f>
        <v/>
      </c>
      <c r="L78" s="18">
        <f>IF(OR($C78="",$F78=""),"",$F78/$C78)</f>
        <v/>
      </c>
      <c r="M78" s="19">
        <f>IF(OR($F78="",$F78=0,$G78=""),"",$G78/$F78)</f>
        <v/>
      </c>
      <c r="N78" s="19">
        <f>IF(OR($I78="",$F78="",$F78=0),"",$I78/$F78)</f>
        <v/>
      </c>
      <c r="O78" s="18">
        <f>IF(OR($I78="",$G78="",$G78=0),"",$I78/$G78)</f>
        <v/>
      </c>
      <c r="P78" s="26">
        <f>IF($L78="","",IF($L78&gt;='00_設定'!$B$12,"◎",IF($L78&gt;='00_設定'!$B$13,"○",IF($L78&gt;=0.002,"▲","✕"))))</f>
        <v/>
      </c>
      <c r="Q78" s="7" t="n"/>
    </row>
    <row r="79">
      <c r="A79" s="22" t="n"/>
      <c r="B79" s="16" t="n"/>
      <c r="C79" s="17" t="n"/>
      <c r="D79" s="17" t="n"/>
      <c r="E79" s="17" t="n"/>
      <c r="F79" s="17" t="n"/>
      <c r="G79" s="17" t="n"/>
      <c r="H79" s="16" t="n"/>
      <c r="I79" s="17" t="n"/>
      <c r="J79" s="18">
        <f>IF(OR($C79="",$E79=""),"",$E79/$C79)</f>
        <v/>
      </c>
      <c r="K79" s="18">
        <f>IF(OR($E79="",$E79=0,$F79=""),"",$F79/$E79)</f>
        <v/>
      </c>
      <c r="L79" s="18">
        <f>IF(OR($C79="",$F79=""),"",$F79/$C79)</f>
        <v/>
      </c>
      <c r="M79" s="19">
        <f>IF(OR($F79="",$F79=0,$G79=""),"",$G79/$F79)</f>
        <v/>
      </c>
      <c r="N79" s="19">
        <f>IF(OR($I79="",$F79="",$F79=0),"",$I79/$F79)</f>
        <v/>
      </c>
      <c r="O79" s="18">
        <f>IF(OR($I79="",$G79="",$G79=0),"",$I79/$G79)</f>
        <v/>
      </c>
      <c r="P79" s="26">
        <f>IF($L79="","",IF($L79&gt;='00_設定'!$B$12,"◎",IF($L79&gt;='00_設定'!$B$13,"○",IF($L79&gt;=0.002,"▲","✕"))))</f>
        <v/>
      </c>
      <c r="Q79" s="7" t="n"/>
    </row>
    <row r="80">
      <c r="A80" s="23" t="n"/>
      <c r="B80" s="5" t="n"/>
      <c r="C80" s="17" t="n"/>
      <c r="D80" s="17" t="n"/>
      <c r="E80" s="17" t="n"/>
      <c r="F80" s="17" t="n"/>
      <c r="G80" s="17" t="n"/>
      <c r="H80" s="5" t="n"/>
      <c r="I80" s="17" t="n"/>
      <c r="J80" s="18">
        <f>IF(OR($C80="",$E80=""),"",$E80/$C80)</f>
        <v/>
      </c>
      <c r="K80" s="18">
        <f>IF(OR($E80="",$E80=0,$F80=""),"",$F80/$E80)</f>
        <v/>
      </c>
      <c r="L80" s="18">
        <f>IF(OR($C80="",$F80=""),"",$F80/$C80)</f>
        <v/>
      </c>
      <c r="M80" s="19">
        <f>IF(OR($F80="",$F80=0,$G80=""),"",$G80/$F80)</f>
        <v/>
      </c>
      <c r="N80" s="19">
        <f>IF(OR($I80="",$F80="",$F80=0),"",$I80/$F80)</f>
        <v/>
      </c>
      <c r="O80" s="18">
        <f>IF(OR($I80="",$G80="",$G80=0),"",$I80/$G80)</f>
        <v/>
      </c>
      <c r="P80" s="26">
        <f>IF($L80="","",IF($L80&gt;='00_設定'!$B$12,"◎",IF($L80&gt;='00_設定'!$B$13,"○",IF($L80&gt;=0.002,"▲","✕"))))</f>
        <v/>
      </c>
      <c r="Q80" s="7" t="n"/>
    </row>
    <row r="81">
      <c r="A81" s="22" t="n"/>
      <c r="B81" s="16" t="n"/>
      <c r="C81" s="17" t="n"/>
      <c r="D81" s="17" t="n"/>
      <c r="E81" s="17" t="n"/>
      <c r="F81" s="17" t="n"/>
      <c r="G81" s="17" t="n"/>
      <c r="H81" s="16" t="n"/>
      <c r="I81" s="17" t="n"/>
      <c r="J81" s="18">
        <f>IF(OR($C81="",$E81=""),"",$E81/$C81)</f>
        <v/>
      </c>
      <c r="K81" s="18">
        <f>IF(OR($E81="",$E81=0,$F81=""),"",$F81/$E81)</f>
        <v/>
      </c>
      <c r="L81" s="18">
        <f>IF(OR($C81="",$F81=""),"",$F81/$C81)</f>
        <v/>
      </c>
      <c r="M81" s="19">
        <f>IF(OR($F81="",$F81=0,$G81=""),"",$G81/$F81)</f>
        <v/>
      </c>
      <c r="N81" s="19">
        <f>IF(OR($I81="",$F81="",$F81=0),"",$I81/$F81)</f>
        <v/>
      </c>
      <c r="O81" s="18">
        <f>IF(OR($I81="",$G81="",$G81=0),"",$I81/$G81)</f>
        <v/>
      </c>
      <c r="P81" s="26">
        <f>IF($L81="","",IF($L81&gt;='00_設定'!$B$12,"◎",IF($L81&gt;='00_設定'!$B$13,"○",IF($L81&gt;=0.002,"▲","✕"))))</f>
        <v/>
      </c>
      <c r="Q81" s="7" t="n"/>
    </row>
    <row r="82">
      <c r="A82" s="23" t="n"/>
      <c r="B82" s="5" t="n"/>
      <c r="C82" s="17" t="n"/>
      <c r="D82" s="17" t="n"/>
      <c r="E82" s="17" t="n"/>
      <c r="F82" s="17" t="n"/>
      <c r="G82" s="17" t="n"/>
      <c r="H82" s="5" t="n"/>
      <c r="I82" s="17" t="n"/>
      <c r="J82" s="18">
        <f>IF(OR($C82="",$E82=""),"",$E82/$C82)</f>
        <v/>
      </c>
      <c r="K82" s="18">
        <f>IF(OR($E82="",$E82=0,$F82=""),"",$F82/$E82)</f>
        <v/>
      </c>
      <c r="L82" s="18">
        <f>IF(OR($C82="",$F82=""),"",$F82/$C82)</f>
        <v/>
      </c>
      <c r="M82" s="19">
        <f>IF(OR($F82="",$F82=0,$G82=""),"",$G82/$F82)</f>
        <v/>
      </c>
      <c r="N82" s="19">
        <f>IF(OR($I82="",$F82="",$F82=0),"",$I82/$F82)</f>
        <v/>
      </c>
      <c r="O82" s="18">
        <f>IF(OR($I82="",$G82="",$G82=0),"",$I82/$G82)</f>
        <v/>
      </c>
      <c r="P82" s="26">
        <f>IF($L82="","",IF($L82&gt;='00_設定'!$B$12,"◎",IF($L82&gt;='00_設定'!$B$13,"○",IF($L82&gt;=0.002,"▲","✕"))))</f>
        <v/>
      </c>
      <c r="Q82" s="7" t="n"/>
    </row>
    <row r="83">
      <c r="A83" s="22" t="n"/>
      <c r="B83" s="16" t="n"/>
      <c r="C83" s="17" t="n"/>
      <c r="D83" s="17" t="n"/>
      <c r="E83" s="17" t="n"/>
      <c r="F83" s="17" t="n"/>
      <c r="G83" s="17" t="n"/>
      <c r="H83" s="16" t="n"/>
      <c r="I83" s="17" t="n"/>
      <c r="J83" s="18">
        <f>IF(OR($C83="",$E83=""),"",$E83/$C83)</f>
        <v/>
      </c>
      <c r="K83" s="18">
        <f>IF(OR($E83="",$E83=0,$F83=""),"",$F83/$E83)</f>
        <v/>
      </c>
      <c r="L83" s="18">
        <f>IF(OR($C83="",$F83=""),"",$F83/$C83)</f>
        <v/>
      </c>
      <c r="M83" s="19">
        <f>IF(OR($F83="",$F83=0,$G83=""),"",$G83/$F83)</f>
        <v/>
      </c>
      <c r="N83" s="19">
        <f>IF(OR($I83="",$F83="",$F83=0),"",$I83/$F83)</f>
        <v/>
      </c>
      <c r="O83" s="18">
        <f>IF(OR($I83="",$G83="",$G83=0),"",$I83/$G83)</f>
        <v/>
      </c>
      <c r="P83" s="26">
        <f>IF($L83="","",IF($L83&gt;='00_設定'!$B$12,"◎",IF($L83&gt;='00_設定'!$B$13,"○",IF($L83&gt;=0.002,"▲","✕"))))</f>
        <v/>
      </c>
      <c r="Q83" s="7" t="n"/>
    </row>
    <row r="84">
      <c r="A84" s="23" t="n"/>
      <c r="B84" s="5" t="n"/>
      <c r="C84" s="17" t="n"/>
      <c r="D84" s="17" t="n"/>
      <c r="E84" s="17" t="n"/>
      <c r="F84" s="17" t="n"/>
      <c r="G84" s="17" t="n"/>
      <c r="H84" s="5" t="n"/>
      <c r="I84" s="17" t="n"/>
      <c r="J84" s="18">
        <f>IF(OR($C84="",$E84=""),"",$E84/$C84)</f>
        <v/>
      </c>
      <c r="K84" s="18">
        <f>IF(OR($E84="",$E84=0,$F84=""),"",$F84/$E84)</f>
        <v/>
      </c>
      <c r="L84" s="18">
        <f>IF(OR($C84="",$F84=""),"",$F84/$C84)</f>
        <v/>
      </c>
      <c r="M84" s="19">
        <f>IF(OR($F84="",$F84=0,$G84=""),"",$G84/$F84)</f>
        <v/>
      </c>
      <c r="N84" s="19">
        <f>IF(OR($I84="",$F84="",$F84=0),"",$I84/$F84)</f>
        <v/>
      </c>
      <c r="O84" s="18">
        <f>IF(OR($I84="",$G84="",$G84=0),"",$I84/$G84)</f>
        <v/>
      </c>
      <c r="P84" s="26">
        <f>IF($L84="","",IF($L84&gt;='00_設定'!$B$12,"◎",IF($L84&gt;='00_設定'!$B$13,"○",IF($L84&gt;=0.002,"▲","✕"))))</f>
        <v/>
      </c>
      <c r="Q84" s="7" t="n"/>
    </row>
    <row r="85">
      <c r="A85" s="22" t="n"/>
      <c r="B85" s="16" t="n"/>
      <c r="C85" s="17" t="n"/>
      <c r="D85" s="17" t="n"/>
      <c r="E85" s="17" t="n"/>
      <c r="F85" s="17" t="n"/>
      <c r="G85" s="17" t="n"/>
      <c r="H85" s="16" t="n"/>
      <c r="I85" s="17" t="n"/>
      <c r="J85" s="18">
        <f>IF(OR($C85="",$E85=""),"",$E85/$C85)</f>
        <v/>
      </c>
      <c r="K85" s="18">
        <f>IF(OR($E85="",$E85=0,$F85=""),"",$F85/$E85)</f>
        <v/>
      </c>
      <c r="L85" s="18">
        <f>IF(OR($C85="",$F85=""),"",$F85/$C85)</f>
        <v/>
      </c>
      <c r="M85" s="19">
        <f>IF(OR($F85="",$F85=0,$G85=""),"",$G85/$F85)</f>
        <v/>
      </c>
      <c r="N85" s="19">
        <f>IF(OR($I85="",$F85="",$F85=0),"",$I85/$F85)</f>
        <v/>
      </c>
      <c r="O85" s="18">
        <f>IF(OR($I85="",$G85="",$G85=0),"",$I85/$G85)</f>
        <v/>
      </c>
      <c r="P85" s="26">
        <f>IF($L85="","",IF($L85&gt;='00_設定'!$B$12,"◎",IF($L85&gt;='00_設定'!$B$13,"○",IF($L85&gt;=0.002,"▲","✕"))))</f>
        <v/>
      </c>
      <c r="Q85" s="7" t="n"/>
    </row>
    <row r="86">
      <c r="A86" s="23" t="n"/>
      <c r="B86" s="5" t="n"/>
      <c r="C86" s="17" t="n"/>
      <c r="D86" s="17" t="n"/>
      <c r="E86" s="17" t="n"/>
      <c r="F86" s="17" t="n"/>
      <c r="G86" s="17" t="n"/>
      <c r="H86" s="5" t="n"/>
      <c r="I86" s="17" t="n"/>
      <c r="J86" s="18">
        <f>IF(OR($C86="",$E86=""),"",$E86/$C86)</f>
        <v/>
      </c>
      <c r="K86" s="18">
        <f>IF(OR($E86="",$E86=0,$F86=""),"",$F86/$E86)</f>
        <v/>
      </c>
      <c r="L86" s="18">
        <f>IF(OR($C86="",$F86=""),"",$F86/$C86)</f>
        <v/>
      </c>
      <c r="M86" s="19">
        <f>IF(OR($F86="",$F86=0,$G86=""),"",$G86/$F86)</f>
        <v/>
      </c>
      <c r="N86" s="19">
        <f>IF(OR($I86="",$F86="",$F86=0),"",$I86/$F86)</f>
        <v/>
      </c>
      <c r="O86" s="18">
        <f>IF(OR($I86="",$G86="",$G86=0),"",$I86/$G86)</f>
        <v/>
      </c>
      <c r="P86" s="26">
        <f>IF($L86="","",IF($L86&gt;='00_設定'!$B$12,"◎",IF($L86&gt;='00_設定'!$B$13,"○",IF($L86&gt;=0.002,"▲","✕"))))</f>
        <v/>
      </c>
      <c r="Q86" s="7" t="n"/>
    </row>
    <row r="87">
      <c r="A87" s="22" t="n"/>
      <c r="B87" s="16" t="n"/>
      <c r="C87" s="17" t="n"/>
      <c r="D87" s="17" t="n"/>
      <c r="E87" s="17" t="n"/>
      <c r="F87" s="17" t="n"/>
      <c r="G87" s="17" t="n"/>
      <c r="H87" s="16" t="n"/>
      <c r="I87" s="17" t="n"/>
      <c r="J87" s="18">
        <f>IF(OR($C87="",$E87=""),"",$E87/$C87)</f>
        <v/>
      </c>
      <c r="K87" s="18">
        <f>IF(OR($E87="",$E87=0,$F87=""),"",$F87/$E87)</f>
        <v/>
      </c>
      <c r="L87" s="18">
        <f>IF(OR($C87="",$F87=""),"",$F87/$C87)</f>
        <v/>
      </c>
      <c r="M87" s="19">
        <f>IF(OR($F87="",$F87=0,$G87=""),"",$G87/$F87)</f>
        <v/>
      </c>
      <c r="N87" s="19">
        <f>IF(OR($I87="",$F87="",$F87=0),"",$I87/$F87)</f>
        <v/>
      </c>
      <c r="O87" s="18">
        <f>IF(OR($I87="",$G87="",$G87=0),"",$I87/$G87)</f>
        <v/>
      </c>
      <c r="P87" s="26">
        <f>IF($L87="","",IF($L87&gt;='00_設定'!$B$12,"◎",IF($L87&gt;='00_設定'!$B$13,"○",IF($L87&gt;=0.002,"▲","✕"))))</f>
        <v/>
      </c>
      <c r="Q87" s="7" t="n"/>
    </row>
    <row r="88">
      <c r="A88" s="23" t="n"/>
      <c r="B88" s="5" t="n"/>
      <c r="C88" s="17" t="n"/>
      <c r="D88" s="17" t="n"/>
      <c r="E88" s="17" t="n"/>
      <c r="F88" s="17" t="n"/>
      <c r="G88" s="17" t="n"/>
      <c r="H88" s="5" t="n"/>
      <c r="I88" s="17" t="n"/>
      <c r="J88" s="18">
        <f>IF(OR($C88="",$E88=""),"",$E88/$C88)</f>
        <v/>
      </c>
      <c r="K88" s="18">
        <f>IF(OR($E88="",$E88=0,$F88=""),"",$F88/$E88)</f>
        <v/>
      </c>
      <c r="L88" s="18">
        <f>IF(OR($C88="",$F88=""),"",$F88/$C88)</f>
        <v/>
      </c>
      <c r="M88" s="19">
        <f>IF(OR($F88="",$F88=0,$G88=""),"",$G88/$F88)</f>
        <v/>
      </c>
      <c r="N88" s="19">
        <f>IF(OR($I88="",$F88="",$F88=0),"",$I88/$F88)</f>
        <v/>
      </c>
      <c r="O88" s="18">
        <f>IF(OR($I88="",$G88="",$G88=0),"",$I88/$G88)</f>
        <v/>
      </c>
      <c r="P88" s="26">
        <f>IF($L88="","",IF($L88&gt;='00_設定'!$B$12,"◎",IF($L88&gt;='00_設定'!$B$13,"○",IF($L88&gt;=0.002,"▲","✕"))))</f>
        <v/>
      </c>
      <c r="Q88" s="7" t="n"/>
    </row>
    <row r="89">
      <c r="A89" s="22" t="n"/>
      <c r="B89" s="16" t="n"/>
      <c r="C89" s="17" t="n"/>
      <c r="D89" s="17" t="n"/>
      <c r="E89" s="17" t="n"/>
      <c r="F89" s="17" t="n"/>
      <c r="G89" s="17" t="n"/>
      <c r="H89" s="16" t="n"/>
      <c r="I89" s="17" t="n"/>
      <c r="J89" s="18">
        <f>IF(OR($C89="",$E89=""),"",$E89/$C89)</f>
        <v/>
      </c>
      <c r="K89" s="18">
        <f>IF(OR($E89="",$E89=0,$F89=""),"",$F89/$E89)</f>
        <v/>
      </c>
      <c r="L89" s="18">
        <f>IF(OR($C89="",$F89=""),"",$F89/$C89)</f>
        <v/>
      </c>
      <c r="M89" s="19">
        <f>IF(OR($F89="",$F89=0,$G89=""),"",$G89/$F89)</f>
        <v/>
      </c>
      <c r="N89" s="19">
        <f>IF(OR($I89="",$F89="",$F89=0),"",$I89/$F89)</f>
        <v/>
      </c>
      <c r="O89" s="18">
        <f>IF(OR($I89="",$G89="",$G89=0),"",$I89/$G89)</f>
        <v/>
      </c>
      <c r="P89" s="26">
        <f>IF($L89="","",IF($L89&gt;='00_設定'!$B$12,"◎",IF($L89&gt;='00_設定'!$B$13,"○",IF($L89&gt;=0.002,"▲","✕"))))</f>
        <v/>
      </c>
      <c r="Q89" s="7" t="n"/>
    </row>
    <row r="90">
      <c r="A90" s="23" t="n"/>
      <c r="B90" s="5" t="n"/>
      <c r="C90" s="17" t="n"/>
      <c r="D90" s="17" t="n"/>
      <c r="E90" s="17" t="n"/>
      <c r="F90" s="17" t="n"/>
      <c r="G90" s="17" t="n"/>
      <c r="H90" s="5" t="n"/>
      <c r="I90" s="17" t="n"/>
      <c r="J90" s="18">
        <f>IF(OR($C90="",$E90=""),"",$E90/$C90)</f>
        <v/>
      </c>
      <c r="K90" s="18">
        <f>IF(OR($E90="",$E90=0,$F90=""),"",$F90/$E90)</f>
        <v/>
      </c>
      <c r="L90" s="18">
        <f>IF(OR($C90="",$F90=""),"",$F90/$C90)</f>
        <v/>
      </c>
      <c r="M90" s="19">
        <f>IF(OR($F90="",$F90=0,$G90=""),"",$G90/$F90)</f>
        <v/>
      </c>
      <c r="N90" s="19">
        <f>IF(OR($I90="",$F90="",$F90=0),"",$I90/$F90)</f>
        <v/>
      </c>
      <c r="O90" s="18">
        <f>IF(OR($I90="",$G90="",$G90=0),"",$I90/$G90)</f>
        <v/>
      </c>
      <c r="P90" s="26">
        <f>IF($L90="","",IF($L90&gt;='00_設定'!$B$12,"◎",IF($L90&gt;='00_設定'!$B$13,"○",IF($L90&gt;=0.002,"▲","✕"))))</f>
        <v/>
      </c>
      <c r="Q90" s="7" t="n"/>
    </row>
    <row r="91">
      <c r="A91" s="22" t="n"/>
      <c r="B91" s="16" t="n"/>
      <c r="C91" s="17" t="n"/>
      <c r="D91" s="17" t="n"/>
      <c r="E91" s="17" t="n"/>
      <c r="F91" s="17" t="n"/>
      <c r="G91" s="17" t="n"/>
      <c r="H91" s="16" t="n"/>
      <c r="I91" s="17" t="n"/>
      <c r="J91" s="18">
        <f>IF(OR($C91="",$E91=""),"",$E91/$C91)</f>
        <v/>
      </c>
      <c r="K91" s="18">
        <f>IF(OR($E91="",$E91=0,$F91=""),"",$F91/$E91)</f>
        <v/>
      </c>
      <c r="L91" s="18">
        <f>IF(OR($C91="",$F91=""),"",$F91/$C91)</f>
        <v/>
      </c>
      <c r="M91" s="19">
        <f>IF(OR($F91="",$F91=0,$G91=""),"",$G91/$F91)</f>
        <v/>
      </c>
      <c r="N91" s="19">
        <f>IF(OR($I91="",$F91="",$F91=0),"",$I91/$F91)</f>
        <v/>
      </c>
      <c r="O91" s="18">
        <f>IF(OR($I91="",$G91="",$G91=0),"",$I91/$G91)</f>
        <v/>
      </c>
      <c r="P91" s="26">
        <f>IF($L91="","",IF($L91&gt;='00_設定'!$B$12,"◎",IF($L91&gt;='00_設定'!$B$13,"○",IF($L91&gt;=0.002,"▲","✕"))))</f>
        <v/>
      </c>
      <c r="Q91" s="7" t="n"/>
    </row>
    <row r="92">
      <c r="A92" s="23" t="n"/>
      <c r="B92" s="5" t="n"/>
      <c r="C92" s="17" t="n"/>
      <c r="D92" s="17" t="n"/>
      <c r="E92" s="17" t="n"/>
      <c r="F92" s="17" t="n"/>
      <c r="G92" s="17" t="n"/>
      <c r="H92" s="5" t="n"/>
      <c r="I92" s="17" t="n"/>
      <c r="J92" s="18">
        <f>IF(OR($C92="",$E92=""),"",$E92/$C92)</f>
        <v/>
      </c>
      <c r="K92" s="18">
        <f>IF(OR($E92="",$E92=0,$F92=""),"",$F92/$E92)</f>
        <v/>
      </c>
      <c r="L92" s="18">
        <f>IF(OR($C92="",$F92=""),"",$F92/$C92)</f>
        <v/>
      </c>
      <c r="M92" s="19">
        <f>IF(OR($F92="",$F92=0,$G92=""),"",$G92/$F92)</f>
        <v/>
      </c>
      <c r="N92" s="19">
        <f>IF(OR($I92="",$F92="",$F92=0),"",$I92/$F92)</f>
        <v/>
      </c>
      <c r="O92" s="18">
        <f>IF(OR($I92="",$G92="",$G92=0),"",$I92/$G92)</f>
        <v/>
      </c>
      <c r="P92" s="26">
        <f>IF($L92="","",IF($L92&gt;='00_設定'!$B$12,"◎",IF($L92&gt;='00_設定'!$B$13,"○",IF($L92&gt;=0.002,"▲","✕"))))</f>
        <v/>
      </c>
      <c r="Q92" s="7" t="n"/>
    </row>
    <row r="93">
      <c r="A93" s="22" t="n"/>
      <c r="B93" s="16" t="n"/>
      <c r="C93" s="17" t="n"/>
      <c r="D93" s="17" t="n"/>
      <c r="E93" s="17" t="n"/>
      <c r="F93" s="17" t="n"/>
      <c r="G93" s="17" t="n"/>
      <c r="H93" s="16" t="n"/>
      <c r="I93" s="17" t="n"/>
      <c r="J93" s="18">
        <f>IF(OR($C93="",$E93=""),"",$E93/$C93)</f>
        <v/>
      </c>
      <c r="K93" s="18">
        <f>IF(OR($E93="",$E93=0,$F93=""),"",$F93/$E93)</f>
        <v/>
      </c>
      <c r="L93" s="18">
        <f>IF(OR($C93="",$F93=""),"",$F93/$C93)</f>
        <v/>
      </c>
      <c r="M93" s="19">
        <f>IF(OR($F93="",$F93=0,$G93=""),"",$G93/$F93)</f>
        <v/>
      </c>
      <c r="N93" s="19">
        <f>IF(OR($I93="",$F93="",$F93=0),"",$I93/$F93)</f>
        <v/>
      </c>
      <c r="O93" s="18">
        <f>IF(OR($I93="",$G93="",$G93=0),"",$I93/$G93)</f>
        <v/>
      </c>
      <c r="P93" s="26">
        <f>IF($L93="","",IF($L93&gt;='00_設定'!$B$12,"◎",IF($L93&gt;='00_設定'!$B$13,"○",IF($L93&gt;=0.002,"▲","✕"))))</f>
        <v/>
      </c>
      <c r="Q93" s="7" t="n"/>
    </row>
    <row r="94">
      <c r="A94" s="23" t="n"/>
      <c r="B94" s="5" t="n"/>
      <c r="C94" s="17" t="n"/>
      <c r="D94" s="17" t="n"/>
      <c r="E94" s="17" t="n"/>
      <c r="F94" s="17" t="n"/>
      <c r="G94" s="17" t="n"/>
      <c r="H94" s="5" t="n"/>
      <c r="I94" s="17" t="n"/>
      <c r="J94" s="18">
        <f>IF(OR($C94="",$E94=""),"",$E94/$C94)</f>
        <v/>
      </c>
      <c r="K94" s="18">
        <f>IF(OR($E94="",$E94=0,$F94=""),"",$F94/$E94)</f>
        <v/>
      </c>
      <c r="L94" s="18">
        <f>IF(OR($C94="",$F94=""),"",$F94/$C94)</f>
        <v/>
      </c>
      <c r="M94" s="19">
        <f>IF(OR($F94="",$F94=0,$G94=""),"",$G94/$F94)</f>
        <v/>
      </c>
      <c r="N94" s="19">
        <f>IF(OR($I94="",$F94="",$F94=0),"",$I94/$F94)</f>
        <v/>
      </c>
      <c r="O94" s="18">
        <f>IF(OR($I94="",$G94="",$G94=0),"",$I94/$G94)</f>
        <v/>
      </c>
      <c r="P94" s="26">
        <f>IF($L94="","",IF($L94&gt;='00_設定'!$B$12,"◎",IF($L94&gt;='00_設定'!$B$13,"○",IF($L94&gt;=0.002,"▲","✕"))))</f>
        <v/>
      </c>
      <c r="Q94" s="7" t="n"/>
    </row>
    <row r="95">
      <c r="A95" s="22" t="n"/>
      <c r="B95" s="16" t="n"/>
      <c r="C95" s="17" t="n"/>
      <c r="D95" s="17" t="n"/>
      <c r="E95" s="17" t="n"/>
      <c r="F95" s="17" t="n"/>
      <c r="G95" s="17" t="n"/>
      <c r="H95" s="16" t="n"/>
      <c r="I95" s="17" t="n"/>
      <c r="J95" s="18">
        <f>IF(OR($C95="",$E95=""),"",$E95/$C95)</f>
        <v/>
      </c>
      <c r="K95" s="18">
        <f>IF(OR($E95="",$E95=0,$F95=""),"",$F95/$E95)</f>
        <v/>
      </c>
      <c r="L95" s="18">
        <f>IF(OR($C95="",$F95=""),"",$F95/$C95)</f>
        <v/>
      </c>
      <c r="M95" s="19">
        <f>IF(OR($F95="",$F95=0,$G95=""),"",$G95/$F95)</f>
        <v/>
      </c>
      <c r="N95" s="19">
        <f>IF(OR($I95="",$F95="",$F95=0),"",$I95/$F95)</f>
        <v/>
      </c>
      <c r="O95" s="18">
        <f>IF(OR($I95="",$G95="",$G95=0),"",$I95/$G95)</f>
        <v/>
      </c>
      <c r="P95" s="26">
        <f>IF($L95="","",IF($L95&gt;='00_設定'!$B$12,"◎",IF($L95&gt;='00_設定'!$B$13,"○",IF($L95&gt;=0.002,"▲","✕"))))</f>
        <v/>
      </c>
      <c r="Q95" s="7" t="n"/>
    </row>
    <row r="96">
      <c r="A96" s="23" t="n"/>
      <c r="B96" s="5" t="n"/>
      <c r="C96" s="17" t="n"/>
      <c r="D96" s="17" t="n"/>
      <c r="E96" s="17" t="n"/>
      <c r="F96" s="17" t="n"/>
      <c r="G96" s="17" t="n"/>
      <c r="H96" s="5" t="n"/>
      <c r="I96" s="17" t="n"/>
      <c r="J96" s="18">
        <f>IF(OR($C96="",$E96=""),"",$E96/$C96)</f>
        <v/>
      </c>
      <c r="K96" s="18">
        <f>IF(OR($E96="",$E96=0,$F96=""),"",$F96/$E96)</f>
        <v/>
      </c>
      <c r="L96" s="18">
        <f>IF(OR($C96="",$F96=""),"",$F96/$C96)</f>
        <v/>
      </c>
      <c r="M96" s="19">
        <f>IF(OR($F96="",$F96=0,$G96=""),"",$G96/$F96)</f>
        <v/>
      </c>
      <c r="N96" s="19">
        <f>IF(OR($I96="",$F96="",$F96=0),"",$I96/$F96)</f>
        <v/>
      </c>
      <c r="O96" s="18">
        <f>IF(OR($I96="",$G96="",$G96=0),"",$I96/$G96)</f>
        <v/>
      </c>
      <c r="P96" s="26">
        <f>IF($L96="","",IF($L96&gt;='00_設定'!$B$12,"◎",IF($L96&gt;='00_設定'!$B$13,"○",IF($L96&gt;=0.002,"▲","✕"))))</f>
        <v/>
      </c>
      <c r="Q96" s="7" t="n"/>
    </row>
    <row r="97">
      <c r="A97" s="22" t="n"/>
      <c r="B97" s="16" t="n"/>
      <c r="C97" s="17" t="n"/>
      <c r="D97" s="17" t="n"/>
      <c r="E97" s="17" t="n"/>
      <c r="F97" s="17" t="n"/>
      <c r="G97" s="17" t="n"/>
      <c r="H97" s="16" t="n"/>
      <c r="I97" s="17" t="n"/>
      <c r="J97" s="18">
        <f>IF(OR($C97="",$E97=""),"",$E97/$C97)</f>
        <v/>
      </c>
      <c r="K97" s="18">
        <f>IF(OR($E97="",$E97=0,$F97=""),"",$F97/$E97)</f>
        <v/>
      </c>
      <c r="L97" s="18">
        <f>IF(OR($C97="",$F97=""),"",$F97/$C97)</f>
        <v/>
      </c>
      <c r="M97" s="19">
        <f>IF(OR($F97="",$F97=0,$G97=""),"",$G97/$F97)</f>
        <v/>
      </c>
      <c r="N97" s="19">
        <f>IF(OR($I97="",$F97="",$F97=0),"",$I97/$F97)</f>
        <v/>
      </c>
      <c r="O97" s="18">
        <f>IF(OR($I97="",$G97="",$G97=0),"",$I97/$G97)</f>
        <v/>
      </c>
      <c r="P97" s="26">
        <f>IF($L97="","",IF($L97&gt;='00_設定'!$B$12,"◎",IF($L97&gt;='00_設定'!$B$13,"○",IF($L97&gt;=0.002,"▲","✕"))))</f>
        <v/>
      </c>
      <c r="Q97" s="7" t="n"/>
    </row>
    <row r="98">
      <c r="A98" s="23" t="n"/>
      <c r="B98" s="5" t="n"/>
      <c r="C98" s="17" t="n"/>
      <c r="D98" s="17" t="n"/>
      <c r="E98" s="17" t="n"/>
      <c r="F98" s="17" t="n"/>
      <c r="G98" s="17" t="n"/>
      <c r="H98" s="5" t="n"/>
      <c r="I98" s="17" t="n"/>
      <c r="J98" s="18">
        <f>IF(OR($C98="",$E98=""),"",$E98/$C98)</f>
        <v/>
      </c>
      <c r="K98" s="18">
        <f>IF(OR($E98="",$E98=0,$F98=""),"",$F98/$E98)</f>
        <v/>
      </c>
      <c r="L98" s="18">
        <f>IF(OR($C98="",$F98=""),"",$F98/$C98)</f>
        <v/>
      </c>
      <c r="M98" s="19">
        <f>IF(OR($F98="",$F98=0,$G98=""),"",$G98/$F98)</f>
        <v/>
      </c>
      <c r="N98" s="19">
        <f>IF(OR($I98="",$F98="",$F98=0),"",$I98/$F98)</f>
        <v/>
      </c>
      <c r="O98" s="18">
        <f>IF(OR($I98="",$G98="",$G98=0),"",$I98/$G98)</f>
        <v/>
      </c>
      <c r="P98" s="26">
        <f>IF($L98="","",IF($L98&gt;='00_設定'!$B$12,"◎",IF($L98&gt;='00_設定'!$B$13,"○",IF($L98&gt;=0.002,"▲","✕"))))</f>
        <v/>
      </c>
      <c r="Q98" s="7" t="n"/>
    </row>
    <row r="99">
      <c r="A99" s="22" t="n"/>
      <c r="B99" s="16" t="n"/>
      <c r="C99" s="17" t="n"/>
      <c r="D99" s="17" t="n"/>
      <c r="E99" s="17" t="n"/>
      <c r="F99" s="17" t="n"/>
      <c r="G99" s="17" t="n"/>
      <c r="H99" s="16" t="n"/>
      <c r="I99" s="17" t="n"/>
      <c r="J99" s="18">
        <f>IF(OR($C99="",$E99=""),"",$E99/$C99)</f>
        <v/>
      </c>
      <c r="K99" s="18">
        <f>IF(OR($E99="",$E99=0,$F99=""),"",$F99/$E99)</f>
        <v/>
      </c>
      <c r="L99" s="18">
        <f>IF(OR($C99="",$F99=""),"",$F99/$C99)</f>
        <v/>
      </c>
      <c r="M99" s="19">
        <f>IF(OR($F99="",$F99=0,$G99=""),"",$G99/$F99)</f>
        <v/>
      </c>
      <c r="N99" s="19">
        <f>IF(OR($I99="",$F99="",$F99=0),"",$I99/$F99)</f>
        <v/>
      </c>
      <c r="O99" s="18">
        <f>IF(OR($I99="",$G99="",$G99=0),"",$I99/$G99)</f>
        <v/>
      </c>
      <c r="P99" s="26">
        <f>IF($L99="","",IF($L99&gt;='00_設定'!$B$12,"◎",IF($L99&gt;='00_設定'!$B$13,"○",IF($L99&gt;=0.002,"▲","✕"))))</f>
        <v/>
      </c>
      <c r="Q99" s="7" t="n"/>
    </row>
    <row r="101">
      <c r="A101" s="3" t="inlineStr">
        <is>
          <t>注記</t>
        </is>
      </c>
    </row>
    <row r="102">
      <c r="A102" s="2" t="inlineStr">
        <is>
          <t>【毎日の入力】C 訪問者数 / D 商品閲覧 / E カート追加 / F 注文数 / G 売上 / H 在庫状態 / I 広告費（そのチャネルに紐づく分）。分からない項目は空欄のままで構いません。</t>
        </is>
      </c>
    </row>
    <row r="103">
      <c r="A103" s="2" t="inlineStr">
        <is>
          <t>★カート追加（E列）は必ず入れてください。訪問→カート と カート→注文 を分けて見ることが、この表の一番の目的です。</t>
        </is>
      </c>
    </row>
    <row r="104">
      <c r="A104" s="2" t="inlineStr">
        <is>
          <t>NAVERはカート追加が取れない場合があります。その場合は E列を空欄にすると、カート率とカート→注文は自動で空欄になります。</t>
        </is>
      </c>
    </row>
    <row r="105">
      <c r="A105" s="2" t="inlineStr">
        <is>
          <t>在庫状態が「無」「僅少」の日の転換率は、需要の指標として使えません。週次サマリーでは在庫「有」の日だけで判断してください。</t>
        </is>
      </c>
    </row>
  </sheetData>
  <mergeCells count="7">
    <mergeCell ref="A105:Q105"/>
    <mergeCell ref="A101:Q101"/>
    <mergeCell ref="A2:Q2"/>
    <mergeCell ref="A104:Q104"/>
    <mergeCell ref="A1:Q1"/>
    <mergeCell ref="A102:Q102"/>
    <mergeCell ref="A103:Q103"/>
  </mergeCells>
  <dataValidations count="2">
    <dataValidation sqref="B5:B99" showDropDown="0" showInputMessage="0" showErrorMessage="0" allowBlank="1" type="list">
      <formula1>"NAVER,Coupang,自社EC"</formula1>
    </dataValidation>
    <dataValidation sqref="H5:H99" showDropDown="0" showInputMessage="0" showErrorMessage="0" allowBlank="1" type="list">
      <formula1>"有,僅少,無"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1" customWidth="1" min="12" max="12"/>
    <col width="12" customWidth="1" min="13" max="13"/>
    <col width="12" customWidth="1" min="14" max="14"/>
    <col width="11" customWidth="1" min="15" max="15"/>
    <col width="10" customWidth="1" min="16" max="16"/>
    <col width="30" customWidth="1" min="17" max="17"/>
  </cols>
  <sheetData>
    <row r="1">
      <c r="A1" s="24" t="inlineStr">
        <is>
          <t>メタ広告 日次入力</t>
        </is>
      </c>
    </row>
    <row r="2">
      <c r="A2" s="2" t="inlineStr">
        <is>
          <t>青の枠（C〜I列）だけ入力。CTR・CPC・CVR・CPA・ROAS は自動計算です。</t>
        </is>
      </c>
    </row>
    <row r="4">
      <c r="A4" s="4" t="inlineStr">
        <is>
          <t>日付</t>
        </is>
      </c>
      <c r="B4" s="4" t="inlineStr">
        <is>
          <t>キャンペーン</t>
        </is>
      </c>
      <c r="C4" s="4" t="inlineStr">
        <is>
          <t>広告費(W)</t>
        </is>
      </c>
      <c r="D4" s="4" t="inlineStr">
        <is>
          <t>表示回数</t>
        </is>
      </c>
      <c r="E4" s="4" t="inlineStr">
        <is>
          <t>クリック</t>
        </is>
      </c>
      <c r="F4" s="4" t="inlineStr">
        <is>
          <t>LPビュー</t>
        </is>
      </c>
      <c r="G4" s="4" t="inlineStr">
        <is>
          <t>CV(購入)</t>
        </is>
      </c>
      <c r="H4" s="4" t="inlineStr">
        <is>
          <t>売上(W)</t>
        </is>
      </c>
      <c r="I4" s="4" t="inlineStr">
        <is>
          <t>遷移先</t>
        </is>
      </c>
      <c r="J4" s="4" t="inlineStr">
        <is>
          <t>CTR</t>
        </is>
      </c>
      <c r="K4" s="4" t="inlineStr">
        <is>
          <t>CPC(W)</t>
        </is>
      </c>
      <c r="L4" s="4" t="inlineStr">
        <is>
          <t>LP到達率</t>
        </is>
      </c>
      <c r="M4" s="4" t="inlineStr">
        <is>
          <t>CVR</t>
        </is>
      </c>
      <c r="N4" s="4" t="inlineStr">
        <is>
          <t>CPA(W)</t>
        </is>
      </c>
      <c r="O4" s="4" t="inlineStr">
        <is>
          <t>ROAS</t>
        </is>
      </c>
      <c r="P4" s="4" t="inlineStr">
        <is>
          <t>判定</t>
        </is>
      </c>
      <c r="Q4" s="4" t="inlineStr">
        <is>
          <t>メモ</t>
        </is>
      </c>
    </row>
    <row r="5">
      <c r="A5" s="22" t="n"/>
      <c r="B5" s="16" t="n"/>
      <c r="C5" s="17" t="n"/>
      <c r="D5" s="17" t="n"/>
      <c r="E5" s="17" t="n"/>
      <c r="F5" s="17" t="n"/>
      <c r="G5" s="17" t="n"/>
      <c r="H5" s="17" t="n"/>
      <c r="I5" s="16" t="n"/>
      <c r="J5" s="18">
        <f>IF(OR($D5="",$D5=0,$E5=""),"",$E5/$D5)</f>
        <v/>
      </c>
      <c r="K5" s="19">
        <f>IF(OR($E5="",$E5=0,$C5=""),"",$C5/$E5)</f>
        <v/>
      </c>
      <c r="L5" s="18">
        <f>IF(OR($E5="",$E5=0,$F5=""),"",$F5/$E5)</f>
        <v/>
      </c>
      <c r="M5" s="18">
        <f>IF(OR($F5="",$F5=0,$G5=""),"",$G5/$F5)</f>
        <v/>
      </c>
      <c r="N5" s="19">
        <f>IF(OR($G5="",$G5=0,$C5=""),"",$C5/$G5)</f>
        <v/>
      </c>
      <c r="O5" s="25">
        <f>IF(OR($C5="",$C5=0,$H5=""),"",$H5/$C5)</f>
        <v/>
      </c>
      <c r="P5" s="26">
        <f>IF($N5="","",IF($N5&lt;='00_設定'!$B$8,"◎",IF($N5&lt;='00_設定'!$B$9,"○",IF($N5&lt;='00_設定'!$B$9*1.5,"▲","✕"))))</f>
        <v/>
      </c>
      <c r="Q5" s="27" t="n"/>
    </row>
    <row r="6">
      <c r="A6" s="23" t="n"/>
      <c r="B6" s="5" t="n"/>
      <c r="C6" s="17" t="n"/>
      <c r="D6" s="17" t="n"/>
      <c r="E6" s="17" t="n"/>
      <c r="F6" s="17" t="n"/>
      <c r="G6" s="17" t="n"/>
      <c r="H6" s="17" t="n"/>
      <c r="I6" s="5" t="n"/>
      <c r="J6" s="18">
        <f>IF(OR($D6="",$D6=0,$E6=""),"",$E6/$D6)</f>
        <v/>
      </c>
      <c r="K6" s="19">
        <f>IF(OR($E6="",$E6=0,$C6=""),"",$C6/$E6)</f>
        <v/>
      </c>
      <c r="L6" s="18">
        <f>IF(OR($E6="",$E6=0,$F6=""),"",$F6/$E6)</f>
        <v/>
      </c>
      <c r="M6" s="18">
        <f>IF(OR($F6="",$F6=0,$G6=""),"",$G6/$F6)</f>
        <v/>
      </c>
      <c r="N6" s="19">
        <f>IF(OR($G6="",$G6=0,$C6=""),"",$C6/$G6)</f>
        <v/>
      </c>
      <c r="O6" s="25">
        <f>IF(OR($C6="",$C6=0,$H6=""),"",$H6/$C6)</f>
        <v/>
      </c>
      <c r="P6" s="26">
        <f>IF($N6="","",IF($N6&lt;='00_設定'!$B$8,"◎",IF($N6&lt;='00_設定'!$B$9,"○",IF($N6&lt;='00_設定'!$B$9*1.5,"▲","✕"))))</f>
        <v/>
      </c>
      <c r="Q6" s="27" t="n"/>
    </row>
    <row r="7">
      <c r="A7" s="22" t="n"/>
      <c r="B7" s="16" t="n"/>
      <c r="C7" s="17" t="n"/>
      <c r="D7" s="17" t="n"/>
      <c r="E7" s="17" t="n"/>
      <c r="F7" s="17" t="n"/>
      <c r="G7" s="17" t="n"/>
      <c r="H7" s="17" t="n"/>
      <c r="I7" s="16" t="n"/>
      <c r="J7" s="18">
        <f>IF(OR($D7="",$D7=0,$E7=""),"",$E7/$D7)</f>
        <v/>
      </c>
      <c r="K7" s="19">
        <f>IF(OR($E7="",$E7=0,$C7=""),"",$C7/$E7)</f>
        <v/>
      </c>
      <c r="L7" s="18">
        <f>IF(OR($E7="",$E7=0,$F7=""),"",$F7/$E7)</f>
        <v/>
      </c>
      <c r="M7" s="18">
        <f>IF(OR($F7="",$F7=0,$G7=""),"",$G7/$F7)</f>
        <v/>
      </c>
      <c r="N7" s="19">
        <f>IF(OR($G7="",$G7=0,$C7=""),"",$C7/$G7)</f>
        <v/>
      </c>
      <c r="O7" s="25">
        <f>IF(OR($C7="",$C7=0,$H7=""),"",$H7/$C7)</f>
        <v/>
      </c>
      <c r="P7" s="26">
        <f>IF($N7="","",IF($N7&lt;='00_設定'!$B$8,"◎",IF($N7&lt;='00_設定'!$B$9,"○",IF($N7&lt;='00_設定'!$B$9*1.5,"▲","✕"))))</f>
        <v/>
      </c>
      <c r="Q7" s="27" t="n"/>
    </row>
    <row r="8">
      <c r="A8" s="23" t="n"/>
      <c r="B8" s="5" t="n"/>
      <c r="C8" s="17" t="n"/>
      <c r="D8" s="17" t="n"/>
      <c r="E8" s="17" t="n"/>
      <c r="F8" s="17" t="n"/>
      <c r="G8" s="17" t="n"/>
      <c r="H8" s="17" t="n"/>
      <c r="I8" s="5" t="n"/>
      <c r="J8" s="18">
        <f>IF(OR($D8="",$D8=0,$E8=""),"",$E8/$D8)</f>
        <v/>
      </c>
      <c r="K8" s="19">
        <f>IF(OR($E8="",$E8=0,$C8=""),"",$C8/$E8)</f>
        <v/>
      </c>
      <c r="L8" s="18">
        <f>IF(OR($E8="",$E8=0,$F8=""),"",$F8/$E8)</f>
        <v/>
      </c>
      <c r="M8" s="18">
        <f>IF(OR($F8="",$F8=0,$G8=""),"",$G8/$F8)</f>
        <v/>
      </c>
      <c r="N8" s="19">
        <f>IF(OR($G8="",$G8=0,$C8=""),"",$C8/$G8)</f>
        <v/>
      </c>
      <c r="O8" s="25">
        <f>IF(OR($C8="",$C8=0,$H8=""),"",$H8/$C8)</f>
        <v/>
      </c>
      <c r="P8" s="26">
        <f>IF($N8="","",IF($N8&lt;='00_設定'!$B$8,"◎",IF($N8&lt;='00_設定'!$B$9,"○",IF($N8&lt;='00_設定'!$B$9*1.5,"▲","✕"))))</f>
        <v/>
      </c>
      <c r="Q8" s="27" t="n"/>
    </row>
    <row r="9">
      <c r="A9" s="22" t="n"/>
      <c r="B9" s="16" t="n"/>
      <c r="C9" s="17" t="n"/>
      <c r="D9" s="17" t="n"/>
      <c r="E9" s="17" t="n"/>
      <c r="F9" s="17" t="n"/>
      <c r="G9" s="17" t="n"/>
      <c r="H9" s="17" t="n"/>
      <c r="I9" s="16" t="n"/>
      <c r="J9" s="18">
        <f>IF(OR($D9="",$D9=0,$E9=""),"",$E9/$D9)</f>
        <v/>
      </c>
      <c r="K9" s="19">
        <f>IF(OR($E9="",$E9=0,$C9=""),"",$C9/$E9)</f>
        <v/>
      </c>
      <c r="L9" s="18">
        <f>IF(OR($E9="",$E9=0,$F9=""),"",$F9/$E9)</f>
        <v/>
      </c>
      <c r="M9" s="18">
        <f>IF(OR($F9="",$F9=0,$G9=""),"",$G9/$F9)</f>
        <v/>
      </c>
      <c r="N9" s="19">
        <f>IF(OR($G9="",$G9=0,$C9=""),"",$C9/$G9)</f>
        <v/>
      </c>
      <c r="O9" s="25">
        <f>IF(OR($C9="",$C9=0,$H9=""),"",$H9/$C9)</f>
        <v/>
      </c>
      <c r="P9" s="26">
        <f>IF($N9="","",IF($N9&lt;='00_設定'!$B$8,"◎",IF($N9&lt;='00_設定'!$B$9,"○",IF($N9&lt;='00_設定'!$B$9*1.5,"▲","✕"))))</f>
        <v/>
      </c>
      <c r="Q9" s="27" t="n"/>
    </row>
    <row r="10">
      <c r="A10" s="23" t="n"/>
      <c r="B10" s="5" t="n"/>
      <c r="C10" s="17" t="n"/>
      <c r="D10" s="17" t="n"/>
      <c r="E10" s="17" t="n"/>
      <c r="F10" s="17" t="n"/>
      <c r="G10" s="17" t="n"/>
      <c r="H10" s="17" t="n"/>
      <c r="I10" s="5" t="n"/>
      <c r="J10" s="18">
        <f>IF(OR($D10="",$D10=0,$E10=""),"",$E10/$D10)</f>
        <v/>
      </c>
      <c r="K10" s="19">
        <f>IF(OR($E10="",$E10=0,$C10=""),"",$C10/$E10)</f>
        <v/>
      </c>
      <c r="L10" s="18">
        <f>IF(OR($E10="",$E10=0,$F10=""),"",$F10/$E10)</f>
        <v/>
      </c>
      <c r="M10" s="18">
        <f>IF(OR($F10="",$F10=0,$G10=""),"",$G10/$F10)</f>
        <v/>
      </c>
      <c r="N10" s="19">
        <f>IF(OR($G10="",$G10=0,$C10=""),"",$C10/$G10)</f>
        <v/>
      </c>
      <c r="O10" s="25">
        <f>IF(OR($C10="",$C10=0,$H10=""),"",$H10/$C10)</f>
        <v/>
      </c>
      <c r="P10" s="26">
        <f>IF($N10="","",IF($N10&lt;='00_設定'!$B$8,"◎",IF($N10&lt;='00_設定'!$B$9,"○",IF($N10&lt;='00_設定'!$B$9*1.5,"▲","✕"))))</f>
        <v/>
      </c>
      <c r="Q10" s="27" t="n"/>
    </row>
    <row r="11">
      <c r="A11" s="22" t="n"/>
      <c r="B11" s="16" t="n"/>
      <c r="C11" s="17" t="n"/>
      <c r="D11" s="17" t="n"/>
      <c r="E11" s="17" t="n"/>
      <c r="F11" s="17" t="n"/>
      <c r="G11" s="17" t="n"/>
      <c r="H11" s="17" t="n"/>
      <c r="I11" s="16" t="n"/>
      <c r="J11" s="18">
        <f>IF(OR($D11="",$D11=0,$E11=""),"",$E11/$D11)</f>
        <v/>
      </c>
      <c r="K11" s="19">
        <f>IF(OR($E11="",$E11=0,$C11=""),"",$C11/$E11)</f>
        <v/>
      </c>
      <c r="L11" s="18">
        <f>IF(OR($E11="",$E11=0,$F11=""),"",$F11/$E11)</f>
        <v/>
      </c>
      <c r="M11" s="18">
        <f>IF(OR($F11="",$F11=0,$G11=""),"",$G11/$F11)</f>
        <v/>
      </c>
      <c r="N11" s="19">
        <f>IF(OR($G11="",$G11=0,$C11=""),"",$C11/$G11)</f>
        <v/>
      </c>
      <c r="O11" s="25">
        <f>IF(OR($C11="",$C11=0,$H11=""),"",$H11/$C11)</f>
        <v/>
      </c>
      <c r="P11" s="26">
        <f>IF($N11="","",IF($N11&lt;='00_設定'!$B$8,"◎",IF($N11&lt;='00_設定'!$B$9,"○",IF($N11&lt;='00_設定'!$B$9*1.5,"▲","✕"))))</f>
        <v/>
      </c>
      <c r="Q11" s="27" t="n"/>
    </row>
    <row r="12">
      <c r="A12" s="23" t="n"/>
      <c r="B12" s="5" t="n"/>
      <c r="C12" s="17" t="n"/>
      <c r="D12" s="17" t="n"/>
      <c r="E12" s="17" t="n"/>
      <c r="F12" s="17" t="n"/>
      <c r="G12" s="17" t="n"/>
      <c r="H12" s="17" t="n"/>
      <c r="I12" s="5" t="n"/>
      <c r="J12" s="18">
        <f>IF(OR($D12="",$D12=0,$E12=""),"",$E12/$D12)</f>
        <v/>
      </c>
      <c r="K12" s="19">
        <f>IF(OR($E12="",$E12=0,$C12=""),"",$C12/$E12)</f>
        <v/>
      </c>
      <c r="L12" s="18">
        <f>IF(OR($E12="",$E12=0,$F12=""),"",$F12/$E12)</f>
        <v/>
      </c>
      <c r="M12" s="18">
        <f>IF(OR($F12="",$F12=0,$G12=""),"",$G12/$F12)</f>
        <v/>
      </c>
      <c r="N12" s="19">
        <f>IF(OR($G12="",$G12=0,$C12=""),"",$C12/$G12)</f>
        <v/>
      </c>
      <c r="O12" s="25">
        <f>IF(OR($C12="",$C12=0,$H12=""),"",$H12/$C12)</f>
        <v/>
      </c>
      <c r="P12" s="26">
        <f>IF($N12="","",IF($N12&lt;='00_設定'!$B$8,"◎",IF($N12&lt;='00_設定'!$B$9,"○",IF($N12&lt;='00_設定'!$B$9*1.5,"▲","✕"))))</f>
        <v/>
      </c>
      <c r="Q12" s="27" t="n"/>
    </row>
    <row r="13">
      <c r="A13" s="22" t="n"/>
      <c r="B13" s="16" t="n"/>
      <c r="C13" s="17" t="n"/>
      <c r="D13" s="17" t="n"/>
      <c r="E13" s="17" t="n"/>
      <c r="F13" s="17" t="n"/>
      <c r="G13" s="17" t="n"/>
      <c r="H13" s="17" t="n"/>
      <c r="I13" s="16" t="n"/>
      <c r="J13" s="18">
        <f>IF(OR($D13="",$D13=0,$E13=""),"",$E13/$D13)</f>
        <v/>
      </c>
      <c r="K13" s="19">
        <f>IF(OR($E13="",$E13=0,$C13=""),"",$C13/$E13)</f>
        <v/>
      </c>
      <c r="L13" s="18">
        <f>IF(OR($E13="",$E13=0,$F13=""),"",$F13/$E13)</f>
        <v/>
      </c>
      <c r="M13" s="18">
        <f>IF(OR($F13="",$F13=0,$G13=""),"",$G13/$F13)</f>
        <v/>
      </c>
      <c r="N13" s="19">
        <f>IF(OR($G13="",$G13=0,$C13=""),"",$C13/$G13)</f>
        <v/>
      </c>
      <c r="O13" s="25">
        <f>IF(OR($C13="",$C13=0,$H13=""),"",$H13/$C13)</f>
        <v/>
      </c>
      <c r="P13" s="26">
        <f>IF($N13="","",IF($N13&lt;='00_設定'!$B$8,"◎",IF($N13&lt;='00_設定'!$B$9,"○",IF($N13&lt;='00_設定'!$B$9*1.5,"▲","✕"))))</f>
        <v/>
      </c>
      <c r="Q13" s="27" t="n"/>
    </row>
    <row r="14">
      <c r="A14" s="23" t="n"/>
      <c r="B14" s="5" t="n"/>
      <c r="C14" s="17" t="n"/>
      <c r="D14" s="17" t="n"/>
      <c r="E14" s="17" t="n"/>
      <c r="F14" s="17" t="n"/>
      <c r="G14" s="17" t="n"/>
      <c r="H14" s="17" t="n"/>
      <c r="I14" s="5" t="n"/>
      <c r="J14" s="18">
        <f>IF(OR($D14="",$D14=0,$E14=""),"",$E14/$D14)</f>
        <v/>
      </c>
      <c r="K14" s="19">
        <f>IF(OR($E14="",$E14=0,$C14=""),"",$C14/$E14)</f>
        <v/>
      </c>
      <c r="L14" s="18">
        <f>IF(OR($E14="",$E14=0,$F14=""),"",$F14/$E14)</f>
        <v/>
      </c>
      <c r="M14" s="18">
        <f>IF(OR($F14="",$F14=0,$G14=""),"",$G14/$F14)</f>
        <v/>
      </c>
      <c r="N14" s="19">
        <f>IF(OR($G14="",$G14=0,$C14=""),"",$C14/$G14)</f>
        <v/>
      </c>
      <c r="O14" s="25">
        <f>IF(OR($C14="",$C14=0,$H14=""),"",$H14/$C14)</f>
        <v/>
      </c>
      <c r="P14" s="26">
        <f>IF($N14="","",IF($N14&lt;='00_設定'!$B$8,"◎",IF($N14&lt;='00_設定'!$B$9,"○",IF($N14&lt;='00_設定'!$B$9*1.5,"▲","✕"))))</f>
        <v/>
      </c>
      <c r="Q14" s="27" t="n"/>
    </row>
    <row r="15">
      <c r="A15" s="22" t="n"/>
      <c r="B15" s="16" t="n"/>
      <c r="C15" s="17" t="n"/>
      <c r="D15" s="17" t="n"/>
      <c r="E15" s="17" t="n"/>
      <c r="F15" s="17" t="n"/>
      <c r="G15" s="17" t="n"/>
      <c r="H15" s="17" t="n"/>
      <c r="I15" s="16" t="n"/>
      <c r="J15" s="18">
        <f>IF(OR($D15="",$D15=0,$E15=""),"",$E15/$D15)</f>
        <v/>
      </c>
      <c r="K15" s="19">
        <f>IF(OR($E15="",$E15=0,$C15=""),"",$C15/$E15)</f>
        <v/>
      </c>
      <c r="L15" s="18">
        <f>IF(OR($E15="",$E15=0,$F15=""),"",$F15/$E15)</f>
        <v/>
      </c>
      <c r="M15" s="18">
        <f>IF(OR($F15="",$F15=0,$G15=""),"",$G15/$F15)</f>
        <v/>
      </c>
      <c r="N15" s="19">
        <f>IF(OR($G15="",$G15=0,$C15=""),"",$C15/$G15)</f>
        <v/>
      </c>
      <c r="O15" s="25">
        <f>IF(OR($C15="",$C15=0,$H15=""),"",$H15/$C15)</f>
        <v/>
      </c>
      <c r="P15" s="26">
        <f>IF($N15="","",IF($N15&lt;='00_設定'!$B$8,"◎",IF($N15&lt;='00_設定'!$B$9,"○",IF($N15&lt;='00_設定'!$B$9*1.5,"▲","✕"))))</f>
        <v/>
      </c>
      <c r="Q15" s="27" t="n"/>
    </row>
    <row r="16">
      <c r="A16" s="23" t="n"/>
      <c r="B16" s="5" t="n"/>
      <c r="C16" s="17" t="n"/>
      <c r="D16" s="17" t="n"/>
      <c r="E16" s="17" t="n"/>
      <c r="F16" s="17" t="n"/>
      <c r="G16" s="17" t="n"/>
      <c r="H16" s="17" t="n"/>
      <c r="I16" s="5" t="n"/>
      <c r="J16" s="18">
        <f>IF(OR($D16="",$D16=0,$E16=""),"",$E16/$D16)</f>
        <v/>
      </c>
      <c r="K16" s="19">
        <f>IF(OR($E16="",$E16=0,$C16=""),"",$C16/$E16)</f>
        <v/>
      </c>
      <c r="L16" s="18">
        <f>IF(OR($E16="",$E16=0,$F16=""),"",$F16/$E16)</f>
        <v/>
      </c>
      <c r="M16" s="18">
        <f>IF(OR($F16="",$F16=0,$G16=""),"",$G16/$F16)</f>
        <v/>
      </c>
      <c r="N16" s="19">
        <f>IF(OR($G16="",$G16=0,$C16=""),"",$C16/$G16)</f>
        <v/>
      </c>
      <c r="O16" s="25">
        <f>IF(OR($C16="",$C16=0,$H16=""),"",$H16/$C16)</f>
        <v/>
      </c>
      <c r="P16" s="26">
        <f>IF($N16="","",IF($N16&lt;='00_設定'!$B$8,"◎",IF($N16&lt;='00_設定'!$B$9,"○",IF($N16&lt;='00_設定'!$B$9*1.5,"▲","✕"))))</f>
        <v/>
      </c>
      <c r="Q16" s="27" t="n"/>
    </row>
    <row r="17">
      <c r="A17" s="22" t="n"/>
      <c r="B17" s="16" t="n"/>
      <c r="C17" s="17" t="n"/>
      <c r="D17" s="17" t="n"/>
      <c r="E17" s="17" t="n"/>
      <c r="F17" s="17" t="n"/>
      <c r="G17" s="17" t="n"/>
      <c r="H17" s="17" t="n"/>
      <c r="I17" s="16" t="n"/>
      <c r="J17" s="18">
        <f>IF(OR($D17="",$D17=0,$E17=""),"",$E17/$D17)</f>
        <v/>
      </c>
      <c r="K17" s="19">
        <f>IF(OR($E17="",$E17=0,$C17=""),"",$C17/$E17)</f>
        <v/>
      </c>
      <c r="L17" s="18">
        <f>IF(OR($E17="",$E17=0,$F17=""),"",$F17/$E17)</f>
        <v/>
      </c>
      <c r="M17" s="18">
        <f>IF(OR($F17="",$F17=0,$G17=""),"",$G17/$F17)</f>
        <v/>
      </c>
      <c r="N17" s="19">
        <f>IF(OR($G17="",$G17=0,$C17=""),"",$C17/$G17)</f>
        <v/>
      </c>
      <c r="O17" s="25">
        <f>IF(OR($C17="",$C17=0,$H17=""),"",$H17/$C17)</f>
        <v/>
      </c>
      <c r="P17" s="26">
        <f>IF($N17="","",IF($N17&lt;='00_設定'!$B$8,"◎",IF($N17&lt;='00_設定'!$B$9,"○",IF($N17&lt;='00_設定'!$B$9*1.5,"▲","✕"))))</f>
        <v/>
      </c>
      <c r="Q17" s="27" t="n"/>
    </row>
    <row r="18">
      <c r="A18" s="23" t="n"/>
      <c r="B18" s="5" t="n"/>
      <c r="C18" s="17" t="n"/>
      <c r="D18" s="17" t="n"/>
      <c r="E18" s="17" t="n"/>
      <c r="F18" s="17" t="n"/>
      <c r="G18" s="17" t="n"/>
      <c r="H18" s="17" t="n"/>
      <c r="I18" s="5" t="n"/>
      <c r="J18" s="18">
        <f>IF(OR($D18="",$D18=0,$E18=""),"",$E18/$D18)</f>
        <v/>
      </c>
      <c r="K18" s="19">
        <f>IF(OR($E18="",$E18=0,$C18=""),"",$C18/$E18)</f>
        <v/>
      </c>
      <c r="L18" s="18">
        <f>IF(OR($E18="",$E18=0,$F18=""),"",$F18/$E18)</f>
        <v/>
      </c>
      <c r="M18" s="18">
        <f>IF(OR($F18="",$F18=0,$G18=""),"",$G18/$F18)</f>
        <v/>
      </c>
      <c r="N18" s="19">
        <f>IF(OR($G18="",$G18=0,$C18=""),"",$C18/$G18)</f>
        <v/>
      </c>
      <c r="O18" s="25">
        <f>IF(OR($C18="",$C18=0,$H18=""),"",$H18/$C18)</f>
        <v/>
      </c>
      <c r="P18" s="26">
        <f>IF($N18="","",IF($N18&lt;='00_設定'!$B$8,"◎",IF($N18&lt;='00_設定'!$B$9,"○",IF($N18&lt;='00_設定'!$B$9*1.5,"▲","✕"))))</f>
        <v/>
      </c>
      <c r="Q18" s="27" t="n"/>
    </row>
    <row r="19">
      <c r="A19" s="22" t="n"/>
      <c r="B19" s="16" t="n"/>
      <c r="C19" s="17" t="n"/>
      <c r="D19" s="17" t="n"/>
      <c r="E19" s="17" t="n"/>
      <c r="F19" s="17" t="n"/>
      <c r="G19" s="17" t="n"/>
      <c r="H19" s="17" t="n"/>
      <c r="I19" s="16" t="n"/>
      <c r="J19" s="18">
        <f>IF(OR($D19="",$D19=0,$E19=""),"",$E19/$D19)</f>
        <v/>
      </c>
      <c r="K19" s="19">
        <f>IF(OR($E19="",$E19=0,$C19=""),"",$C19/$E19)</f>
        <v/>
      </c>
      <c r="L19" s="18">
        <f>IF(OR($E19="",$E19=0,$F19=""),"",$F19/$E19)</f>
        <v/>
      </c>
      <c r="M19" s="18">
        <f>IF(OR($F19="",$F19=0,$G19=""),"",$G19/$F19)</f>
        <v/>
      </c>
      <c r="N19" s="19">
        <f>IF(OR($G19="",$G19=0,$C19=""),"",$C19/$G19)</f>
        <v/>
      </c>
      <c r="O19" s="25">
        <f>IF(OR($C19="",$C19=0,$H19=""),"",$H19/$C19)</f>
        <v/>
      </c>
      <c r="P19" s="26">
        <f>IF($N19="","",IF($N19&lt;='00_設定'!$B$8,"◎",IF($N19&lt;='00_設定'!$B$9,"○",IF($N19&lt;='00_設定'!$B$9*1.5,"▲","✕"))))</f>
        <v/>
      </c>
      <c r="Q19" s="27" t="n"/>
    </row>
    <row r="20">
      <c r="A20" s="23" t="n"/>
      <c r="B20" s="5" t="n"/>
      <c r="C20" s="17" t="n"/>
      <c r="D20" s="17" t="n"/>
      <c r="E20" s="17" t="n"/>
      <c r="F20" s="17" t="n"/>
      <c r="G20" s="17" t="n"/>
      <c r="H20" s="17" t="n"/>
      <c r="I20" s="5" t="n"/>
      <c r="J20" s="18">
        <f>IF(OR($D20="",$D20=0,$E20=""),"",$E20/$D20)</f>
        <v/>
      </c>
      <c r="K20" s="19">
        <f>IF(OR($E20="",$E20=0,$C20=""),"",$C20/$E20)</f>
        <v/>
      </c>
      <c r="L20" s="18">
        <f>IF(OR($E20="",$E20=0,$F20=""),"",$F20/$E20)</f>
        <v/>
      </c>
      <c r="M20" s="18">
        <f>IF(OR($F20="",$F20=0,$G20=""),"",$G20/$F20)</f>
        <v/>
      </c>
      <c r="N20" s="19">
        <f>IF(OR($G20="",$G20=0,$C20=""),"",$C20/$G20)</f>
        <v/>
      </c>
      <c r="O20" s="25">
        <f>IF(OR($C20="",$C20=0,$H20=""),"",$H20/$C20)</f>
        <v/>
      </c>
      <c r="P20" s="26">
        <f>IF($N20="","",IF($N20&lt;='00_設定'!$B$8,"◎",IF($N20&lt;='00_設定'!$B$9,"○",IF($N20&lt;='00_設定'!$B$9*1.5,"▲","✕"))))</f>
        <v/>
      </c>
      <c r="Q20" s="27" t="n"/>
    </row>
    <row r="21">
      <c r="A21" s="22" t="n"/>
      <c r="B21" s="16" t="n"/>
      <c r="C21" s="17" t="n"/>
      <c r="D21" s="17" t="n"/>
      <c r="E21" s="17" t="n"/>
      <c r="F21" s="17" t="n"/>
      <c r="G21" s="17" t="n"/>
      <c r="H21" s="17" t="n"/>
      <c r="I21" s="16" t="n"/>
      <c r="J21" s="18">
        <f>IF(OR($D21="",$D21=0,$E21=""),"",$E21/$D21)</f>
        <v/>
      </c>
      <c r="K21" s="19">
        <f>IF(OR($E21="",$E21=0,$C21=""),"",$C21/$E21)</f>
        <v/>
      </c>
      <c r="L21" s="18">
        <f>IF(OR($E21="",$E21=0,$F21=""),"",$F21/$E21)</f>
        <v/>
      </c>
      <c r="M21" s="18">
        <f>IF(OR($F21="",$F21=0,$G21=""),"",$G21/$F21)</f>
        <v/>
      </c>
      <c r="N21" s="19">
        <f>IF(OR($G21="",$G21=0,$C21=""),"",$C21/$G21)</f>
        <v/>
      </c>
      <c r="O21" s="25">
        <f>IF(OR($C21="",$C21=0,$H21=""),"",$H21/$C21)</f>
        <v/>
      </c>
      <c r="P21" s="26">
        <f>IF($N21="","",IF($N21&lt;='00_設定'!$B$8,"◎",IF($N21&lt;='00_設定'!$B$9,"○",IF($N21&lt;='00_設定'!$B$9*1.5,"▲","✕"))))</f>
        <v/>
      </c>
      <c r="Q21" s="27" t="n"/>
    </row>
    <row r="22">
      <c r="A22" s="23" t="n"/>
      <c r="B22" s="5" t="n"/>
      <c r="C22" s="17" t="n"/>
      <c r="D22" s="17" t="n"/>
      <c r="E22" s="17" t="n"/>
      <c r="F22" s="17" t="n"/>
      <c r="G22" s="17" t="n"/>
      <c r="H22" s="17" t="n"/>
      <c r="I22" s="5" t="n"/>
      <c r="J22" s="18">
        <f>IF(OR($D22="",$D22=0,$E22=""),"",$E22/$D22)</f>
        <v/>
      </c>
      <c r="K22" s="19">
        <f>IF(OR($E22="",$E22=0,$C22=""),"",$C22/$E22)</f>
        <v/>
      </c>
      <c r="L22" s="18">
        <f>IF(OR($E22="",$E22=0,$F22=""),"",$F22/$E22)</f>
        <v/>
      </c>
      <c r="M22" s="18">
        <f>IF(OR($F22="",$F22=0,$G22=""),"",$G22/$F22)</f>
        <v/>
      </c>
      <c r="N22" s="19">
        <f>IF(OR($G22="",$G22=0,$C22=""),"",$C22/$G22)</f>
        <v/>
      </c>
      <c r="O22" s="25">
        <f>IF(OR($C22="",$C22=0,$H22=""),"",$H22/$C22)</f>
        <v/>
      </c>
      <c r="P22" s="26">
        <f>IF($N22="","",IF($N22&lt;='00_設定'!$B$8,"◎",IF($N22&lt;='00_設定'!$B$9,"○",IF($N22&lt;='00_設定'!$B$9*1.5,"▲","✕"))))</f>
        <v/>
      </c>
      <c r="Q22" s="27" t="n"/>
    </row>
    <row r="23">
      <c r="A23" s="22" t="n"/>
      <c r="B23" s="16" t="n"/>
      <c r="C23" s="17" t="n"/>
      <c r="D23" s="17" t="n"/>
      <c r="E23" s="17" t="n"/>
      <c r="F23" s="17" t="n"/>
      <c r="G23" s="17" t="n"/>
      <c r="H23" s="17" t="n"/>
      <c r="I23" s="16" t="n"/>
      <c r="J23" s="18">
        <f>IF(OR($D23="",$D23=0,$E23=""),"",$E23/$D23)</f>
        <v/>
      </c>
      <c r="K23" s="19">
        <f>IF(OR($E23="",$E23=0,$C23=""),"",$C23/$E23)</f>
        <v/>
      </c>
      <c r="L23" s="18">
        <f>IF(OR($E23="",$E23=0,$F23=""),"",$F23/$E23)</f>
        <v/>
      </c>
      <c r="M23" s="18">
        <f>IF(OR($F23="",$F23=0,$G23=""),"",$G23/$F23)</f>
        <v/>
      </c>
      <c r="N23" s="19">
        <f>IF(OR($G23="",$G23=0,$C23=""),"",$C23/$G23)</f>
        <v/>
      </c>
      <c r="O23" s="25">
        <f>IF(OR($C23="",$C23=0,$H23=""),"",$H23/$C23)</f>
        <v/>
      </c>
      <c r="P23" s="26">
        <f>IF($N23="","",IF($N23&lt;='00_設定'!$B$8,"◎",IF($N23&lt;='00_設定'!$B$9,"○",IF($N23&lt;='00_設定'!$B$9*1.5,"▲","✕"))))</f>
        <v/>
      </c>
      <c r="Q23" s="27" t="n"/>
    </row>
    <row r="24">
      <c r="A24" s="23" t="n"/>
      <c r="B24" s="5" t="n"/>
      <c r="C24" s="17" t="n"/>
      <c r="D24" s="17" t="n"/>
      <c r="E24" s="17" t="n"/>
      <c r="F24" s="17" t="n"/>
      <c r="G24" s="17" t="n"/>
      <c r="H24" s="17" t="n"/>
      <c r="I24" s="5" t="n"/>
      <c r="J24" s="18">
        <f>IF(OR($D24="",$D24=0,$E24=""),"",$E24/$D24)</f>
        <v/>
      </c>
      <c r="K24" s="19">
        <f>IF(OR($E24="",$E24=0,$C24=""),"",$C24/$E24)</f>
        <v/>
      </c>
      <c r="L24" s="18">
        <f>IF(OR($E24="",$E24=0,$F24=""),"",$F24/$E24)</f>
        <v/>
      </c>
      <c r="M24" s="18">
        <f>IF(OR($F24="",$F24=0,$G24=""),"",$G24/$F24)</f>
        <v/>
      </c>
      <c r="N24" s="19">
        <f>IF(OR($G24="",$G24=0,$C24=""),"",$C24/$G24)</f>
        <v/>
      </c>
      <c r="O24" s="25">
        <f>IF(OR($C24="",$C24=0,$H24=""),"",$H24/$C24)</f>
        <v/>
      </c>
      <c r="P24" s="26">
        <f>IF($N24="","",IF($N24&lt;='00_設定'!$B$8,"◎",IF($N24&lt;='00_設定'!$B$9,"○",IF($N24&lt;='00_設定'!$B$9*1.5,"▲","✕"))))</f>
        <v/>
      </c>
      <c r="Q24" s="27" t="n"/>
    </row>
    <row r="25">
      <c r="A25" s="22" t="n"/>
      <c r="B25" s="16" t="n"/>
      <c r="C25" s="17" t="n"/>
      <c r="D25" s="17" t="n"/>
      <c r="E25" s="17" t="n"/>
      <c r="F25" s="17" t="n"/>
      <c r="G25" s="17" t="n"/>
      <c r="H25" s="17" t="n"/>
      <c r="I25" s="16" t="n"/>
      <c r="J25" s="18">
        <f>IF(OR($D25="",$D25=0,$E25=""),"",$E25/$D25)</f>
        <v/>
      </c>
      <c r="K25" s="19">
        <f>IF(OR($E25="",$E25=0,$C25=""),"",$C25/$E25)</f>
        <v/>
      </c>
      <c r="L25" s="18">
        <f>IF(OR($E25="",$E25=0,$F25=""),"",$F25/$E25)</f>
        <v/>
      </c>
      <c r="M25" s="18">
        <f>IF(OR($F25="",$F25=0,$G25=""),"",$G25/$F25)</f>
        <v/>
      </c>
      <c r="N25" s="19">
        <f>IF(OR($G25="",$G25=0,$C25=""),"",$C25/$G25)</f>
        <v/>
      </c>
      <c r="O25" s="25">
        <f>IF(OR($C25="",$C25=0,$H25=""),"",$H25/$C25)</f>
        <v/>
      </c>
      <c r="P25" s="26">
        <f>IF($N25="","",IF($N25&lt;='00_設定'!$B$8,"◎",IF($N25&lt;='00_設定'!$B$9,"○",IF($N25&lt;='00_設定'!$B$9*1.5,"▲","✕"))))</f>
        <v/>
      </c>
      <c r="Q25" s="27" t="n"/>
    </row>
    <row r="26">
      <c r="A26" s="23" t="n"/>
      <c r="B26" s="5" t="n"/>
      <c r="C26" s="17" t="n"/>
      <c r="D26" s="17" t="n"/>
      <c r="E26" s="17" t="n"/>
      <c r="F26" s="17" t="n"/>
      <c r="G26" s="17" t="n"/>
      <c r="H26" s="17" t="n"/>
      <c r="I26" s="5" t="n"/>
      <c r="J26" s="18">
        <f>IF(OR($D26="",$D26=0,$E26=""),"",$E26/$D26)</f>
        <v/>
      </c>
      <c r="K26" s="19">
        <f>IF(OR($E26="",$E26=0,$C26=""),"",$C26/$E26)</f>
        <v/>
      </c>
      <c r="L26" s="18">
        <f>IF(OR($E26="",$E26=0,$F26=""),"",$F26/$E26)</f>
        <v/>
      </c>
      <c r="M26" s="18">
        <f>IF(OR($F26="",$F26=0,$G26=""),"",$G26/$F26)</f>
        <v/>
      </c>
      <c r="N26" s="19">
        <f>IF(OR($G26="",$G26=0,$C26=""),"",$C26/$G26)</f>
        <v/>
      </c>
      <c r="O26" s="25">
        <f>IF(OR($C26="",$C26=0,$H26=""),"",$H26/$C26)</f>
        <v/>
      </c>
      <c r="P26" s="26">
        <f>IF($N26="","",IF($N26&lt;='00_設定'!$B$8,"◎",IF($N26&lt;='00_設定'!$B$9,"○",IF($N26&lt;='00_設定'!$B$9*1.5,"▲","✕"))))</f>
        <v/>
      </c>
      <c r="Q26" s="27" t="n"/>
    </row>
    <row r="27">
      <c r="A27" s="22" t="n"/>
      <c r="B27" s="16" t="n"/>
      <c r="C27" s="17" t="n"/>
      <c r="D27" s="17" t="n"/>
      <c r="E27" s="17" t="n"/>
      <c r="F27" s="17" t="n"/>
      <c r="G27" s="17" t="n"/>
      <c r="H27" s="17" t="n"/>
      <c r="I27" s="16" t="n"/>
      <c r="J27" s="18">
        <f>IF(OR($D27="",$D27=0,$E27=""),"",$E27/$D27)</f>
        <v/>
      </c>
      <c r="K27" s="19">
        <f>IF(OR($E27="",$E27=0,$C27=""),"",$C27/$E27)</f>
        <v/>
      </c>
      <c r="L27" s="18">
        <f>IF(OR($E27="",$E27=0,$F27=""),"",$F27/$E27)</f>
        <v/>
      </c>
      <c r="M27" s="18">
        <f>IF(OR($F27="",$F27=0,$G27=""),"",$G27/$F27)</f>
        <v/>
      </c>
      <c r="N27" s="19">
        <f>IF(OR($G27="",$G27=0,$C27=""),"",$C27/$G27)</f>
        <v/>
      </c>
      <c r="O27" s="25">
        <f>IF(OR($C27="",$C27=0,$H27=""),"",$H27/$C27)</f>
        <v/>
      </c>
      <c r="P27" s="26">
        <f>IF($N27="","",IF($N27&lt;='00_設定'!$B$8,"◎",IF($N27&lt;='00_設定'!$B$9,"○",IF($N27&lt;='00_設定'!$B$9*1.5,"▲","✕"))))</f>
        <v/>
      </c>
      <c r="Q27" s="27" t="n"/>
    </row>
    <row r="28">
      <c r="A28" s="23" t="n"/>
      <c r="B28" s="5" t="n"/>
      <c r="C28" s="17" t="n"/>
      <c r="D28" s="17" t="n"/>
      <c r="E28" s="17" t="n"/>
      <c r="F28" s="17" t="n"/>
      <c r="G28" s="17" t="n"/>
      <c r="H28" s="17" t="n"/>
      <c r="I28" s="5" t="n"/>
      <c r="J28" s="18">
        <f>IF(OR($D28="",$D28=0,$E28=""),"",$E28/$D28)</f>
        <v/>
      </c>
      <c r="K28" s="19">
        <f>IF(OR($E28="",$E28=0,$C28=""),"",$C28/$E28)</f>
        <v/>
      </c>
      <c r="L28" s="18">
        <f>IF(OR($E28="",$E28=0,$F28=""),"",$F28/$E28)</f>
        <v/>
      </c>
      <c r="M28" s="18">
        <f>IF(OR($F28="",$F28=0,$G28=""),"",$G28/$F28)</f>
        <v/>
      </c>
      <c r="N28" s="19">
        <f>IF(OR($G28="",$G28=0,$C28=""),"",$C28/$G28)</f>
        <v/>
      </c>
      <c r="O28" s="25">
        <f>IF(OR($C28="",$C28=0,$H28=""),"",$H28/$C28)</f>
        <v/>
      </c>
      <c r="P28" s="26">
        <f>IF($N28="","",IF($N28&lt;='00_設定'!$B$8,"◎",IF($N28&lt;='00_設定'!$B$9,"○",IF($N28&lt;='00_設定'!$B$9*1.5,"▲","✕"))))</f>
        <v/>
      </c>
      <c r="Q28" s="27" t="n"/>
    </row>
    <row r="29">
      <c r="A29" s="22" t="n"/>
      <c r="B29" s="16" t="n"/>
      <c r="C29" s="17" t="n"/>
      <c r="D29" s="17" t="n"/>
      <c r="E29" s="17" t="n"/>
      <c r="F29" s="17" t="n"/>
      <c r="G29" s="17" t="n"/>
      <c r="H29" s="17" t="n"/>
      <c r="I29" s="16" t="n"/>
      <c r="J29" s="18">
        <f>IF(OR($D29="",$D29=0,$E29=""),"",$E29/$D29)</f>
        <v/>
      </c>
      <c r="K29" s="19">
        <f>IF(OR($E29="",$E29=0,$C29=""),"",$C29/$E29)</f>
        <v/>
      </c>
      <c r="L29" s="18">
        <f>IF(OR($E29="",$E29=0,$F29=""),"",$F29/$E29)</f>
        <v/>
      </c>
      <c r="M29" s="18">
        <f>IF(OR($F29="",$F29=0,$G29=""),"",$G29/$F29)</f>
        <v/>
      </c>
      <c r="N29" s="19">
        <f>IF(OR($G29="",$G29=0,$C29=""),"",$C29/$G29)</f>
        <v/>
      </c>
      <c r="O29" s="25">
        <f>IF(OR($C29="",$C29=0,$H29=""),"",$H29/$C29)</f>
        <v/>
      </c>
      <c r="P29" s="26">
        <f>IF($N29="","",IF($N29&lt;='00_設定'!$B$8,"◎",IF($N29&lt;='00_設定'!$B$9,"○",IF($N29&lt;='00_設定'!$B$9*1.5,"▲","✕"))))</f>
        <v/>
      </c>
      <c r="Q29" s="27" t="n"/>
    </row>
    <row r="30">
      <c r="A30" s="23" t="n"/>
      <c r="B30" s="5" t="n"/>
      <c r="C30" s="17" t="n"/>
      <c r="D30" s="17" t="n"/>
      <c r="E30" s="17" t="n"/>
      <c r="F30" s="17" t="n"/>
      <c r="G30" s="17" t="n"/>
      <c r="H30" s="17" t="n"/>
      <c r="I30" s="5" t="n"/>
      <c r="J30" s="18">
        <f>IF(OR($D30="",$D30=0,$E30=""),"",$E30/$D30)</f>
        <v/>
      </c>
      <c r="K30" s="19">
        <f>IF(OR($E30="",$E30=0,$C30=""),"",$C30/$E30)</f>
        <v/>
      </c>
      <c r="L30" s="18">
        <f>IF(OR($E30="",$E30=0,$F30=""),"",$F30/$E30)</f>
        <v/>
      </c>
      <c r="M30" s="18">
        <f>IF(OR($F30="",$F30=0,$G30=""),"",$G30/$F30)</f>
        <v/>
      </c>
      <c r="N30" s="19">
        <f>IF(OR($G30="",$G30=0,$C30=""),"",$C30/$G30)</f>
        <v/>
      </c>
      <c r="O30" s="25">
        <f>IF(OR($C30="",$C30=0,$H30=""),"",$H30/$C30)</f>
        <v/>
      </c>
      <c r="P30" s="26">
        <f>IF($N30="","",IF($N30&lt;='00_設定'!$B$8,"◎",IF($N30&lt;='00_設定'!$B$9,"○",IF($N30&lt;='00_設定'!$B$9*1.5,"▲","✕"))))</f>
        <v/>
      </c>
      <c r="Q30" s="27" t="n"/>
    </row>
    <row r="31">
      <c r="A31" s="22" t="n"/>
      <c r="B31" s="16" t="n"/>
      <c r="C31" s="17" t="n"/>
      <c r="D31" s="17" t="n"/>
      <c r="E31" s="17" t="n"/>
      <c r="F31" s="17" t="n"/>
      <c r="G31" s="17" t="n"/>
      <c r="H31" s="17" t="n"/>
      <c r="I31" s="16" t="n"/>
      <c r="J31" s="18">
        <f>IF(OR($D31="",$D31=0,$E31=""),"",$E31/$D31)</f>
        <v/>
      </c>
      <c r="K31" s="19">
        <f>IF(OR($E31="",$E31=0,$C31=""),"",$C31/$E31)</f>
        <v/>
      </c>
      <c r="L31" s="18">
        <f>IF(OR($E31="",$E31=0,$F31=""),"",$F31/$E31)</f>
        <v/>
      </c>
      <c r="M31" s="18">
        <f>IF(OR($F31="",$F31=0,$G31=""),"",$G31/$F31)</f>
        <v/>
      </c>
      <c r="N31" s="19">
        <f>IF(OR($G31="",$G31=0,$C31=""),"",$C31/$G31)</f>
        <v/>
      </c>
      <c r="O31" s="25">
        <f>IF(OR($C31="",$C31=0,$H31=""),"",$H31/$C31)</f>
        <v/>
      </c>
      <c r="P31" s="26">
        <f>IF($N31="","",IF($N31&lt;='00_設定'!$B$8,"◎",IF($N31&lt;='00_設定'!$B$9,"○",IF($N31&lt;='00_設定'!$B$9*1.5,"▲","✕"))))</f>
        <v/>
      </c>
      <c r="Q31" s="27" t="n"/>
    </row>
    <row r="32">
      <c r="A32" s="23" t="n"/>
      <c r="B32" s="5" t="n"/>
      <c r="C32" s="17" t="n"/>
      <c r="D32" s="17" t="n"/>
      <c r="E32" s="17" t="n"/>
      <c r="F32" s="17" t="n"/>
      <c r="G32" s="17" t="n"/>
      <c r="H32" s="17" t="n"/>
      <c r="I32" s="5" t="n"/>
      <c r="J32" s="18">
        <f>IF(OR($D32="",$D32=0,$E32=""),"",$E32/$D32)</f>
        <v/>
      </c>
      <c r="K32" s="19">
        <f>IF(OR($E32="",$E32=0,$C32=""),"",$C32/$E32)</f>
        <v/>
      </c>
      <c r="L32" s="18">
        <f>IF(OR($E32="",$E32=0,$F32=""),"",$F32/$E32)</f>
        <v/>
      </c>
      <c r="M32" s="18">
        <f>IF(OR($F32="",$F32=0,$G32=""),"",$G32/$F32)</f>
        <v/>
      </c>
      <c r="N32" s="19">
        <f>IF(OR($G32="",$G32=0,$C32=""),"",$C32/$G32)</f>
        <v/>
      </c>
      <c r="O32" s="25">
        <f>IF(OR($C32="",$C32=0,$H32=""),"",$H32/$C32)</f>
        <v/>
      </c>
      <c r="P32" s="26">
        <f>IF($N32="","",IF($N32&lt;='00_設定'!$B$8,"◎",IF($N32&lt;='00_設定'!$B$9,"○",IF($N32&lt;='00_設定'!$B$9*1.5,"▲","✕"))))</f>
        <v/>
      </c>
      <c r="Q32" s="27" t="n"/>
    </row>
    <row r="33">
      <c r="A33" s="22" t="n"/>
      <c r="B33" s="16" t="n"/>
      <c r="C33" s="17" t="n"/>
      <c r="D33" s="17" t="n"/>
      <c r="E33" s="17" t="n"/>
      <c r="F33" s="17" t="n"/>
      <c r="G33" s="17" t="n"/>
      <c r="H33" s="17" t="n"/>
      <c r="I33" s="16" t="n"/>
      <c r="J33" s="18">
        <f>IF(OR($D33="",$D33=0,$E33=""),"",$E33/$D33)</f>
        <v/>
      </c>
      <c r="K33" s="19">
        <f>IF(OR($E33="",$E33=0,$C33=""),"",$C33/$E33)</f>
        <v/>
      </c>
      <c r="L33" s="18">
        <f>IF(OR($E33="",$E33=0,$F33=""),"",$F33/$E33)</f>
        <v/>
      </c>
      <c r="M33" s="18">
        <f>IF(OR($F33="",$F33=0,$G33=""),"",$G33/$F33)</f>
        <v/>
      </c>
      <c r="N33" s="19">
        <f>IF(OR($G33="",$G33=0,$C33=""),"",$C33/$G33)</f>
        <v/>
      </c>
      <c r="O33" s="25">
        <f>IF(OR($C33="",$C33=0,$H33=""),"",$H33/$C33)</f>
        <v/>
      </c>
      <c r="P33" s="26">
        <f>IF($N33="","",IF($N33&lt;='00_設定'!$B$8,"◎",IF($N33&lt;='00_設定'!$B$9,"○",IF($N33&lt;='00_設定'!$B$9*1.5,"▲","✕"))))</f>
        <v/>
      </c>
      <c r="Q33" s="27" t="n"/>
    </row>
    <row r="34">
      <c r="A34" s="23" t="n"/>
      <c r="B34" s="5" t="n"/>
      <c r="C34" s="17" t="n"/>
      <c r="D34" s="17" t="n"/>
      <c r="E34" s="17" t="n"/>
      <c r="F34" s="17" t="n"/>
      <c r="G34" s="17" t="n"/>
      <c r="H34" s="17" t="n"/>
      <c r="I34" s="5" t="n"/>
      <c r="J34" s="18">
        <f>IF(OR($D34="",$D34=0,$E34=""),"",$E34/$D34)</f>
        <v/>
      </c>
      <c r="K34" s="19">
        <f>IF(OR($E34="",$E34=0,$C34=""),"",$C34/$E34)</f>
        <v/>
      </c>
      <c r="L34" s="18">
        <f>IF(OR($E34="",$E34=0,$F34=""),"",$F34/$E34)</f>
        <v/>
      </c>
      <c r="M34" s="18">
        <f>IF(OR($F34="",$F34=0,$G34=""),"",$G34/$F34)</f>
        <v/>
      </c>
      <c r="N34" s="19">
        <f>IF(OR($G34="",$G34=0,$C34=""),"",$C34/$G34)</f>
        <v/>
      </c>
      <c r="O34" s="25">
        <f>IF(OR($C34="",$C34=0,$H34=""),"",$H34/$C34)</f>
        <v/>
      </c>
      <c r="P34" s="26">
        <f>IF($N34="","",IF($N34&lt;='00_設定'!$B$8,"◎",IF($N34&lt;='00_設定'!$B$9,"○",IF($N34&lt;='00_設定'!$B$9*1.5,"▲","✕"))))</f>
        <v/>
      </c>
      <c r="Q34" s="27" t="n"/>
    </row>
    <row r="35">
      <c r="A35" s="22" t="n"/>
      <c r="B35" s="16" t="n"/>
      <c r="C35" s="17" t="n"/>
      <c r="D35" s="17" t="n"/>
      <c r="E35" s="17" t="n"/>
      <c r="F35" s="17" t="n"/>
      <c r="G35" s="17" t="n"/>
      <c r="H35" s="17" t="n"/>
      <c r="I35" s="16" t="n"/>
      <c r="J35" s="18">
        <f>IF(OR($D35="",$D35=0,$E35=""),"",$E35/$D35)</f>
        <v/>
      </c>
      <c r="K35" s="19">
        <f>IF(OR($E35="",$E35=0,$C35=""),"",$C35/$E35)</f>
        <v/>
      </c>
      <c r="L35" s="18">
        <f>IF(OR($E35="",$E35=0,$F35=""),"",$F35/$E35)</f>
        <v/>
      </c>
      <c r="M35" s="18">
        <f>IF(OR($F35="",$F35=0,$G35=""),"",$G35/$F35)</f>
        <v/>
      </c>
      <c r="N35" s="19">
        <f>IF(OR($G35="",$G35=0,$C35=""),"",$C35/$G35)</f>
        <v/>
      </c>
      <c r="O35" s="25">
        <f>IF(OR($C35="",$C35=0,$H35=""),"",$H35/$C35)</f>
        <v/>
      </c>
      <c r="P35" s="26">
        <f>IF($N35="","",IF($N35&lt;='00_設定'!$B$8,"◎",IF($N35&lt;='00_設定'!$B$9,"○",IF($N35&lt;='00_設定'!$B$9*1.5,"▲","✕"))))</f>
        <v/>
      </c>
      <c r="Q35" s="27" t="n"/>
    </row>
    <row r="36">
      <c r="A36" s="23" t="n"/>
      <c r="B36" s="5" t="n"/>
      <c r="C36" s="17" t="n"/>
      <c r="D36" s="17" t="n"/>
      <c r="E36" s="17" t="n"/>
      <c r="F36" s="17" t="n"/>
      <c r="G36" s="17" t="n"/>
      <c r="H36" s="17" t="n"/>
      <c r="I36" s="5" t="n"/>
      <c r="J36" s="18">
        <f>IF(OR($D36="",$D36=0,$E36=""),"",$E36/$D36)</f>
        <v/>
      </c>
      <c r="K36" s="19">
        <f>IF(OR($E36="",$E36=0,$C36=""),"",$C36/$E36)</f>
        <v/>
      </c>
      <c r="L36" s="18">
        <f>IF(OR($E36="",$E36=0,$F36=""),"",$F36/$E36)</f>
        <v/>
      </c>
      <c r="M36" s="18">
        <f>IF(OR($F36="",$F36=0,$G36=""),"",$G36/$F36)</f>
        <v/>
      </c>
      <c r="N36" s="19">
        <f>IF(OR($G36="",$G36=0,$C36=""),"",$C36/$G36)</f>
        <v/>
      </c>
      <c r="O36" s="25">
        <f>IF(OR($C36="",$C36=0,$H36=""),"",$H36/$C36)</f>
        <v/>
      </c>
      <c r="P36" s="26">
        <f>IF($N36="","",IF($N36&lt;='00_設定'!$B$8,"◎",IF($N36&lt;='00_設定'!$B$9,"○",IF($N36&lt;='00_設定'!$B$9*1.5,"▲","✕"))))</f>
        <v/>
      </c>
      <c r="Q36" s="27" t="n"/>
    </row>
    <row r="37">
      <c r="A37" s="22" t="n"/>
      <c r="B37" s="16" t="n"/>
      <c r="C37" s="17" t="n"/>
      <c r="D37" s="17" t="n"/>
      <c r="E37" s="17" t="n"/>
      <c r="F37" s="17" t="n"/>
      <c r="G37" s="17" t="n"/>
      <c r="H37" s="17" t="n"/>
      <c r="I37" s="16" t="n"/>
      <c r="J37" s="18">
        <f>IF(OR($D37="",$D37=0,$E37=""),"",$E37/$D37)</f>
        <v/>
      </c>
      <c r="K37" s="19">
        <f>IF(OR($E37="",$E37=0,$C37=""),"",$C37/$E37)</f>
        <v/>
      </c>
      <c r="L37" s="18">
        <f>IF(OR($E37="",$E37=0,$F37=""),"",$F37/$E37)</f>
        <v/>
      </c>
      <c r="M37" s="18">
        <f>IF(OR($F37="",$F37=0,$G37=""),"",$G37/$F37)</f>
        <v/>
      </c>
      <c r="N37" s="19">
        <f>IF(OR($G37="",$G37=0,$C37=""),"",$C37/$G37)</f>
        <v/>
      </c>
      <c r="O37" s="25">
        <f>IF(OR($C37="",$C37=0,$H37=""),"",$H37/$C37)</f>
        <v/>
      </c>
      <c r="P37" s="26">
        <f>IF($N37="","",IF($N37&lt;='00_設定'!$B$8,"◎",IF($N37&lt;='00_設定'!$B$9,"○",IF($N37&lt;='00_設定'!$B$9*1.5,"▲","✕"))))</f>
        <v/>
      </c>
      <c r="Q37" s="27" t="n"/>
    </row>
    <row r="38">
      <c r="A38" s="23" t="n"/>
      <c r="B38" s="5" t="n"/>
      <c r="C38" s="17" t="n"/>
      <c r="D38" s="17" t="n"/>
      <c r="E38" s="17" t="n"/>
      <c r="F38" s="17" t="n"/>
      <c r="G38" s="17" t="n"/>
      <c r="H38" s="17" t="n"/>
      <c r="I38" s="5" t="n"/>
      <c r="J38" s="18">
        <f>IF(OR($D38="",$D38=0,$E38=""),"",$E38/$D38)</f>
        <v/>
      </c>
      <c r="K38" s="19">
        <f>IF(OR($E38="",$E38=0,$C38=""),"",$C38/$E38)</f>
        <v/>
      </c>
      <c r="L38" s="18">
        <f>IF(OR($E38="",$E38=0,$F38=""),"",$F38/$E38)</f>
        <v/>
      </c>
      <c r="M38" s="18">
        <f>IF(OR($F38="",$F38=0,$G38=""),"",$G38/$F38)</f>
        <v/>
      </c>
      <c r="N38" s="19">
        <f>IF(OR($G38="",$G38=0,$C38=""),"",$C38/$G38)</f>
        <v/>
      </c>
      <c r="O38" s="25">
        <f>IF(OR($C38="",$C38=0,$H38=""),"",$H38/$C38)</f>
        <v/>
      </c>
      <c r="P38" s="26">
        <f>IF($N38="","",IF($N38&lt;='00_設定'!$B$8,"◎",IF($N38&lt;='00_設定'!$B$9,"○",IF($N38&lt;='00_設定'!$B$9*1.5,"▲","✕"))))</f>
        <v/>
      </c>
      <c r="Q38" s="27" t="n"/>
    </row>
    <row r="39">
      <c r="A39" s="22" t="n"/>
      <c r="B39" s="16" t="n"/>
      <c r="C39" s="17" t="n"/>
      <c r="D39" s="17" t="n"/>
      <c r="E39" s="17" t="n"/>
      <c r="F39" s="17" t="n"/>
      <c r="G39" s="17" t="n"/>
      <c r="H39" s="17" t="n"/>
      <c r="I39" s="16" t="n"/>
      <c r="J39" s="18">
        <f>IF(OR($D39="",$D39=0,$E39=""),"",$E39/$D39)</f>
        <v/>
      </c>
      <c r="K39" s="19">
        <f>IF(OR($E39="",$E39=0,$C39=""),"",$C39/$E39)</f>
        <v/>
      </c>
      <c r="L39" s="18">
        <f>IF(OR($E39="",$E39=0,$F39=""),"",$F39/$E39)</f>
        <v/>
      </c>
      <c r="M39" s="18">
        <f>IF(OR($F39="",$F39=0,$G39=""),"",$G39/$F39)</f>
        <v/>
      </c>
      <c r="N39" s="19">
        <f>IF(OR($G39="",$G39=0,$C39=""),"",$C39/$G39)</f>
        <v/>
      </c>
      <c r="O39" s="25">
        <f>IF(OR($C39="",$C39=0,$H39=""),"",$H39/$C39)</f>
        <v/>
      </c>
      <c r="P39" s="26">
        <f>IF($N39="","",IF($N39&lt;='00_設定'!$B$8,"◎",IF($N39&lt;='00_設定'!$B$9,"○",IF($N39&lt;='00_設定'!$B$9*1.5,"▲","✕"))))</f>
        <v/>
      </c>
      <c r="Q39" s="27" t="n"/>
    </row>
    <row r="40">
      <c r="A40" s="23" t="n"/>
      <c r="B40" s="5" t="n"/>
      <c r="C40" s="17" t="n"/>
      <c r="D40" s="17" t="n"/>
      <c r="E40" s="17" t="n"/>
      <c r="F40" s="17" t="n"/>
      <c r="G40" s="17" t="n"/>
      <c r="H40" s="17" t="n"/>
      <c r="I40" s="5" t="n"/>
      <c r="J40" s="18">
        <f>IF(OR($D40="",$D40=0,$E40=""),"",$E40/$D40)</f>
        <v/>
      </c>
      <c r="K40" s="19">
        <f>IF(OR($E40="",$E40=0,$C40=""),"",$C40/$E40)</f>
        <v/>
      </c>
      <c r="L40" s="18">
        <f>IF(OR($E40="",$E40=0,$F40=""),"",$F40/$E40)</f>
        <v/>
      </c>
      <c r="M40" s="18">
        <f>IF(OR($F40="",$F40=0,$G40=""),"",$G40/$F40)</f>
        <v/>
      </c>
      <c r="N40" s="19">
        <f>IF(OR($G40="",$G40=0,$C40=""),"",$C40/$G40)</f>
        <v/>
      </c>
      <c r="O40" s="25">
        <f>IF(OR($C40="",$C40=0,$H40=""),"",$H40/$C40)</f>
        <v/>
      </c>
      <c r="P40" s="26">
        <f>IF($N40="","",IF($N40&lt;='00_設定'!$B$8,"◎",IF($N40&lt;='00_設定'!$B$9,"○",IF($N40&lt;='00_設定'!$B$9*1.5,"▲","✕"))))</f>
        <v/>
      </c>
      <c r="Q40" s="27" t="n"/>
    </row>
    <row r="41">
      <c r="A41" s="22" t="n"/>
      <c r="B41" s="16" t="n"/>
      <c r="C41" s="17" t="n"/>
      <c r="D41" s="17" t="n"/>
      <c r="E41" s="17" t="n"/>
      <c r="F41" s="17" t="n"/>
      <c r="G41" s="17" t="n"/>
      <c r="H41" s="17" t="n"/>
      <c r="I41" s="16" t="n"/>
      <c r="J41" s="18">
        <f>IF(OR($D41="",$D41=0,$E41=""),"",$E41/$D41)</f>
        <v/>
      </c>
      <c r="K41" s="19">
        <f>IF(OR($E41="",$E41=0,$C41=""),"",$C41/$E41)</f>
        <v/>
      </c>
      <c r="L41" s="18">
        <f>IF(OR($E41="",$E41=0,$F41=""),"",$F41/$E41)</f>
        <v/>
      </c>
      <c r="M41" s="18">
        <f>IF(OR($F41="",$F41=0,$G41=""),"",$G41/$F41)</f>
        <v/>
      </c>
      <c r="N41" s="19">
        <f>IF(OR($G41="",$G41=0,$C41=""),"",$C41/$G41)</f>
        <v/>
      </c>
      <c r="O41" s="25">
        <f>IF(OR($C41="",$C41=0,$H41=""),"",$H41/$C41)</f>
        <v/>
      </c>
      <c r="P41" s="26">
        <f>IF($N41="","",IF($N41&lt;='00_設定'!$B$8,"◎",IF($N41&lt;='00_設定'!$B$9,"○",IF($N41&lt;='00_設定'!$B$9*1.5,"▲","✕"))))</f>
        <v/>
      </c>
      <c r="Q41" s="27" t="n"/>
    </row>
    <row r="42">
      <c r="A42" s="23" t="n"/>
      <c r="B42" s="5" t="n"/>
      <c r="C42" s="17" t="n"/>
      <c r="D42" s="17" t="n"/>
      <c r="E42" s="17" t="n"/>
      <c r="F42" s="17" t="n"/>
      <c r="G42" s="17" t="n"/>
      <c r="H42" s="17" t="n"/>
      <c r="I42" s="5" t="n"/>
      <c r="J42" s="18">
        <f>IF(OR($D42="",$D42=0,$E42=""),"",$E42/$D42)</f>
        <v/>
      </c>
      <c r="K42" s="19">
        <f>IF(OR($E42="",$E42=0,$C42=""),"",$C42/$E42)</f>
        <v/>
      </c>
      <c r="L42" s="18">
        <f>IF(OR($E42="",$E42=0,$F42=""),"",$F42/$E42)</f>
        <v/>
      </c>
      <c r="M42" s="18">
        <f>IF(OR($F42="",$F42=0,$G42=""),"",$G42/$F42)</f>
        <v/>
      </c>
      <c r="N42" s="19">
        <f>IF(OR($G42="",$G42=0,$C42=""),"",$C42/$G42)</f>
        <v/>
      </c>
      <c r="O42" s="25">
        <f>IF(OR($C42="",$C42=0,$H42=""),"",$H42/$C42)</f>
        <v/>
      </c>
      <c r="P42" s="26">
        <f>IF($N42="","",IF($N42&lt;='00_設定'!$B$8,"◎",IF($N42&lt;='00_設定'!$B$9,"○",IF($N42&lt;='00_設定'!$B$9*1.5,"▲","✕"))))</f>
        <v/>
      </c>
      <c r="Q42" s="27" t="n"/>
    </row>
    <row r="43">
      <c r="A43" s="22" t="n"/>
      <c r="B43" s="16" t="n"/>
      <c r="C43" s="17" t="n"/>
      <c r="D43" s="17" t="n"/>
      <c r="E43" s="17" t="n"/>
      <c r="F43" s="17" t="n"/>
      <c r="G43" s="17" t="n"/>
      <c r="H43" s="17" t="n"/>
      <c r="I43" s="16" t="n"/>
      <c r="J43" s="18">
        <f>IF(OR($D43="",$D43=0,$E43=""),"",$E43/$D43)</f>
        <v/>
      </c>
      <c r="K43" s="19">
        <f>IF(OR($E43="",$E43=0,$C43=""),"",$C43/$E43)</f>
        <v/>
      </c>
      <c r="L43" s="18">
        <f>IF(OR($E43="",$E43=0,$F43=""),"",$F43/$E43)</f>
        <v/>
      </c>
      <c r="M43" s="18">
        <f>IF(OR($F43="",$F43=0,$G43=""),"",$G43/$F43)</f>
        <v/>
      </c>
      <c r="N43" s="19">
        <f>IF(OR($G43="",$G43=0,$C43=""),"",$C43/$G43)</f>
        <v/>
      </c>
      <c r="O43" s="25">
        <f>IF(OR($C43="",$C43=0,$H43=""),"",$H43/$C43)</f>
        <v/>
      </c>
      <c r="P43" s="26">
        <f>IF($N43="","",IF($N43&lt;='00_設定'!$B$8,"◎",IF($N43&lt;='00_設定'!$B$9,"○",IF($N43&lt;='00_設定'!$B$9*1.5,"▲","✕"))))</f>
        <v/>
      </c>
      <c r="Q43" s="27" t="n"/>
    </row>
    <row r="44">
      <c r="A44" s="23" t="n"/>
      <c r="B44" s="5" t="n"/>
      <c r="C44" s="17" t="n"/>
      <c r="D44" s="17" t="n"/>
      <c r="E44" s="17" t="n"/>
      <c r="F44" s="17" t="n"/>
      <c r="G44" s="17" t="n"/>
      <c r="H44" s="17" t="n"/>
      <c r="I44" s="5" t="n"/>
      <c r="J44" s="18">
        <f>IF(OR($D44="",$D44=0,$E44=""),"",$E44/$D44)</f>
        <v/>
      </c>
      <c r="K44" s="19">
        <f>IF(OR($E44="",$E44=0,$C44=""),"",$C44/$E44)</f>
        <v/>
      </c>
      <c r="L44" s="18">
        <f>IF(OR($E44="",$E44=0,$F44=""),"",$F44/$E44)</f>
        <v/>
      </c>
      <c r="M44" s="18">
        <f>IF(OR($F44="",$F44=0,$G44=""),"",$G44/$F44)</f>
        <v/>
      </c>
      <c r="N44" s="19">
        <f>IF(OR($G44="",$G44=0,$C44=""),"",$C44/$G44)</f>
        <v/>
      </c>
      <c r="O44" s="25">
        <f>IF(OR($C44="",$C44=0,$H44=""),"",$H44/$C44)</f>
        <v/>
      </c>
      <c r="P44" s="26">
        <f>IF($N44="","",IF($N44&lt;='00_設定'!$B$8,"◎",IF($N44&lt;='00_設定'!$B$9,"○",IF($N44&lt;='00_設定'!$B$9*1.5,"▲","✕"))))</f>
        <v/>
      </c>
      <c r="Q44" s="27" t="n"/>
    </row>
    <row r="45">
      <c r="A45" s="22" t="n"/>
      <c r="B45" s="16" t="n"/>
      <c r="C45" s="17" t="n"/>
      <c r="D45" s="17" t="n"/>
      <c r="E45" s="17" t="n"/>
      <c r="F45" s="17" t="n"/>
      <c r="G45" s="17" t="n"/>
      <c r="H45" s="17" t="n"/>
      <c r="I45" s="16" t="n"/>
      <c r="J45" s="18">
        <f>IF(OR($D45="",$D45=0,$E45=""),"",$E45/$D45)</f>
        <v/>
      </c>
      <c r="K45" s="19">
        <f>IF(OR($E45="",$E45=0,$C45=""),"",$C45/$E45)</f>
        <v/>
      </c>
      <c r="L45" s="18">
        <f>IF(OR($E45="",$E45=0,$F45=""),"",$F45/$E45)</f>
        <v/>
      </c>
      <c r="M45" s="18">
        <f>IF(OR($F45="",$F45=0,$G45=""),"",$G45/$F45)</f>
        <v/>
      </c>
      <c r="N45" s="19">
        <f>IF(OR($G45="",$G45=0,$C45=""),"",$C45/$G45)</f>
        <v/>
      </c>
      <c r="O45" s="25">
        <f>IF(OR($C45="",$C45=0,$H45=""),"",$H45/$C45)</f>
        <v/>
      </c>
      <c r="P45" s="26">
        <f>IF($N45="","",IF($N45&lt;='00_設定'!$B$8,"◎",IF($N45&lt;='00_設定'!$B$9,"○",IF($N45&lt;='00_設定'!$B$9*1.5,"▲","✕"))))</f>
        <v/>
      </c>
      <c r="Q45" s="27" t="n"/>
    </row>
    <row r="46">
      <c r="A46" s="23" t="n"/>
      <c r="B46" s="5" t="n"/>
      <c r="C46" s="17" t="n"/>
      <c r="D46" s="17" t="n"/>
      <c r="E46" s="17" t="n"/>
      <c r="F46" s="17" t="n"/>
      <c r="G46" s="17" t="n"/>
      <c r="H46" s="17" t="n"/>
      <c r="I46" s="5" t="n"/>
      <c r="J46" s="18">
        <f>IF(OR($D46="",$D46=0,$E46=""),"",$E46/$D46)</f>
        <v/>
      </c>
      <c r="K46" s="19">
        <f>IF(OR($E46="",$E46=0,$C46=""),"",$C46/$E46)</f>
        <v/>
      </c>
      <c r="L46" s="18">
        <f>IF(OR($E46="",$E46=0,$F46=""),"",$F46/$E46)</f>
        <v/>
      </c>
      <c r="M46" s="18">
        <f>IF(OR($F46="",$F46=0,$G46=""),"",$G46/$F46)</f>
        <v/>
      </c>
      <c r="N46" s="19">
        <f>IF(OR($G46="",$G46=0,$C46=""),"",$C46/$G46)</f>
        <v/>
      </c>
      <c r="O46" s="25">
        <f>IF(OR($C46="",$C46=0,$H46=""),"",$H46/$C46)</f>
        <v/>
      </c>
      <c r="P46" s="26">
        <f>IF($N46="","",IF($N46&lt;='00_設定'!$B$8,"◎",IF($N46&lt;='00_設定'!$B$9,"○",IF($N46&lt;='00_設定'!$B$9*1.5,"▲","✕"))))</f>
        <v/>
      </c>
      <c r="Q46" s="27" t="n"/>
    </row>
    <row r="47">
      <c r="A47" s="22" t="n"/>
      <c r="B47" s="16" t="n"/>
      <c r="C47" s="17" t="n"/>
      <c r="D47" s="17" t="n"/>
      <c r="E47" s="17" t="n"/>
      <c r="F47" s="17" t="n"/>
      <c r="G47" s="17" t="n"/>
      <c r="H47" s="17" t="n"/>
      <c r="I47" s="16" t="n"/>
      <c r="J47" s="18">
        <f>IF(OR($D47="",$D47=0,$E47=""),"",$E47/$D47)</f>
        <v/>
      </c>
      <c r="K47" s="19">
        <f>IF(OR($E47="",$E47=0,$C47=""),"",$C47/$E47)</f>
        <v/>
      </c>
      <c r="L47" s="18">
        <f>IF(OR($E47="",$E47=0,$F47=""),"",$F47/$E47)</f>
        <v/>
      </c>
      <c r="M47" s="18">
        <f>IF(OR($F47="",$F47=0,$G47=""),"",$G47/$F47)</f>
        <v/>
      </c>
      <c r="N47" s="19">
        <f>IF(OR($G47="",$G47=0,$C47=""),"",$C47/$G47)</f>
        <v/>
      </c>
      <c r="O47" s="25">
        <f>IF(OR($C47="",$C47=0,$H47=""),"",$H47/$C47)</f>
        <v/>
      </c>
      <c r="P47" s="26">
        <f>IF($N47="","",IF($N47&lt;='00_設定'!$B$8,"◎",IF($N47&lt;='00_設定'!$B$9,"○",IF($N47&lt;='00_設定'!$B$9*1.5,"▲","✕"))))</f>
        <v/>
      </c>
      <c r="Q47" s="27" t="n"/>
    </row>
    <row r="48">
      <c r="A48" s="23" t="n"/>
      <c r="B48" s="5" t="n"/>
      <c r="C48" s="17" t="n"/>
      <c r="D48" s="17" t="n"/>
      <c r="E48" s="17" t="n"/>
      <c r="F48" s="17" t="n"/>
      <c r="G48" s="17" t="n"/>
      <c r="H48" s="17" t="n"/>
      <c r="I48" s="5" t="n"/>
      <c r="J48" s="18">
        <f>IF(OR($D48="",$D48=0,$E48=""),"",$E48/$D48)</f>
        <v/>
      </c>
      <c r="K48" s="19">
        <f>IF(OR($E48="",$E48=0,$C48=""),"",$C48/$E48)</f>
        <v/>
      </c>
      <c r="L48" s="18">
        <f>IF(OR($E48="",$E48=0,$F48=""),"",$F48/$E48)</f>
        <v/>
      </c>
      <c r="M48" s="18">
        <f>IF(OR($F48="",$F48=0,$G48=""),"",$G48/$F48)</f>
        <v/>
      </c>
      <c r="N48" s="19">
        <f>IF(OR($G48="",$G48=0,$C48=""),"",$C48/$G48)</f>
        <v/>
      </c>
      <c r="O48" s="25">
        <f>IF(OR($C48="",$C48=0,$H48=""),"",$H48/$C48)</f>
        <v/>
      </c>
      <c r="P48" s="26">
        <f>IF($N48="","",IF($N48&lt;='00_設定'!$B$8,"◎",IF($N48&lt;='00_設定'!$B$9,"○",IF($N48&lt;='00_設定'!$B$9*1.5,"▲","✕"))))</f>
        <v/>
      </c>
      <c r="Q48" s="27" t="n"/>
    </row>
    <row r="49">
      <c r="A49" s="22" t="n"/>
      <c r="B49" s="16" t="n"/>
      <c r="C49" s="17" t="n"/>
      <c r="D49" s="17" t="n"/>
      <c r="E49" s="17" t="n"/>
      <c r="F49" s="17" t="n"/>
      <c r="G49" s="17" t="n"/>
      <c r="H49" s="17" t="n"/>
      <c r="I49" s="16" t="n"/>
      <c r="J49" s="18">
        <f>IF(OR($D49="",$D49=0,$E49=""),"",$E49/$D49)</f>
        <v/>
      </c>
      <c r="K49" s="19">
        <f>IF(OR($E49="",$E49=0,$C49=""),"",$C49/$E49)</f>
        <v/>
      </c>
      <c r="L49" s="18">
        <f>IF(OR($E49="",$E49=0,$F49=""),"",$F49/$E49)</f>
        <v/>
      </c>
      <c r="M49" s="18">
        <f>IF(OR($F49="",$F49=0,$G49=""),"",$G49/$F49)</f>
        <v/>
      </c>
      <c r="N49" s="19">
        <f>IF(OR($G49="",$G49=0,$C49=""),"",$C49/$G49)</f>
        <v/>
      </c>
      <c r="O49" s="25">
        <f>IF(OR($C49="",$C49=0,$H49=""),"",$H49/$C49)</f>
        <v/>
      </c>
      <c r="P49" s="26">
        <f>IF($N49="","",IF($N49&lt;='00_設定'!$B$8,"◎",IF($N49&lt;='00_設定'!$B$9,"○",IF($N49&lt;='00_設定'!$B$9*1.5,"▲","✕"))))</f>
        <v/>
      </c>
      <c r="Q49" s="27" t="n"/>
    </row>
    <row r="50">
      <c r="A50" s="23" t="n"/>
      <c r="B50" s="5" t="n"/>
      <c r="C50" s="17" t="n"/>
      <c r="D50" s="17" t="n"/>
      <c r="E50" s="17" t="n"/>
      <c r="F50" s="17" t="n"/>
      <c r="G50" s="17" t="n"/>
      <c r="H50" s="17" t="n"/>
      <c r="I50" s="5" t="n"/>
      <c r="J50" s="18">
        <f>IF(OR($D50="",$D50=0,$E50=""),"",$E50/$D50)</f>
        <v/>
      </c>
      <c r="K50" s="19">
        <f>IF(OR($E50="",$E50=0,$C50=""),"",$C50/$E50)</f>
        <v/>
      </c>
      <c r="L50" s="18">
        <f>IF(OR($E50="",$E50=0,$F50=""),"",$F50/$E50)</f>
        <v/>
      </c>
      <c r="M50" s="18">
        <f>IF(OR($F50="",$F50=0,$G50=""),"",$G50/$F50)</f>
        <v/>
      </c>
      <c r="N50" s="19">
        <f>IF(OR($G50="",$G50=0,$C50=""),"",$C50/$G50)</f>
        <v/>
      </c>
      <c r="O50" s="25">
        <f>IF(OR($C50="",$C50=0,$H50=""),"",$H50/$C50)</f>
        <v/>
      </c>
      <c r="P50" s="26">
        <f>IF($N50="","",IF($N50&lt;='00_設定'!$B$8,"◎",IF($N50&lt;='00_設定'!$B$9,"○",IF($N50&lt;='00_設定'!$B$9*1.5,"▲","✕"))))</f>
        <v/>
      </c>
      <c r="Q50" s="27" t="n"/>
    </row>
    <row r="51">
      <c r="A51" s="22" t="n"/>
      <c r="B51" s="16" t="n"/>
      <c r="C51" s="17" t="n"/>
      <c r="D51" s="17" t="n"/>
      <c r="E51" s="17" t="n"/>
      <c r="F51" s="17" t="n"/>
      <c r="G51" s="17" t="n"/>
      <c r="H51" s="17" t="n"/>
      <c r="I51" s="16" t="n"/>
      <c r="J51" s="18">
        <f>IF(OR($D51="",$D51=0,$E51=""),"",$E51/$D51)</f>
        <v/>
      </c>
      <c r="K51" s="19">
        <f>IF(OR($E51="",$E51=0,$C51=""),"",$C51/$E51)</f>
        <v/>
      </c>
      <c r="L51" s="18">
        <f>IF(OR($E51="",$E51=0,$F51=""),"",$F51/$E51)</f>
        <v/>
      </c>
      <c r="M51" s="18">
        <f>IF(OR($F51="",$F51=0,$G51=""),"",$G51/$F51)</f>
        <v/>
      </c>
      <c r="N51" s="19">
        <f>IF(OR($G51="",$G51=0,$C51=""),"",$C51/$G51)</f>
        <v/>
      </c>
      <c r="O51" s="25">
        <f>IF(OR($C51="",$C51=0,$H51=""),"",$H51/$C51)</f>
        <v/>
      </c>
      <c r="P51" s="26">
        <f>IF($N51="","",IF($N51&lt;='00_設定'!$B$8,"◎",IF($N51&lt;='00_設定'!$B$9,"○",IF($N51&lt;='00_設定'!$B$9*1.5,"▲","✕"))))</f>
        <v/>
      </c>
      <c r="Q51" s="27" t="n"/>
    </row>
    <row r="52">
      <c r="A52" s="23" t="n"/>
      <c r="B52" s="5" t="n"/>
      <c r="C52" s="17" t="n"/>
      <c r="D52" s="17" t="n"/>
      <c r="E52" s="17" t="n"/>
      <c r="F52" s="17" t="n"/>
      <c r="G52" s="17" t="n"/>
      <c r="H52" s="17" t="n"/>
      <c r="I52" s="5" t="n"/>
      <c r="J52" s="18">
        <f>IF(OR($D52="",$D52=0,$E52=""),"",$E52/$D52)</f>
        <v/>
      </c>
      <c r="K52" s="19">
        <f>IF(OR($E52="",$E52=0,$C52=""),"",$C52/$E52)</f>
        <v/>
      </c>
      <c r="L52" s="18">
        <f>IF(OR($E52="",$E52=0,$F52=""),"",$F52/$E52)</f>
        <v/>
      </c>
      <c r="M52" s="18">
        <f>IF(OR($F52="",$F52=0,$G52=""),"",$G52/$F52)</f>
        <v/>
      </c>
      <c r="N52" s="19">
        <f>IF(OR($G52="",$G52=0,$C52=""),"",$C52/$G52)</f>
        <v/>
      </c>
      <c r="O52" s="25">
        <f>IF(OR($C52="",$C52=0,$H52=""),"",$H52/$C52)</f>
        <v/>
      </c>
      <c r="P52" s="26">
        <f>IF($N52="","",IF($N52&lt;='00_設定'!$B$8,"◎",IF($N52&lt;='00_設定'!$B$9,"○",IF($N52&lt;='00_設定'!$B$9*1.5,"▲","✕"))))</f>
        <v/>
      </c>
      <c r="Q52" s="27" t="n"/>
    </row>
    <row r="53">
      <c r="A53" s="22" t="n"/>
      <c r="B53" s="16" t="n"/>
      <c r="C53" s="17" t="n"/>
      <c r="D53" s="17" t="n"/>
      <c r="E53" s="17" t="n"/>
      <c r="F53" s="17" t="n"/>
      <c r="G53" s="17" t="n"/>
      <c r="H53" s="17" t="n"/>
      <c r="I53" s="16" t="n"/>
      <c r="J53" s="18">
        <f>IF(OR($D53="",$D53=0,$E53=""),"",$E53/$D53)</f>
        <v/>
      </c>
      <c r="K53" s="19">
        <f>IF(OR($E53="",$E53=0,$C53=""),"",$C53/$E53)</f>
        <v/>
      </c>
      <c r="L53" s="18">
        <f>IF(OR($E53="",$E53=0,$F53=""),"",$F53/$E53)</f>
        <v/>
      </c>
      <c r="M53" s="18">
        <f>IF(OR($F53="",$F53=0,$G53=""),"",$G53/$F53)</f>
        <v/>
      </c>
      <c r="N53" s="19">
        <f>IF(OR($G53="",$G53=0,$C53=""),"",$C53/$G53)</f>
        <v/>
      </c>
      <c r="O53" s="25">
        <f>IF(OR($C53="",$C53=0,$H53=""),"",$H53/$C53)</f>
        <v/>
      </c>
      <c r="P53" s="26">
        <f>IF($N53="","",IF($N53&lt;='00_設定'!$B$8,"◎",IF($N53&lt;='00_設定'!$B$9,"○",IF($N53&lt;='00_設定'!$B$9*1.5,"▲","✕"))))</f>
        <v/>
      </c>
      <c r="Q53" s="27" t="n"/>
    </row>
    <row r="54">
      <c r="A54" s="23" t="n"/>
      <c r="B54" s="5" t="n"/>
      <c r="C54" s="17" t="n"/>
      <c r="D54" s="17" t="n"/>
      <c r="E54" s="17" t="n"/>
      <c r="F54" s="17" t="n"/>
      <c r="G54" s="17" t="n"/>
      <c r="H54" s="17" t="n"/>
      <c r="I54" s="5" t="n"/>
      <c r="J54" s="18">
        <f>IF(OR($D54="",$D54=0,$E54=""),"",$E54/$D54)</f>
        <v/>
      </c>
      <c r="K54" s="19">
        <f>IF(OR($E54="",$E54=0,$C54=""),"",$C54/$E54)</f>
        <v/>
      </c>
      <c r="L54" s="18">
        <f>IF(OR($E54="",$E54=0,$F54=""),"",$F54/$E54)</f>
        <v/>
      </c>
      <c r="M54" s="18">
        <f>IF(OR($F54="",$F54=0,$G54=""),"",$G54/$F54)</f>
        <v/>
      </c>
      <c r="N54" s="19">
        <f>IF(OR($G54="",$G54=0,$C54=""),"",$C54/$G54)</f>
        <v/>
      </c>
      <c r="O54" s="25">
        <f>IF(OR($C54="",$C54=0,$H54=""),"",$H54/$C54)</f>
        <v/>
      </c>
      <c r="P54" s="26">
        <f>IF($N54="","",IF($N54&lt;='00_設定'!$B$8,"◎",IF($N54&lt;='00_設定'!$B$9,"○",IF($N54&lt;='00_設定'!$B$9*1.5,"▲","✕"))))</f>
        <v/>
      </c>
      <c r="Q54" s="27" t="n"/>
    </row>
    <row r="55">
      <c r="A55" s="22" t="n"/>
      <c r="B55" s="16" t="n"/>
      <c r="C55" s="17" t="n"/>
      <c r="D55" s="17" t="n"/>
      <c r="E55" s="17" t="n"/>
      <c r="F55" s="17" t="n"/>
      <c r="G55" s="17" t="n"/>
      <c r="H55" s="17" t="n"/>
      <c r="I55" s="16" t="n"/>
      <c r="J55" s="18">
        <f>IF(OR($D55="",$D55=0,$E55=""),"",$E55/$D55)</f>
        <v/>
      </c>
      <c r="K55" s="19">
        <f>IF(OR($E55="",$E55=0,$C55=""),"",$C55/$E55)</f>
        <v/>
      </c>
      <c r="L55" s="18">
        <f>IF(OR($E55="",$E55=0,$F55=""),"",$F55/$E55)</f>
        <v/>
      </c>
      <c r="M55" s="18">
        <f>IF(OR($F55="",$F55=0,$G55=""),"",$G55/$F55)</f>
        <v/>
      </c>
      <c r="N55" s="19">
        <f>IF(OR($G55="",$G55=0,$C55=""),"",$C55/$G55)</f>
        <v/>
      </c>
      <c r="O55" s="25">
        <f>IF(OR($C55="",$C55=0,$H55=""),"",$H55/$C55)</f>
        <v/>
      </c>
      <c r="P55" s="26">
        <f>IF($N55="","",IF($N55&lt;='00_設定'!$B$8,"◎",IF($N55&lt;='00_設定'!$B$9,"○",IF($N55&lt;='00_設定'!$B$9*1.5,"▲","✕"))))</f>
        <v/>
      </c>
      <c r="Q55" s="27" t="n"/>
    </row>
    <row r="56">
      <c r="A56" s="23" t="n"/>
      <c r="B56" s="5" t="n"/>
      <c r="C56" s="17" t="n"/>
      <c r="D56" s="17" t="n"/>
      <c r="E56" s="17" t="n"/>
      <c r="F56" s="17" t="n"/>
      <c r="G56" s="17" t="n"/>
      <c r="H56" s="17" t="n"/>
      <c r="I56" s="5" t="n"/>
      <c r="J56" s="18">
        <f>IF(OR($D56="",$D56=0,$E56=""),"",$E56/$D56)</f>
        <v/>
      </c>
      <c r="K56" s="19">
        <f>IF(OR($E56="",$E56=0,$C56=""),"",$C56/$E56)</f>
        <v/>
      </c>
      <c r="L56" s="18">
        <f>IF(OR($E56="",$E56=0,$F56=""),"",$F56/$E56)</f>
        <v/>
      </c>
      <c r="M56" s="18">
        <f>IF(OR($F56="",$F56=0,$G56=""),"",$G56/$F56)</f>
        <v/>
      </c>
      <c r="N56" s="19">
        <f>IF(OR($G56="",$G56=0,$C56=""),"",$C56/$G56)</f>
        <v/>
      </c>
      <c r="O56" s="25">
        <f>IF(OR($C56="",$C56=0,$H56=""),"",$H56/$C56)</f>
        <v/>
      </c>
      <c r="P56" s="26">
        <f>IF($N56="","",IF($N56&lt;='00_設定'!$B$8,"◎",IF($N56&lt;='00_設定'!$B$9,"○",IF($N56&lt;='00_設定'!$B$9*1.5,"▲","✕"))))</f>
        <v/>
      </c>
      <c r="Q56" s="27" t="n"/>
    </row>
    <row r="57">
      <c r="A57" s="22" t="n"/>
      <c r="B57" s="16" t="n"/>
      <c r="C57" s="17" t="n"/>
      <c r="D57" s="17" t="n"/>
      <c r="E57" s="17" t="n"/>
      <c r="F57" s="17" t="n"/>
      <c r="G57" s="17" t="n"/>
      <c r="H57" s="17" t="n"/>
      <c r="I57" s="16" t="n"/>
      <c r="J57" s="18">
        <f>IF(OR($D57="",$D57=0,$E57=""),"",$E57/$D57)</f>
        <v/>
      </c>
      <c r="K57" s="19">
        <f>IF(OR($E57="",$E57=0,$C57=""),"",$C57/$E57)</f>
        <v/>
      </c>
      <c r="L57" s="18">
        <f>IF(OR($E57="",$E57=0,$F57=""),"",$F57/$E57)</f>
        <v/>
      </c>
      <c r="M57" s="18">
        <f>IF(OR($F57="",$F57=0,$G57=""),"",$G57/$F57)</f>
        <v/>
      </c>
      <c r="N57" s="19">
        <f>IF(OR($G57="",$G57=0,$C57=""),"",$C57/$G57)</f>
        <v/>
      </c>
      <c r="O57" s="25">
        <f>IF(OR($C57="",$C57=0,$H57=""),"",$H57/$C57)</f>
        <v/>
      </c>
      <c r="P57" s="26">
        <f>IF($N57="","",IF($N57&lt;='00_設定'!$B$8,"◎",IF($N57&lt;='00_設定'!$B$9,"○",IF($N57&lt;='00_設定'!$B$9*1.5,"▲","✕"))))</f>
        <v/>
      </c>
      <c r="Q57" s="27" t="n"/>
    </row>
    <row r="58">
      <c r="A58" s="23" t="n"/>
      <c r="B58" s="5" t="n"/>
      <c r="C58" s="17" t="n"/>
      <c r="D58" s="17" t="n"/>
      <c r="E58" s="17" t="n"/>
      <c r="F58" s="17" t="n"/>
      <c r="G58" s="17" t="n"/>
      <c r="H58" s="17" t="n"/>
      <c r="I58" s="5" t="n"/>
      <c r="J58" s="18">
        <f>IF(OR($D58="",$D58=0,$E58=""),"",$E58/$D58)</f>
        <v/>
      </c>
      <c r="K58" s="19">
        <f>IF(OR($E58="",$E58=0,$C58=""),"",$C58/$E58)</f>
        <v/>
      </c>
      <c r="L58" s="18">
        <f>IF(OR($E58="",$E58=0,$F58=""),"",$F58/$E58)</f>
        <v/>
      </c>
      <c r="M58" s="18">
        <f>IF(OR($F58="",$F58=0,$G58=""),"",$G58/$F58)</f>
        <v/>
      </c>
      <c r="N58" s="19">
        <f>IF(OR($G58="",$G58=0,$C58=""),"",$C58/$G58)</f>
        <v/>
      </c>
      <c r="O58" s="25">
        <f>IF(OR($C58="",$C58=0,$H58=""),"",$H58/$C58)</f>
        <v/>
      </c>
      <c r="P58" s="26">
        <f>IF($N58="","",IF($N58&lt;='00_設定'!$B$8,"◎",IF($N58&lt;='00_設定'!$B$9,"○",IF($N58&lt;='00_設定'!$B$9*1.5,"▲","✕"))))</f>
        <v/>
      </c>
      <c r="Q58" s="27" t="n"/>
    </row>
    <row r="59">
      <c r="A59" s="22" t="n"/>
      <c r="B59" s="16" t="n"/>
      <c r="C59" s="17" t="n"/>
      <c r="D59" s="17" t="n"/>
      <c r="E59" s="17" t="n"/>
      <c r="F59" s="17" t="n"/>
      <c r="G59" s="17" t="n"/>
      <c r="H59" s="17" t="n"/>
      <c r="I59" s="16" t="n"/>
      <c r="J59" s="18">
        <f>IF(OR($D59="",$D59=0,$E59=""),"",$E59/$D59)</f>
        <v/>
      </c>
      <c r="K59" s="19">
        <f>IF(OR($E59="",$E59=0,$C59=""),"",$C59/$E59)</f>
        <v/>
      </c>
      <c r="L59" s="18">
        <f>IF(OR($E59="",$E59=0,$F59=""),"",$F59/$E59)</f>
        <v/>
      </c>
      <c r="M59" s="18">
        <f>IF(OR($F59="",$F59=0,$G59=""),"",$G59/$F59)</f>
        <v/>
      </c>
      <c r="N59" s="19">
        <f>IF(OR($G59="",$G59=0,$C59=""),"",$C59/$G59)</f>
        <v/>
      </c>
      <c r="O59" s="25">
        <f>IF(OR($C59="",$C59=0,$H59=""),"",$H59/$C59)</f>
        <v/>
      </c>
      <c r="P59" s="26">
        <f>IF($N59="","",IF($N59&lt;='00_設定'!$B$8,"◎",IF($N59&lt;='00_設定'!$B$9,"○",IF($N59&lt;='00_設定'!$B$9*1.5,"▲","✕"))))</f>
        <v/>
      </c>
      <c r="Q59" s="27" t="n"/>
    </row>
    <row r="60">
      <c r="A60" s="23" t="n"/>
      <c r="B60" s="5" t="n"/>
      <c r="C60" s="17" t="n"/>
      <c r="D60" s="17" t="n"/>
      <c r="E60" s="17" t="n"/>
      <c r="F60" s="17" t="n"/>
      <c r="G60" s="17" t="n"/>
      <c r="H60" s="17" t="n"/>
      <c r="I60" s="5" t="n"/>
      <c r="J60" s="18">
        <f>IF(OR($D60="",$D60=0,$E60=""),"",$E60/$D60)</f>
        <v/>
      </c>
      <c r="K60" s="19">
        <f>IF(OR($E60="",$E60=0,$C60=""),"",$C60/$E60)</f>
        <v/>
      </c>
      <c r="L60" s="18">
        <f>IF(OR($E60="",$E60=0,$F60=""),"",$F60/$E60)</f>
        <v/>
      </c>
      <c r="M60" s="18">
        <f>IF(OR($F60="",$F60=0,$G60=""),"",$G60/$F60)</f>
        <v/>
      </c>
      <c r="N60" s="19">
        <f>IF(OR($G60="",$G60=0,$C60=""),"",$C60/$G60)</f>
        <v/>
      </c>
      <c r="O60" s="25">
        <f>IF(OR($C60="",$C60=0,$H60=""),"",$H60/$C60)</f>
        <v/>
      </c>
      <c r="P60" s="26">
        <f>IF($N60="","",IF($N60&lt;='00_設定'!$B$8,"◎",IF($N60&lt;='00_設定'!$B$9,"○",IF($N60&lt;='00_設定'!$B$9*1.5,"▲","✕"))))</f>
        <v/>
      </c>
      <c r="Q60" s="27" t="n"/>
    </row>
    <row r="61">
      <c r="A61" s="22" t="n"/>
      <c r="B61" s="16" t="n"/>
      <c r="C61" s="17" t="n"/>
      <c r="D61" s="17" t="n"/>
      <c r="E61" s="17" t="n"/>
      <c r="F61" s="17" t="n"/>
      <c r="G61" s="17" t="n"/>
      <c r="H61" s="17" t="n"/>
      <c r="I61" s="16" t="n"/>
      <c r="J61" s="18">
        <f>IF(OR($D61="",$D61=0,$E61=""),"",$E61/$D61)</f>
        <v/>
      </c>
      <c r="K61" s="19">
        <f>IF(OR($E61="",$E61=0,$C61=""),"",$C61/$E61)</f>
        <v/>
      </c>
      <c r="L61" s="18">
        <f>IF(OR($E61="",$E61=0,$F61=""),"",$F61/$E61)</f>
        <v/>
      </c>
      <c r="M61" s="18">
        <f>IF(OR($F61="",$F61=0,$G61=""),"",$G61/$F61)</f>
        <v/>
      </c>
      <c r="N61" s="19">
        <f>IF(OR($G61="",$G61=0,$C61=""),"",$C61/$G61)</f>
        <v/>
      </c>
      <c r="O61" s="25">
        <f>IF(OR($C61="",$C61=0,$H61=""),"",$H61/$C61)</f>
        <v/>
      </c>
      <c r="P61" s="26">
        <f>IF($N61="","",IF($N61&lt;='00_設定'!$B$8,"◎",IF($N61&lt;='00_設定'!$B$9,"○",IF($N61&lt;='00_設定'!$B$9*1.5,"▲","✕"))))</f>
        <v/>
      </c>
      <c r="Q61" s="27" t="n"/>
    </row>
    <row r="62">
      <c r="A62" s="23" t="n"/>
      <c r="B62" s="5" t="n"/>
      <c r="C62" s="17" t="n"/>
      <c r="D62" s="17" t="n"/>
      <c r="E62" s="17" t="n"/>
      <c r="F62" s="17" t="n"/>
      <c r="G62" s="17" t="n"/>
      <c r="H62" s="17" t="n"/>
      <c r="I62" s="5" t="n"/>
      <c r="J62" s="18">
        <f>IF(OR($D62="",$D62=0,$E62=""),"",$E62/$D62)</f>
        <v/>
      </c>
      <c r="K62" s="19">
        <f>IF(OR($E62="",$E62=0,$C62=""),"",$C62/$E62)</f>
        <v/>
      </c>
      <c r="L62" s="18">
        <f>IF(OR($E62="",$E62=0,$F62=""),"",$F62/$E62)</f>
        <v/>
      </c>
      <c r="M62" s="18">
        <f>IF(OR($F62="",$F62=0,$G62=""),"",$G62/$F62)</f>
        <v/>
      </c>
      <c r="N62" s="19">
        <f>IF(OR($G62="",$G62=0,$C62=""),"",$C62/$G62)</f>
        <v/>
      </c>
      <c r="O62" s="25">
        <f>IF(OR($C62="",$C62=0,$H62=""),"",$H62/$C62)</f>
        <v/>
      </c>
      <c r="P62" s="26">
        <f>IF($N62="","",IF($N62&lt;='00_設定'!$B$8,"◎",IF($N62&lt;='00_設定'!$B$9,"○",IF($N62&lt;='00_設定'!$B$9*1.5,"▲","✕"))))</f>
        <v/>
      </c>
      <c r="Q62" s="27" t="n"/>
    </row>
    <row r="63">
      <c r="A63" s="22" t="n"/>
      <c r="B63" s="16" t="n"/>
      <c r="C63" s="17" t="n"/>
      <c r="D63" s="17" t="n"/>
      <c r="E63" s="17" t="n"/>
      <c r="F63" s="17" t="n"/>
      <c r="G63" s="17" t="n"/>
      <c r="H63" s="17" t="n"/>
      <c r="I63" s="16" t="n"/>
      <c r="J63" s="18">
        <f>IF(OR($D63="",$D63=0,$E63=""),"",$E63/$D63)</f>
        <v/>
      </c>
      <c r="K63" s="19">
        <f>IF(OR($E63="",$E63=0,$C63=""),"",$C63/$E63)</f>
        <v/>
      </c>
      <c r="L63" s="18">
        <f>IF(OR($E63="",$E63=0,$F63=""),"",$F63/$E63)</f>
        <v/>
      </c>
      <c r="M63" s="18">
        <f>IF(OR($F63="",$F63=0,$G63=""),"",$G63/$F63)</f>
        <v/>
      </c>
      <c r="N63" s="19">
        <f>IF(OR($G63="",$G63=0,$C63=""),"",$C63/$G63)</f>
        <v/>
      </c>
      <c r="O63" s="25">
        <f>IF(OR($C63="",$C63=0,$H63=""),"",$H63/$C63)</f>
        <v/>
      </c>
      <c r="P63" s="26">
        <f>IF($N63="","",IF($N63&lt;='00_設定'!$B$8,"◎",IF($N63&lt;='00_設定'!$B$9,"○",IF($N63&lt;='00_設定'!$B$9*1.5,"▲","✕"))))</f>
        <v/>
      </c>
      <c r="Q63" s="27" t="n"/>
    </row>
    <row r="64">
      <c r="A64" s="23" t="n"/>
      <c r="B64" s="5" t="n"/>
      <c r="C64" s="17" t="n"/>
      <c r="D64" s="17" t="n"/>
      <c r="E64" s="17" t="n"/>
      <c r="F64" s="17" t="n"/>
      <c r="G64" s="17" t="n"/>
      <c r="H64" s="17" t="n"/>
      <c r="I64" s="5" t="n"/>
      <c r="J64" s="18">
        <f>IF(OR($D64="",$D64=0,$E64=""),"",$E64/$D64)</f>
        <v/>
      </c>
      <c r="K64" s="19">
        <f>IF(OR($E64="",$E64=0,$C64=""),"",$C64/$E64)</f>
        <v/>
      </c>
      <c r="L64" s="18">
        <f>IF(OR($E64="",$E64=0,$F64=""),"",$F64/$E64)</f>
        <v/>
      </c>
      <c r="M64" s="18">
        <f>IF(OR($F64="",$F64=0,$G64=""),"",$G64/$F64)</f>
        <v/>
      </c>
      <c r="N64" s="19">
        <f>IF(OR($G64="",$G64=0,$C64=""),"",$C64/$G64)</f>
        <v/>
      </c>
      <c r="O64" s="25">
        <f>IF(OR($C64="",$C64=0,$H64=""),"",$H64/$C64)</f>
        <v/>
      </c>
      <c r="P64" s="26">
        <f>IF($N64="","",IF($N64&lt;='00_設定'!$B$8,"◎",IF($N64&lt;='00_設定'!$B$9,"○",IF($N64&lt;='00_設定'!$B$9*1.5,"▲","✕"))))</f>
        <v/>
      </c>
      <c r="Q64" s="27" t="n"/>
    </row>
    <row r="65">
      <c r="A65" s="22" t="n"/>
      <c r="B65" s="16" t="n"/>
      <c r="C65" s="17" t="n"/>
      <c r="D65" s="17" t="n"/>
      <c r="E65" s="17" t="n"/>
      <c r="F65" s="17" t="n"/>
      <c r="G65" s="17" t="n"/>
      <c r="H65" s="17" t="n"/>
      <c r="I65" s="16" t="n"/>
      <c r="J65" s="18">
        <f>IF(OR($D65="",$D65=0,$E65=""),"",$E65/$D65)</f>
        <v/>
      </c>
      <c r="K65" s="19">
        <f>IF(OR($E65="",$E65=0,$C65=""),"",$C65/$E65)</f>
        <v/>
      </c>
      <c r="L65" s="18">
        <f>IF(OR($E65="",$E65=0,$F65=""),"",$F65/$E65)</f>
        <v/>
      </c>
      <c r="M65" s="18">
        <f>IF(OR($F65="",$F65=0,$G65=""),"",$G65/$F65)</f>
        <v/>
      </c>
      <c r="N65" s="19">
        <f>IF(OR($G65="",$G65=0,$C65=""),"",$C65/$G65)</f>
        <v/>
      </c>
      <c r="O65" s="25">
        <f>IF(OR($C65="",$C65=0,$H65=""),"",$H65/$C65)</f>
        <v/>
      </c>
      <c r="P65" s="26">
        <f>IF($N65="","",IF($N65&lt;='00_設定'!$B$8,"◎",IF($N65&lt;='00_設定'!$B$9,"○",IF($N65&lt;='00_設定'!$B$9*1.5,"▲","✕"))))</f>
        <v/>
      </c>
      <c r="Q65" s="27" t="n"/>
    </row>
    <row r="66">
      <c r="A66" s="23" t="n"/>
      <c r="B66" s="5" t="n"/>
      <c r="C66" s="17" t="n"/>
      <c r="D66" s="17" t="n"/>
      <c r="E66" s="17" t="n"/>
      <c r="F66" s="17" t="n"/>
      <c r="G66" s="17" t="n"/>
      <c r="H66" s="17" t="n"/>
      <c r="I66" s="5" t="n"/>
      <c r="J66" s="18">
        <f>IF(OR($D66="",$D66=0,$E66=""),"",$E66/$D66)</f>
        <v/>
      </c>
      <c r="K66" s="19">
        <f>IF(OR($E66="",$E66=0,$C66=""),"",$C66/$E66)</f>
        <v/>
      </c>
      <c r="L66" s="18">
        <f>IF(OR($E66="",$E66=0,$F66=""),"",$F66/$E66)</f>
        <v/>
      </c>
      <c r="M66" s="18">
        <f>IF(OR($F66="",$F66=0,$G66=""),"",$G66/$F66)</f>
        <v/>
      </c>
      <c r="N66" s="19">
        <f>IF(OR($G66="",$G66=0,$C66=""),"",$C66/$G66)</f>
        <v/>
      </c>
      <c r="O66" s="25">
        <f>IF(OR($C66="",$C66=0,$H66=""),"",$H66/$C66)</f>
        <v/>
      </c>
      <c r="P66" s="26">
        <f>IF($N66="","",IF($N66&lt;='00_設定'!$B$8,"◎",IF($N66&lt;='00_設定'!$B$9,"○",IF($N66&lt;='00_設定'!$B$9*1.5,"▲","✕"))))</f>
        <v/>
      </c>
      <c r="Q66" s="27" t="n"/>
    </row>
    <row r="67">
      <c r="A67" s="22" t="n"/>
      <c r="B67" s="16" t="n"/>
      <c r="C67" s="17" t="n"/>
      <c r="D67" s="17" t="n"/>
      <c r="E67" s="17" t="n"/>
      <c r="F67" s="17" t="n"/>
      <c r="G67" s="17" t="n"/>
      <c r="H67" s="17" t="n"/>
      <c r="I67" s="16" t="n"/>
      <c r="J67" s="18">
        <f>IF(OR($D67="",$D67=0,$E67=""),"",$E67/$D67)</f>
        <v/>
      </c>
      <c r="K67" s="19">
        <f>IF(OR($E67="",$E67=0,$C67=""),"",$C67/$E67)</f>
        <v/>
      </c>
      <c r="L67" s="18">
        <f>IF(OR($E67="",$E67=0,$F67=""),"",$F67/$E67)</f>
        <v/>
      </c>
      <c r="M67" s="18">
        <f>IF(OR($F67="",$F67=0,$G67=""),"",$G67/$F67)</f>
        <v/>
      </c>
      <c r="N67" s="19">
        <f>IF(OR($G67="",$G67=0,$C67=""),"",$C67/$G67)</f>
        <v/>
      </c>
      <c r="O67" s="25">
        <f>IF(OR($C67="",$C67=0,$H67=""),"",$H67/$C67)</f>
        <v/>
      </c>
      <c r="P67" s="26">
        <f>IF($N67="","",IF($N67&lt;='00_設定'!$B$8,"◎",IF($N67&lt;='00_設定'!$B$9,"○",IF($N67&lt;='00_設定'!$B$9*1.5,"▲","✕"))))</f>
        <v/>
      </c>
      <c r="Q67" s="27" t="n"/>
    </row>
    <row r="68">
      <c r="A68" s="23" t="n"/>
      <c r="B68" s="5" t="n"/>
      <c r="C68" s="17" t="n"/>
      <c r="D68" s="17" t="n"/>
      <c r="E68" s="17" t="n"/>
      <c r="F68" s="17" t="n"/>
      <c r="G68" s="17" t="n"/>
      <c r="H68" s="17" t="n"/>
      <c r="I68" s="5" t="n"/>
      <c r="J68" s="18">
        <f>IF(OR($D68="",$D68=0,$E68=""),"",$E68/$D68)</f>
        <v/>
      </c>
      <c r="K68" s="19">
        <f>IF(OR($E68="",$E68=0,$C68=""),"",$C68/$E68)</f>
        <v/>
      </c>
      <c r="L68" s="18">
        <f>IF(OR($E68="",$E68=0,$F68=""),"",$F68/$E68)</f>
        <v/>
      </c>
      <c r="M68" s="18">
        <f>IF(OR($F68="",$F68=0,$G68=""),"",$G68/$F68)</f>
        <v/>
      </c>
      <c r="N68" s="19">
        <f>IF(OR($G68="",$G68=0,$C68=""),"",$C68/$G68)</f>
        <v/>
      </c>
      <c r="O68" s="25">
        <f>IF(OR($C68="",$C68=0,$H68=""),"",$H68/$C68)</f>
        <v/>
      </c>
      <c r="P68" s="26">
        <f>IF($N68="","",IF($N68&lt;='00_設定'!$B$8,"◎",IF($N68&lt;='00_設定'!$B$9,"○",IF($N68&lt;='00_設定'!$B$9*1.5,"▲","✕"))))</f>
        <v/>
      </c>
      <c r="Q68" s="27" t="n"/>
    </row>
    <row r="69">
      <c r="A69" s="22" t="n"/>
      <c r="B69" s="16" t="n"/>
      <c r="C69" s="17" t="n"/>
      <c r="D69" s="17" t="n"/>
      <c r="E69" s="17" t="n"/>
      <c r="F69" s="17" t="n"/>
      <c r="G69" s="17" t="n"/>
      <c r="H69" s="17" t="n"/>
      <c r="I69" s="16" t="n"/>
      <c r="J69" s="18">
        <f>IF(OR($D69="",$D69=0,$E69=""),"",$E69/$D69)</f>
        <v/>
      </c>
      <c r="K69" s="19">
        <f>IF(OR($E69="",$E69=0,$C69=""),"",$C69/$E69)</f>
        <v/>
      </c>
      <c r="L69" s="18">
        <f>IF(OR($E69="",$E69=0,$F69=""),"",$F69/$E69)</f>
        <v/>
      </c>
      <c r="M69" s="18">
        <f>IF(OR($F69="",$F69=0,$G69=""),"",$G69/$F69)</f>
        <v/>
      </c>
      <c r="N69" s="19">
        <f>IF(OR($G69="",$G69=0,$C69=""),"",$C69/$G69)</f>
        <v/>
      </c>
      <c r="O69" s="25">
        <f>IF(OR($C69="",$C69=0,$H69=""),"",$H69/$C69)</f>
        <v/>
      </c>
      <c r="P69" s="26">
        <f>IF($N69="","",IF($N69&lt;='00_設定'!$B$8,"◎",IF($N69&lt;='00_設定'!$B$9,"○",IF($N69&lt;='00_設定'!$B$9*1.5,"▲","✕"))))</f>
        <v/>
      </c>
      <c r="Q69" s="27" t="n"/>
    </row>
    <row r="70">
      <c r="A70" s="23" t="n"/>
      <c r="B70" s="5" t="n"/>
      <c r="C70" s="17" t="n"/>
      <c r="D70" s="17" t="n"/>
      <c r="E70" s="17" t="n"/>
      <c r="F70" s="17" t="n"/>
      <c r="G70" s="17" t="n"/>
      <c r="H70" s="17" t="n"/>
      <c r="I70" s="5" t="n"/>
      <c r="J70" s="18">
        <f>IF(OR($D70="",$D70=0,$E70=""),"",$E70/$D70)</f>
        <v/>
      </c>
      <c r="K70" s="19">
        <f>IF(OR($E70="",$E70=0,$C70=""),"",$C70/$E70)</f>
        <v/>
      </c>
      <c r="L70" s="18">
        <f>IF(OR($E70="",$E70=0,$F70=""),"",$F70/$E70)</f>
        <v/>
      </c>
      <c r="M70" s="18">
        <f>IF(OR($F70="",$F70=0,$G70=""),"",$G70/$F70)</f>
        <v/>
      </c>
      <c r="N70" s="19">
        <f>IF(OR($G70="",$G70=0,$C70=""),"",$C70/$G70)</f>
        <v/>
      </c>
      <c r="O70" s="25">
        <f>IF(OR($C70="",$C70=0,$H70=""),"",$H70/$C70)</f>
        <v/>
      </c>
      <c r="P70" s="26">
        <f>IF($N70="","",IF($N70&lt;='00_設定'!$B$8,"◎",IF($N70&lt;='00_設定'!$B$9,"○",IF($N70&lt;='00_設定'!$B$9*1.5,"▲","✕"))))</f>
        <v/>
      </c>
      <c r="Q70" s="27" t="n"/>
    </row>
    <row r="71">
      <c r="A71" s="22" t="n"/>
      <c r="B71" s="16" t="n"/>
      <c r="C71" s="17" t="n"/>
      <c r="D71" s="17" t="n"/>
      <c r="E71" s="17" t="n"/>
      <c r="F71" s="17" t="n"/>
      <c r="G71" s="17" t="n"/>
      <c r="H71" s="17" t="n"/>
      <c r="I71" s="16" t="n"/>
      <c r="J71" s="18">
        <f>IF(OR($D71="",$D71=0,$E71=""),"",$E71/$D71)</f>
        <v/>
      </c>
      <c r="K71" s="19">
        <f>IF(OR($E71="",$E71=0,$C71=""),"",$C71/$E71)</f>
        <v/>
      </c>
      <c r="L71" s="18">
        <f>IF(OR($E71="",$E71=0,$F71=""),"",$F71/$E71)</f>
        <v/>
      </c>
      <c r="M71" s="18">
        <f>IF(OR($F71="",$F71=0,$G71=""),"",$G71/$F71)</f>
        <v/>
      </c>
      <c r="N71" s="19">
        <f>IF(OR($G71="",$G71=0,$C71=""),"",$C71/$G71)</f>
        <v/>
      </c>
      <c r="O71" s="25">
        <f>IF(OR($C71="",$C71=0,$H71=""),"",$H71/$C71)</f>
        <v/>
      </c>
      <c r="P71" s="26">
        <f>IF($N71="","",IF($N71&lt;='00_設定'!$B$8,"◎",IF($N71&lt;='00_設定'!$B$9,"○",IF($N71&lt;='00_設定'!$B$9*1.5,"▲","✕"))))</f>
        <v/>
      </c>
      <c r="Q71" s="27" t="n"/>
    </row>
    <row r="72">
      <c r="A72" s="23" t="n"/>
      <c r="B72" s="5" t="n"/>
      <c r="C72" s="17" t="n"/>
      <c r="D72" s="17" t="n"/>
      <c r="E72" s="17" t="n"/>
      <c r="F72" s="17" t="n"/>
      <c r="G72" s="17" t="n"/>
      <c r="H72" s="17" t="n"/>
      <c r="I72" s="5" t="n"/>
      <c r="J72" s="18">
        <f>IF(OR($D72="",$D72=0,$E72=""),"",$E72/$D72)</f>
        <v/>
      </c>
      <c r="K72" s="19">
        <f>IF(OR($E72="",$E72=0,$C72=""),"",$C72/$E72)</f>
        <v/>
      </c>
      <c r="L72" s="18">
        <f>IF(OR($E72="",$E72=0,$F72=""),"",$F72/$E72)</f>
        <v/>
      </c>
      <c r="M72" s="18">
        <f>IF(OR($F72="",$F72=0,$G72=""),"",$G72/$F72)</f>
        <v/>
      </c>
      <c r="N72" s="19">
        <f>IF(OR($G72="",$G72=0,$C72=""),"",$C72/$G72)</f>
        <v/>
      </c>
      <c r="O72" s="25">
        <f>IF(OR($C72="",$C72=0,$H72=""),"",$H72/$C72)</f>
        <v/>
      </c>
      <c r="P72" s="26">
        <f>IF($N72="","",IF($N72&lt;='00_設定'!$B$8,"◎",IF($N72&lt;='00_設定'!$B$9,"○",IF($N72&lt;='00_設定'!$B$9*1.5,"▲","✕"))))</f>
        <v/>
      </c>
      <c r="Q72" s="27" t="n"/>
    </row>
    <row r="73">
      <c r="A73" s="22" t="n"/>
      <c r="B73" s="16" t="n"/>
      <c r="C73" s="17" t="n"/>
      <c r="D73" s="17" t="n"/>
      <c r="E73" s="17" t="n"/>
      <c r="F73" s="17" t="n"/>
      <c r="G73" s="17" t="n"/>
      <c r="H73" s="17" t="n"/>
      <c r="I73" s="16" t="n"/>
      <c r="J73" s="18">
        <f>IF(OR($D73="",$D73=0,$E73=""),"",$E73/$D73)</f>
        <v/>
      </c>
      <c r="K73" s="19">
        <f>IF(OR($E73="",$E73=0,$C73=""),"",$C73/$E73)</f>
        <v/>
      </c>
      <c r="L73" s="18">
        <f>IF(OR($E73="",$E73=0,$F73=""),"",$F73/$E73)</f>
        <v/>
      </c>
      <c r="M73" s="18">
        <f>IF(OR($F73="",$F73=0,$G73=""),"",$G73/$F73)</f>
        <v/>
      </c>
      <c r="N73" s="19">
        <f>IF(OR($G73="",$G73=0,$C73=""),"",$C73/$G73)</f>
        <v/>
      </c>
      <c r="O73" s="25">
        <f>IF(OR($C73="",$C73=0,$H73=""),"",$H73/$C73)</f>
        <v/>
      </c>
      <c r="P73" s="26">
        <f>IF($N73="","",IF($N73&lt;='00_設定'!$B$8,"◎",IF($N73&lt;='00_設定'!$B$9,"○",IF($N73&lt;='00_設定'!$B$9*1.5,"▲","✕"))))</f>
        <v/>
      </c>
      <c r="Q73" s="27" t="n"/>
    </row>
    <row r="74">
      <c r="A74" s="23" t="n"/>
      <c r="B74" s="5" t="n"/>
      <c r="C74" s="17" t="n"/>
      <c r="D74" s="17" t="n"/>
      <c r="E74" s="17" t="n"/>
      <c r="F74" s="17" t="n"/>
      <c r="G74" s="17" t="n"/>
      <c r="H74" s="17" t="n"/>
      <c r="I74" s="5" t="n"/>
      <c r="J74" s="18">
        <f>IF(OR($D74="",$D74=0,$E74=""),"",$E74/$D74)</f>
        <v/>
      </c>
      <c r="K74" s="19">
        <f>IF(OR($E74="",$E74=0,$C74=""),"",$C74/$E74)</f>
        <v/>
      </c>
      <c r="L74" s="18">
        <f>IF(OR($E74="",$E74=0,$F74=""),"",$F74/$E74)</f>
        <v/>
      </c>
      <c r="M74" s="18">
        <f>IF(OR($F74="",$F74=0,$G74=""),"",$G74/$F74)</f>
        <v/>
      </c>
      <c r="N74" s="19">
        <f>IF(OR($G74="",$G74=0,$C74=""),"",$C74/$G74)</f>
        <v/>
      </c>
      <c r="O74" s="25">
        <f>IF(OR($C74="",$C74=0,$H74=""),"",$H74/$C74)</f>
        <v/>
      </c>
      <c r="P74" s="26">
        <f>IF($N74="","",IF($N74&lt;='00_設定'!$B$8,"◎",IF($N74&lt;='00_設定'!$B$9,"○",IF($N74&lt;='00_設定'!$B$9*1.5,"▲","✕"))))</f>
        <v/>
      </c>
      <c r="Q74" s="27" t="n"/>
    </row>
    <row r="76">
      <c r="A76" s="3" t="inlineStr">
        <is>
          <t>注記</t>
        </is>
      </c>
    </row>
    <row r="77">
      <c r="A77" s="2" t="inlineStr">
        <is>
          <t>【毎日の入力】C 広告費 / D 表示回数 / E クリック / F LPビュー(ランディングページビュー) / G CV(購入) / H 売上 / I 遷移先ストア。</t>
        </is>
      </c>
    </row>
    <row r="78">
      <c r="A78" s="2" t="inlineStr">
        <is>
          <t>★LPビューは Meta広告マネージャの「ランディングページビュー」列です。クリックとの差が大きい場合は、表示速度か遷移先の不一致を疑ってください。</t>
        </is>
      </c>
    </row>
    <row r="79">
      <c r="A79" s="2" t="inlineStr">
        <is>
          <t>判定はCPA基準（◎目標以下／○許容以下／▲許容の1.5倍まで／✕それ超）。✕が7日続いたら広告を止めてください。</t>
        </is>
      </c>
    </row>
    <row r="80">
      <c r="A80" s="2" t="inlineStr">
        <is>
          <t>ROASは売上ベースです。粗利ベースで見る場合は「限界利益ROAS＝粗利÷広告費」で1.0を割ったら赤字です。</t>
        </is>
      </c>
    </row>
  </sheetData>
  <mergeCells count="7">
    <mergeCell ref="A77:Q77"/>
    <mergeCell ref="A78:Q78"/>
    <mergeCell ref="A2:Q2"/>
    <mergeCell ref="A76:Q76"/>
    <mergeCell ref="A80:Q80"/>
    <mergeCell ref="A1:Q1"/>
    <mergeCell ref="A79:Q79"/>
  </mergeCells>
  <dataValidations count="1">
    <dataValidation sqref="I5:I74" showDropDown="0" showInputMessage="0" showErrorMessage="0" allowBlank="1" type="list">
      <formula1>"NAVERスマートストア,Coupang,自社EC"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1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4" customWidth="1" min="14" max="14"/>
  </cols>
  <sheetData>
    <row r="1">
      <c r="A1" s="24" t="inlineStr">
        <is>
          <t>週次サマリー（自動集計）</t>
        </is>
      </c>
    </row>
    <row r="2">
      <c r="A2" s="2" t="inlineStr">
        <is>
          <t>A列に週の開始日（月曜）を入れると、01_日次入力 からその週の数字を自動集計します。</t>
        </is>
      </c>
    </row>
    <row r="4">
      <c r="A4" s="4" t="inlineStr">
        <is>
          <t>週開始(月)</t>
        </is>
      </c>
      <c r="B4" s="4" t="inlineStr">
        <is>
          <t>チャネル</t>
        </is>
      </c>
      <c r="C4" s="4" t="inlineStr">
        <is>
          <t>訪問者数</t>
        </is>
      </c>
      <c r="D4" s="4" t="inlineStr">
        <is>
          <t>商品閲覧</t>
        </is>
      </c>
      <c r="E4" s="4" t="inlineStr">
        <is>
          <t>カート追加</t>
        </is>
      </c>
      <c r="F4" s="4" t="inlineStr">
        <is>
          <t>注文数</t>
        </is>
      </c>
      <c r="G4" s="4" t="inlineStr">
        <is>
          <t>売上(W)</t>
        </is>
      </c>
      <c r="H4" s="4" t="inlineStr">
        <is>
          <t>広告費(W)</t>
        </is>
      </c>
      <c r="I4" s="4" t="inlineStr">
        <is>
          <t>カート率</t>
        </is>
      </c>
      <c r="J4" s="4" t="inlineStr">
        <is>
          <t>カート→注文</t>
        </is>
      </c>
      <c r="K4" s="4" t="inlineStr">
        <is>
          <t>購入転換率</t>
        </is>
      </c>
      <c r="L4" s="4" t="inlineStr">
        <is>
          <t>CPA(W)</t>
        </is>
      </c>
      <c r="M4" s="4" t="inlineStr">
        <is>
          <t>広告費率</t>
        </is>
      </c>
      <c r="N4" s="4" t="inlineStr">
        <is>
          <t>判定</t>
        </is>
      </c>
    </row>
    <row r="5">
      <c r="A5" s="28" t="n">
        <v>46279</v>
      </c>
      <c r="B5" s="29" t="inlineStr">
        <is>
          <t>NAVER</t>
        </is>
      </c>
      <c r="C5" s="19">
        <f>SUMIFS('01_日次入力'!$C$5:$C$99,'01_日次入力'!$A$5:$A$99,"&gt;="&amp;$A5,'01_日次入力'!$A$5:$A$99,"&lt;"&amp;$A5+7,'01_日次入力'!$B$5:$B$99,$B5)</f>
        <v/>
      </c>
      <c r="D5" s="19">
        <f>SUMIFS('01_日次入力'!$D$5:$D$99,'01_日次入力'!$A$5:$A$99,"&gt;="&amp;$A5,'01_日次入力'!$A$5:$A$99,"&lt;"&amp;$A5+7,'01_日次入力'!$B$5:$B$99,$B5)</f>
        <v/>
      </c>
      <c r="E5" s="19">
        <f>SUMIFS('01_日次入力'!$E$5:$E$99,'01_日次入力'!$A$5:$A$99,"&gt;="&amp;$A5,'01_日次入力'!$A$5:$A$99,"&lt;"&amp;$A5+7,'01_日次入力'!$B$5:$B$99,$B5)</f>
        <v/>
      </c>
      <c r="F5" s="19">
        <f>SUMIFS('01_日次入力'!$F$5:$F$99,'01_日次入力'!$A$5:$A$99,"&gt;="&amp;$A5,'01_日次入力'!$A$5:$A$99,"&lt;"&amp;$A5+7,'01_日次入力'!$B$5:$B$99,$B5)</f>
        <v/>
      </c>
      <c r="G5" s="19">
        <f>SUMIFS('01_日次入力'!$G$5:$G$99,'01_日次入力'!$A$5:$A$99,"&gt;="&amp;$A5,'01_日次入力'!$A$5:$A$99,"&lt;"&amp;$A5+7,'01_日次入力'!$B$5:$B$99,$B5)</f>
        <v/>
      </c>
      <c r="H5" s="19">
        <f>SUMIFS('01_日次入力'!$I$5:$I$99,'01_日次入力'!$A$5:$A$99,"&gt;="&amp;$A5,'01_日次入力'!$A$5:$A$99,"&lt;"&amp;$A5+7,'01_日次入力'!$B$5:$B$99,$B5)</f>
        <v/>
      </c>
      <c r="I5" s="18">
        <f>IF($C5=0,"",$E5/$C5)</f>
        <v/>
      </c>
      <c r="J5" s="18">
        <f>IF($E5=0,"",$F5/$E5)</f>
        <v/>
      </c>
      <c r="K5" s="18">
        <f>IF($C5=0,"",$F5/$C5)</f>
        <v/>
      </c>
      <c r="L5" s="19">
        <f>IF($F5=0,"",$H5/$F5)</f>
        <v/>
      </c>
      <c r="M5" s="18">
        <f>IF($G5=0,"",$H5/$G5)</f>
        <v/>
      </c>
      <c r="N5" s="26">
        <f>IF($K5="","",IF($K5&gt;='00_設定'!$B$12,"◎",IF($K5&gt;='00_設定'!$B$13,"○",IF($K5&gt;=0.002,"▲","✕"))))</f>
        <v/>
      </c>
    </row>
    <row r="6">
      <c r="A6" s="28" t="n">
        <v>46279</v>
      </c>
      <c r="B6" s="29" t="inlineStr">
        <is>
          <t>Coupang</t>
        </is>
      </c>
      <c r="C6" s="19">
        <f>SUMIFS('01_日次入力'!$C$5:$C$99,'01_日次入力'!$A$5:$A$99,"&gt;="&amp;$A6,'01_日次入力'!$A$5:$A$99,"&lt;"&amp;$A6+7,'01_日次入力'!$B$5:$B$99,$B6)</f>
        <v/>
      </c>
      <c r="D6" s="19">
        <f>SUMIFS('01_日次入力'!$D$5:$D$99,'01_日次入力'!$A$5:$A$99,"&gt;="&amp;$A6,'01_日次入力'!$A$5:$A$99,"&lt;"&amp;$A6+7,'01_日次入力'!$B$5:$B$99,$B6)</f>
        <v/>
      </c>
      <c r="E6" s="19">
        <f>SUMIFS('01_日次入力'!$E$5:$E$99,'01_日次入力'!$A$5:$A$99,"&gt;="&amp;$A6,'01_日次入力'!$A$5:$A$99,"&lt;"&amp;$A6+7,'01_日次入力'!$B$5:$B$99,$B6)</f>
        <v/>
      </c>
      <c r="F6" s="19">
        <f>SUMIFS('01_日次入力'!$F$5:$F$99,'01_日次入力'!$A$5:$A$99,"&gt;="&amp;$A6,'01_日次入力'!$A$5:$A$99,"&lt;"&amp;$A6+7,'01_日次入力'!$B$5:$B$99,$B6)</f>
        <v/>
      </c>
      <c r="G6" s="19">
        <f>SUMIFS('01_日次入力'!$G$5:$G$99,'01_日次入力'!$A$5:$A$99,"&gt;="&amp;$A6,'01_日次入力'!$A$5:$A$99,"&lt;"&amp;$A6+7,'01_日次入力'!$B$5:$B$99,$B6)</f>
        <v/>
      </c>
      <c r="H6" s="19">
        <f>SUMIFS('01_日次入力'!$I$5:$I$99,'01_日次入力'!$A$5:$A$99,"&gt;="&amp;$A6,'01_日次入力'!$A$5:$A$99,"&lt;"&amp;$A6+7,'01_日次入力'!$B$5:$B$99,$B6)</f>
        <v/>
      </c>
      <c r="I6" s="18">
        <f>IF($C6=0,"",$E6/$C6)</f>
        <v/>
      </c>
      <c r="J6" s="18">
        <f>IF($E6=0,"",$F6/$E6)</f>
        <v/>
      </c>
      <c r="K6" s="18">
        <f>IF($C6=0,"",$F6/$C6)</f>
        <v/>
      </c>
      <c r="L6" s="19">
        <f>IF($F6=0,"",$H6/$F6)</f>
        <v/>
      </c>
      <c r="M6" s="18">
        <f>IF($G6=0,"",$H6/$G6)</f>
        <v/>
      </c>
      <c r="N6" s="26">
        <f>IF($K6="","",IF($K6&gt;='00_設定'!$B$12,"◎",IF($K6&gt;='00_設定'!$B$13,"○",IF($K6&gt;=0.002,"▲","✕"))))</f>
        <v/>
      </c>
    </row>
    <row r="7">
      <c r="A7" s="28" t="n">
        <v>46279</v>
      </c>
      <c r="B7" s="29" t="inlineStr">
        <is>
          <t>自社EC</t>
        </is>
      </c>
      <c r="C7" s="19">
        <f>SUMIFS('01_日次入力'!$C$5:$C$99,'01_日次入力'!$A$5:$A$99,"&gt;="&amp;$A7,'01_日次入力'!$A$5:$A$99,"&lt;"&amp;$A7+7,'01_日次入力'!$B$5:$B$99,$B7)</f>
        <v/>
      </c>
      <c r="D7" s="19">
        <f>SUMIFS('01_日次入力'!$D$5:$D$99,'01_日次入力'!$A$5:$A$99,"&gt;="&amp;$A7,'01_日次入力'!$A$5:$A$99,"&lt;"&amp;$A7+7,'01_日次入力'!$B$5:$B$99,$B7)</f>
        <v/>
      </c>
      <c r="E7" s="19">
        <f>SUMIFS('01_日次入力'!$E$5:$E$99,'01_日次入力'!$A$5:$A$99,"&gt;="&amp;$A7,'01_日次入力'!$A$5:$A$99,"&lt;"&amp;$A7+7,'01_日次入力'!$B$5:$B$99,$B7)</f>
        <v/>
      </c>
      <c r="F7" s="19">
        <f>SUMIFS('01_日次入力'!$F$5:$F$99,'01_日次入力'!$A$5:$A$99,"&gt;="&amp;$A7,'01_日次入力'!$A$5:$A$99,"&lt;"&amp;$A7+7,'01_日次入力'!$B$5:$B$99,$B7)</f>
        <v/>
      </c>
      <c r="G7" s="19">
        <f>SUMIFS('01_日次入力'!$G$5:$G$99,'01_日次入力'!$A$5:$A$99,"&gt;="&amp;$A7,'01_日次入力'!$A$5:$A$99,"&lt;"&amp;$A7+7,'01_日次入力'!$B$5:$B$99,$B7)</f>
        <v/>
      </c>
      <c r="H7" s="19">
        <f>SUMIFS('01_日次入力'!$I$5:$I$99,'01_日次入力'!$A$5:$A$99,"&gt;="&amp;$A7,'01_日次入力'!$A$5:$A$99,"&lt;"&amp;$A7+7,'01_日次入力'!$B$5:$B$99,$B7)</f>
        <v/>
      </c>
      <c r="I7" s="18">
        <f>IF($C7=0,"",$E7/$C7)</f>
        <v/>
      </c>
      <c r="J7" s="18">
        <f>IF($E7=0,"",$F7/$E7)</f>
        <v/>
      </c>
      <c r="K7" s="18">
        <f>IF($C7=0,"",$F7/$C7)</f>
        <v/>
      </c>
      <c r="L7" s="19">
        <f>IF($F7=0,"",$H7/$F7)</f>
        <v/>
      </c>
      <c r="M7" s="18">
        <f>IF($G7=0,"",$H7/$G7)</f>
        <v/>
      </c>
      <c r="N7" s="26">
        <f>IF($K7="","",IF($K7&gt;='00_設定'!$B$12,"◎",IF($K7&gt;='00_設定'!$B$13,"○",IF($K7&gt;=0.002,"▲","✕"))))</f>
        <v/>
      </c>
    </row>
    <row r="9">
      <c r="A9" s="28" t="n">
        <v>46272</v>
      </c>
      <c r="B9" s="29" t="inlineStr">
        <is>
          <t>NAVER</t>
        </is>
      </c>
      <c r="C9" s="19">
        <f>SUMIFS('01_日次入力'!$C$5:$C$99,'01_日次入力'!$A$5:$A$99,"&gt;="&amp;$A9,'01_日次入力'!$A$5:$A$99,"&lt;"&amp;$A9+7,'01_日次入力'!$B$5:$B$99,$B9)</f>
        <v/>
      </c>
      <c r="D9" s="19">
        <f>SUMIFS('01_日次入力'!$D$5:$D$99,'01_日次入力'!$A$5:$A$99,"&gt;="&amp;$A9,'01_日次入力'!$A$5:$A$99,"&lt;"&amp;$A9+7,'01_日次入力'!$B$5:$B$99,$B9)</f>
        <v/>
      </c>
      <c r="E9" s="19">
        <f>SUMIFS('01_日次入力'!$E$5:$E$99,'01_日次入力'!$A$5:$A$99,"&gt;="&amp;$A9,'01_日次入力'!$A$5:$A$99,"&lt;"&amp;$A9+7,'01_日次入力'!$B$5:$B$99,$B9)</f>
        <v/>
      </c>
      <c r="F9" s="19">
        <f>SUMIFS('01_日次入力'!$F$5:$F$99,'01_日次入力'!$A$5:$A$99,"&gt;="&amp;$A9,'01_日次入力'!$A$5:$A$99,"&lt;"&amp;$A9+7,'01_日次入力'!$B$5:$B$99,$B9)</f>
        <v/>
      </c>
      <c r="G9" s="19">
        <f>SUMIFS('01_日次入力'!$G$5:$G$99,'01_日次入力'!$A$5:$A$99,"&gt;="&amp;$A9,'01_日次入力'!$A$5:$A$99,"&lt;"&amp;$A9+7,'01_日次入力'!$B$5:$B$99,$B9)</f>
        <v/>
      </c>
      <c r="H9" s="19">
        <f>SUMIFS('01_日次入力'!$I$5:$I$99,'01_日次入力'!$A$5:$A$99,"&gt;="&amp;$A9,'01_日次入力'!$A$5:$A$99,"&lt;"&amp;$A9+7,'01_日次入力'!$B$5:$B$99,$B9)</f>
        <v/>
      </c>
      <c r="I9" s="18">
        <f>IF($C9=0,"",$E9/$C9)</f>
        <v/>
      </c>
      <c r="J9" s="18">
        <f>IF($E9=0,"",$F9/$E9)</f>
        <v/>
      </c>
      <c r="K9" s="18">
        <f>IF($C9=0,"",$F9/$C9)</f>
        <v/>
      </c>
      <c r="L9" s="19">
        <f>IF($F9=0,"",$H9/$F9)</f>
        <v/>
      </c>
      <c r="M9" s="18">
        <f>IF($G9=0,"",$H9/$G9)</f>
        <v/>
      </c>
      <c r="N9" s="26">
        <f>IF($K9="","",IF($K9&gt;='00_設定'!$B$12,"◎",IF($K9&gt;='00_設定'!$B$13,"○",IF($K9&gt;=0.002,"▲","✕"))))</f>
        <v/>
      </c>
    </row>
    <row r="10">
      <c r="A10" s="28" t="n">
        <v>46272</v>
      </c>
      <c r="B10" s="29" t="inlineStr">
        <is>
          <t>Coupang</t>
        </is>
      </c>
      <c r="C10" s="19">
        <f>SUMIFS('01_日次入力'!$C$5:$C$99,'01_日次入力'!$A$5:$A$99,"&gt;="&amp;$A10,'01_日次入力'!$A$5:$A$99,"&lt;"&amp;$A10+7,'01_日次入力'!$B$5:$B$99,$B10)</f>
        <v/>
      </c>
      <c r="D10" s="19">
        <f>SUMIFS('01_日次入力'!$D$5:$D$99,'01_日次入力'!$A$5:$A$99,"&gt;="&amp;$A10,'01_日次入力'!$A$5:$A$99,"&lt;"&amp;$A10+7,'01_日次入力'!$B$5:$B$99,$B10)</f>
        <v/>
      </c>
      <c r="E10" s="19">
        <f>SUMIFS('01_日次入力'!$E$5:$E$99,'01_日次入力'!$A$5:$A$99,"&gt;="&amp;$A10,'01_日次入力'!$A$5:$A$99,"&lt;"&amp;$A10+7,'01_日次入力'!$B$5:$B$99,$B10)</f>
        <v/>
      </c>
      <c r="F10" s="19">
        <f>SUMIFS('01_日次入力'!$F$5:$F$99,'01_日次入力'!$A$5:$A$99,"&gt;="&amp;$A10,'01_日次入力'!$A$5:$A$99,"&lt;"&amp;$A10+7,'01_日次入力'!$B$5:$B$99,$B10)</f>
        <v/>
      </c>
      <c r="G10" s="19">
        <f>SUMIFS('01_日次入力'!$G$5:$G$99,'01_日次入力'!$A$5:$A$99,"&gt;="&amp;$A10,'01_日次入力'!$A$5:$A$99,"&lt;"&amp;$A10+7,'01_日次入力'!$B$5:$B$99,$B10)</f>
        <v/>
      </c>
      <c r="H10" s="19">
        <f>SUMIFS('01_日次入力'!$I$5:$I$99,'01_日次入力'!$A$5:$A$99,"&gt;="&amp;$A10,'01_日次入力'!$A$5:$A$99,"&lt;"&amp;$A10+7,'01_日次入力'!$B$5:$B$99,$B10)</f>
        <v/>
      </c>
      <c r="I10" s="18">
        <f>IF($C10=0,"",$E10/$C10)</f>
        <v/>
      </c>
      <c r="J10" s="18">
        <f>IF($E10=0,"",$F10/$E10)</f>
        <v/>
      </c>
      <c r="K10" s="18">
        <f>IF($C10=0,"",$F10/$C10)</f>
        <v/>
      </c>
      <c r="L10" s="19">
        <f>IF($F10=0,"",$H10/$F10)</f>
        <v/>
      </c>
      <c r="M10" s="18">
        <f>IF($G10=0,"",$H10/$G10)</f>
        <v/>
      </c>
      <c r="N10" s="26">
        <f>IF($K10="","",IF($K10&gt;='00_設定'!$B$12,"◎",IF($K10&gt;='00_設定'!$B$13,"○",IF($K10&gt;=0.002,"▲","✕"))))</f>
        <v/>
      </c>
    </row>
    <row r="11">
      <c r="A11" s="28" t="n">
        <v>46272</v>
      </c>
      <c r="B11" s="29" t="inlineStr">
        <is>
          <t>自社EC</t>
        </is>
      </c>
      <c r="C11" s="19">
        <f>SUMIFS('01_日次入力'!$C$5:$C$99,'01_日次入力'!$A$5:$A$99,"&gt;="&amp;$A11,'01_日次入力'!$A$5:$A$99,"&lt;"&amp;$A11+7,'01_日次入力'!$B$5:$B$99,$B11)</f>
        <v/>
      </c>
      <c r="D11" s="19">
        <f>SUMIFS('01_日次入力'!$D$5:$D$99,'01_日次入力'!$A$5:$A$99,"&gt;="&amp;$A11,'01_日次入力'!$A$5:$A$99,"&lt;"&amp;$A11+7,'01_日次入力'!$B$5:$B$99,$B11)</f>
        <v/>
      </c>
      <c r="E11" s="19">
        <f>SUMIFS('01_日次入力'!$E$5:$E$99,'01_日次入力'!$A$5:$A$99,"&gt;="&amp;$A11,'01_日次入力'!$A$5:$A$99,"&lt;"&amp;$A11+7,'01_日次入力'!$B$5:$B$99,$B11)</f>
        <v/>
      </c>
      <c r="F11" s="19">
        <f>SUMIFS('01_日次入力'!$F$5:$F$99,'01_日次入力'!$A$5:$A$99,"&gt;="&amp;$A11,'01_日次入力'!$A$5:$A$99,"&lt;"&amp;$A11+7,'01_日次入力'!$B$5:$B$99,$B11)</f>
        <v/>
      </c>
      <c r="G11" s="19">
        <f>SUMIFS('01_日次入力'!$G$5:$G$99,'01_日次入力'!$A$5:$A$99,"&gt;="&amp;$A11,'01_日次入力'!$A$5:$A$99,"&lt;"&amp;$A11+7,'01_日次入力'!$B$5:$B$99,$B11)</f>
        <v/>
      </c>
      <c r="H11" s="19">
        <f>SUMIFS('01_日次入力'!$I$5:$I$99,'01_日次入力'!$A$5:$A$99,"&gt;="&amp;$A11,'01_日次入力'!$A$5:$A$99,"&lt;"&amp;$A11+7,'01_日次入力'!$B$5:$B$99,$B11)</f>
        <v/>
      </c>
      <c r="I11" s="18">
        <f>IF($C11=0,"",$E11/$C11)</f>
        <v/>
      </c>
      <c r="J11" s="18">
        <f>IF($E11=0,"",$F11/$E11)</f>
        <v/>
      </c>
      <c r="K11" s="18">
        <f>IF($C11=0,"",$F11/$C11)</f>
        <v/>
      </c>
      <c r="L11" s="19">
        <f>IF($F11=0,"",$H11/$F11)</f>
        <v/>
      </c>
      <c r="M11" s="18">
        <f>IF($G11=0,"",$H11/$G11)</f>
        <v/>
      </c>
      <c r="N11" s="26">
        <f>IF($K11="","",IF($K11&gt;='00_設定'!$B$12,"◎",IF($K11&gt;='00_設定'!$B$13,"○",IF($K11&gt;=0.002,"▲","✕"))))</f>
        <v/>
      </c>
    </row>
    <row r="13">
      <c r="A13" s="28" t="n">
        <v>46265</v>
      </c>
      <c r="B13" s="29" t="inlineStr">
        <is>
          <t>NAVER</t>
        </is>
      </c>
      <c r="C13" s="19">
        <f>SUMIFS('01_日次入力'!$C$5:$C$99,'01_日次入力'!$A$5:$A$99,"&gt;="&amp;$A13,'01_日次入力'!$A$5:$A$99,"&lt;"&amp;$A13+7,'01_日次入力'!$B$5:$B$99,$B13)</f>
        <v/>
      </c>
      <c r="D13" s="19">
        <f>SUMIFS('01_日次入力'!$D$5:$D$99,'01_日次入力'!$A$5:$A$99,"&gt;="&amp;$A13,'01_日次入力'!$A$5:$A$99,"&lt;"&amp;$A13+7,'01_日次入力'!$B$5:$B$99,$B13)</f>
        <v/>
      </c>
      <c r="E13" s="19">
        <f>SUMIFS('01_日次入力'!$E$5:$E$99,'01_日次入力'!$A$5:$A$99,"&gt;="&amp;$A13,'01_日次入力'!$A$5:$A$99,"&lt;"&amp;$A13+7,'01_日次入力'!$B$5:$B$99,$B13)</f>
        <v/>
      </c>
      <c r="F13" s="19">
        <f>SUMIFS('01_日次入力'!$F$5:$F$99,'01_日次入力'!$A$5:$A$99,"&gt;="&amp;$A13,'01_日次入力'!$A$5:$A$99,"&lt;"&amp;$A13+7,'01_日次入力'!$B$5:$B$99,$B13)</f>
        <v/>
      </c>
      <c r="G13" s="19">
        <f>SUMIFS('01_日次入力'!$G$5:$G$99,'01_日次入力'!$A$5:$A$99,"&gt;="&amp;$A13,'01_日次入力'!$A$5:$A$99,"&lt;"&amp;$A13+7,'01_日次入力'!$B$5:$B$99,$B13)</f>
        <v/>
      </c>
      <c r="H13" s="19">
        <f>SUMIFS('01_日次入力'!$I$5:$I$99,'01_日次入力'!$A$5:$A$99,"&gt;="&amp;$A13,'01_日次入力'!$A$5:$A$99,"&lt;"&amp;$A13+7,'01_日次入力'!$B$5:$B$99,$B13)</f>
        <v/>
      </c>
      <c r="I13" s="18">
        <f>IF($C13=0,"",$E13/$C13)</f>
        <v/>
      </c>
      <c r="J13" s="18">
        <f>IF($E13=0,"",$F13/$E13)</f>
        <v/>
      </c>
      <c r="K13" s="18">
        <f>IF($C13=0,"",$F13/$C13)</f>
        <v/>
      </c>
      <c r="L13" s="19">
        <f>IF($F13=0,"",$H13/$F13)</f>
        <v/>
      </c>
      <c r="M13" s="18">
        <f>IF($G13=0,"",$H13/$G13)</f>
        <v/>
      </c>
      <c r="N13" s="26">
        <f>IF($K13="","",IF($K13&gt;='00_設定'!$B$12,"◎",IF($K13&gt;='00_設定'!$B$13,"○",IF($K13&gt;=0.002,"▲","✕"))))</f>
        <v/>
      </c>
    </row>
    <row r="14">
      <c r="A14" s="28" t="n">
        <v>46265</v>
      </c>
      <c r="B14" s="29" t="inlineStr">
        <is>
          <t>Coupang</t>
        </is>
      </c>
      <c r="C14" s="19">
        <f>SUMIFS('01_日次入力'!$C$5:$C$99,'01_日次入力'!$A$5:$A$99,"&gt;="&amp;$A14,'01_日次入力'!$A$5:$A$99,"&lt;"&amp;$A14+7,'01_日次入力'!$B$5:$B$99,$B14)</f>
        <v/>
      </c>
      <c r="D14" s="19">
        <f>SUMIFS('01_日次入力'!$D$5:$D$99,'01_日次入力'!$A$5:$A$99,"&gt;="&amp;$A14,'01_日次入力'!$A$5:$A$99,"&lt;"&amp;$A14+7,'01_日次入力'!$B$5:$B$99,$B14)</f>
        <v/>
      </c>
      <c r="E14" s="19">
        <f>SUMIFS('01_日次入力'!$E$5:$E$99,'01_日次入力'!$A$5:$A$99,"&gt;="&amp;$A14,'01_日次入力'!$A$5:$A$99,"&lt;"&amp;$A14+7,'01_日次入力'!$B$5:$B$99,$B14)</f>
        <v/>
      </c>
      <c r="F14" s="19">
        <f>SUMIFS('01_日次入力'!$F$5:$F$99,'01_日次入力'!$A$5:$A$99,"&gt;="&amp;$A14,'01_日次入力'!$A$5:$A$99,"&lt;"&amp;$A14+7,'01_日次入力'!$B$5:$B$99,$B14)</f>
        <v/>
      </c>
      <c r="G14" s="19">
        <f>SUMIFS('01_日次入力'!$G$5:$G$99,'01_日次入力'!$A$5:$A$99,"&gt;="&amp;$A14,'01_日次入力'!$A$5:$A$99,"&lt;"&amp;$A14+7,'01_日次入力'!$B$5:$B$99,$B14)</f>
        <v/>
      </c>
      <c r="H14" s="19">
        <f>SUMIFS('01_日次入力'!$I$5:$I$99,'01_日次入力'!$A$5:$A$99,"&gt;="&amp;$A14,'01_日次入力'!$A$5:$A$99,"&lt;"&amp;$A14+7,'01_日次入力'!$B$5:$B$99,$B14)</f>
        <v/>
      </c>
      <c r="I14" s="18">
        <f>IF($C14=0,"",$E14/$C14)</f>
        <v/>
      </c>
      <c r="J14" s="18">
        <f>IF($E14=0,"",$F14/$E14)</f>
        <v/>
      </c>
      <c r="K14" s="18">
        <f>IF($C14=0,"",$F14/$C14)</f>
        <v/>
      </c>
      <c r="L14" s="19">
        <f>IF($F14=0,"",$H14/$F14)</f>
        <v/>
      </c>
      <c r="M14" s="18">
        <f>IF($G14=0,"",$H14/$G14)</f>
        <v/>
      </c>
      <c r="N14" s="26">
        <f>IF($K14="","",IF($K14&gt;='00_設定'!$B$12,"◎",IF($K14&gt;='00_設定'!$B$13,"○",IF($K14&gt;=0.002,"▲","✕"))))</f>
        <v/>
      </c>
    </row>
    <row r="15">
      <c r="A15" s="28" t="n">
        <v>46265</v>
      </c>
      <c r="B15" s="29" t="inlineStr">
        <is>
          <t>自社EC</t>
        </is>
      </c>
      <c r="C15" s="19">
        <f>SUMIFS('01_日次入力'!$C$5:$C$99,'01_日次入力'!$A$5:$A$99,"&gt;="&amp;$A15,'01_日次入力'!$A$5:$A$99,"&lt;"&amp;$A15+7,'01_日次入力'!$B$5:$B$99,$B15)</f>
        <v/>
      </c>
      <c r="D15" s="19">
        <f>SUMIFS('01_日次入力'!$D$5:$D$99,'01_日次入力'!$A$5:$A$99,"&gt;="&amp;$A15,'01_日次入力'!$A$5:$A$99,"&lt;"&amp;$A15+7,'01_日次入力'!$B$5:$B$99,$B15)</f>
        <v/>
      </c>
      <c r="E15" s="19">
        <f>SUMIFS('01_日次入力'!$E$5:$E$99,'01_日次入力'!$A$5:$A$99,"&gt;="&amp;$A15,'01_日次入力'!$A$5:$A$99,"&lt;"&amp;$A15+7,'01_日次入力'!$B$5:$B$99,$B15)</f>
        <v/>
      </c>
      <c r="F15" s="19">
        <f>SUMIFS('01_日次入力'!$F$5:$F$99,'01_日次入力'!$A$5:$A$99,"&gt;="&amp;$A15,'01_日次入力'!$A$5:$A$99,"&lt;"&amp;$A15+7,'01_日次入力'!$B$5:$B$99,$B15)</f>
        <v/>
      </c>
      <c r="G15" s="19">
        <f>SUMIFS('01_日次入力'!$G$5:$G$99,'01_日次入力'!$A$5:$A$99,"&gt;="&amp;$A15,'01_日次入力'!$A$5:$A$99,"&lt;"&amp;$A15+7,'01_日次入力'!$B$5:$B$99,$B15)</f>
        <v/>
      </c>
      <c r="H15" s="19">
        <f>SUMIFS('01_日次入力'!$I$5:$I$99,'01_日次入力'!$A$5:$A$99,"&gt;="&amp;$A15,'01_日次入力'!$A$5:$A$99,"&lt;"&amp;$A15+7,'01_日次入力'!$B$5:$B$99,$B15)</f>
        <v/>
      </c>
      <c r="I15" s="18">
        <f>IF($C15=0,"",$E15/$C15)</f>
        <v/>
      </c>
      <c r="J15" s="18">
        <f>IF($E15=0,"",$F15/$E15)</f>
        <v/>
      </c>
      <c r="K15" s="18">
        <f>IF($C15=0,"",$F15/$C15)</f>
        <v/>
      </c>
      <c r="L15" s="19">
        <f>IF($F15=0,"",$H15/$F15)</f>
        <v/>
      </c>
      <c r="M15" s="18">
        <f>IF($G15=0,"",$H15/$G15)</f>
        <v/>
      </c>
      <c r="N15" s="26">
        <f>IF($K15="","",IF($K15&gt;='00_設定'!$B$12,"◎",IF($K15&gt;='00_設定'!$B$13,"○",IF($K15&gt;=0.002,"▲","✕"))))</f>
        <v/>
      </c>
    </row>
    <row r="17">
      <c r="A17" s="28" t="n">
        <v>46258</v>
      </c>
      <c r="B17" s="29" t="inlineStr">
        <is>
          <t>NAVER</t>
        </is>
      </c>
      <c r="C17" s="19">
        <f>SUMIFS('01_日次入力'!$C$5:$C$99,'01_日次入力'!$A$5:$A$99,"&gt;="&amp;$A17,'01_日次入力'!$A$5:$A$99,"&lt;"&amp;$A17+7,'01_日次入力'!$B$5:$B$99,$B17)</f>
        <v/>
      </c>
      <c r="D17" s="19">
        <f>SUMIFS('01_日次入力'!$D$5:$D$99,'01_日次入力'!$A$5:$A$99,"&gt;="&amp;$A17,'01_日次入力'!$A$5:$A$99,"&lt;"&amp;$A17+7,'01_日次入力'!$B$5:$B$99,$B17)</f>
        <v/>
      </c>
      <c r="E17" s="19">
        <f>SUMIFS('01_日次入力'!$E$5:$E$99,'01_日次入力'!$A$5:$A$99,"&gt;="&amp;$A17,'01_日次入力'!$A$5:$A$99,"&lt;"&amp;$A17+7,'01_日次入力'!$B$5:$B$99,$B17)</f>
        <v/>
      </c>
      <c r="F17" s="19">
        <f>SUMIFS('01_日次入力'!$F$5:$F$99,'01_日次入力'!$A$5:$A$99,"&gt;="&amp;$A17,'01_日次入力'!$A$5:$A$99,"&lt;"&amp;$A17+7,'01_日次入力'!$B$5:$B$99,$B17)</f>
        <v/>
      </c>
      <c r="G17" s="19">
        <f>SUMIFS('01_日次入力'!$G$5:$G$99,'01_日次入力'!$A$5:$A$99,"&gt;="&amp;$A17,'01_日次入力'!$A$5:$A$99,"&lt;"&amp;$A17+7,'01_日次入力'!$B$5:$B$99,$B17)</f>
        <v/>
      </c>
      <c r="H17" s="19">
        <f>SUMIFS('01_日次入力'!$I$5:$I$99,'01_日次入力'!$A$5:$A$99,"&gt;="&amp;$A17,'01_日次入力'!$A$5:$A$99,"&lt;"&amp;$A17+7,'01_日次入力'!$B$5:$B$99,$B17)</f>
        <v/>
      </c>
      <c r="I17" s="18">
        <f>IF($C17=0,"",$E17/$C17)</f>
        <v/>
      </c>
      <c r="J17" s="18">
        <f>IF($E17=0,"",$F17/$E17)</f>
        <v/>
      </c>
      <c r="K17" s="18">
        <f>IF($C17=0,"",$F17/$C17)</f>
        <v/>
      </c>
      <c r="L17" s="19">
        <f>IF($F17=0,"",$H17/$F17)</f>
        <v/>
      </c>
      <c r="M17" s="18">
        <f>IF($G17=0,"",$H17/$G17)</f>
        <v/>
      </c>
      <c r="N17" s="26">
        <f>IF($K17="","",IF($K17&gt;='00_設定'!$B$12,"◎",IF($K17&gt;='00_設定'!$B$13,"○",IF($K17&gt;=0.002,"▲","✕"))))</f>
        <v/>
      </c>
    </row>
    <row r="18">
      <c r="A18" s="28" t="n">
        <v>46258</v>
      </c>
      <c r="B18" s="29" t="inlineStr">
        <is>
          <t>Coupang</t>
        </is>
      </c>
      <c r="C18" s="19">
        <f>SUMIFS('01_日次入力'!$C$5:$C$99,'01_日次入力'!$A$5:$A$99,"&gt;="&amp;$A18,'01_日次入力'!$A$5:$A$99,"&lt;"&amp;$A18+7,'01_日次入力'!$B$5:$B$99,$B18)</f>
        <v/>
      </c>
      <c r="D18" s="19">
        <f>SUMIFS('01_日次入力'!$D$5:$D$99,'01_日次入力'!$A$5:$A$99,"&gt;="&amp;$A18,'01_日次入力'!$A$5:$A$99,"&lt;"&amp;$A18+7,'01_日次入力'!$B$5:$B$99,$B18)</f>
        <v/>
      </c>
      <c r="E18" s="19">
        <f>SUMIFS('01_日次入力'!$E$5:$E$99,'01_日次入力'!$A$5:$A$99,"&gt;="&amp;$A18,'01_日次入力'!$A$5:$A$99,"&lt;"&amp;$A18+7,'01_日次入力'!$B$5:$B$99,$B18)</f>
        <v/>
      </c>
      <c r="F18" s="19">
        <f>SUMIFS('01_日次入力'!$F$5:$F$99,'01_日次入力'!$A$5:$A$99,"&gt;="&amp;$A18,'01_日次入力'!$A$5:$A$99,"&lt;"&amp;$A18+7,'01_日次入力'!$B$5:$B$99,$B18)</f>
        <v/>
      </c>
      <c r="G18" s="19">
        <f>SUMIFS('01_日次入力'!$G$5:$G$99,'01_日次入力'!$A$5:$A$99,"&gt;="&amp;$A18,'01_日次入力'!$A$5:$A$99,"&lt;"&amp;$A18+7,'01_日次入力'!$B$5:$B$99,$B18)</f>
        <v/>
      </c>
      <c r="H18" s="19">
        <f>SUMIFS('01_日次入力'!$I$5:$I$99,'01_日次入力'!$A$5:$A$99,"&gt;="&amp;$A18,'01_日次入力'!$A$5:$A$99,"&lt;"&amp;$A18+7,'01_日次入力'!$B$5:$B$99,$B18)</f>
        <v/>
      </c>
      <c r="I18" s="18">
        <f>IF($C18=0,"",$E18/$C18)</f>
        <v/>
      </c>
      <c r="J18" s="18">
        <f>IF($E18=0,"",$F18/$E18)</f>
        <v/>
      </c>
      <c r="K18" s="18">
        <f>IF($C18=0,"",$F18/$C18)</f>
        <v/>
      </c>
      <c r="L18" s="19">
        <f>IF($F18=0,"",$H18/$F18)</f>
        <v/>
      </c>
      <c r="M18" s="18">
        <f>IF($G18=0,"",$H18/$G18)</f>
        <v/>
      </c>
      <c r="N18" s="26">
        <f>IF($K18="","",IF($K18&gt;='00_設定'!$B$12,"◎",IF($K18&gt;='00_設定'!$B$13,"○",IF($K18&gt;=0.002,"▲","✕"))))</f>
        <v/>
      </c>
    </row>
    <row r="19">
      <c r="A19" s="28" t="n">
        <v>46258</v>
      </c>
      <c r="B19" s="29" t="inlineStr">
        <is>
          <t>自社EC</t>
        </is>
      </c>
      <c r="C19" s="19">
        <f>SUMIFS('01_日次入力'!$C$5:$C$99,'01_日次入力'!$A$5:$A$99,"&gt;="&amp;$A19,'01_日次入力'!$A$5:$A$99,"&lt;"&amp;$A19+7,'01_日次入力'!$B$5:$B$99,$B19)</f>
        <v/>
      </c>
      <c r="D19" s="19">
        <f>SUMIFS('01_日次入力'!$D$5:$D$99,'01_日次入力'!$A$5:$A$99,"&gt;="&amp;$A19,'01_日次入力'!$A$5:$A$99,"&lt;"&amp;$A19+7,'01_日次入力'!$B$5:$B$99,$B19)</f>
        <v/>
      </c>
      <c r="E19" s="19">
        <f>SUMIFS('01_日次入力'!$E$5:$E$99,'01_日次入力'!$A$5:$A$99,"&gt;="&amp;$A19,'01_日次入力'!$A$5:$A$99,"&lt;"&amp;$A19+7,'01_日次入力'!$B$5:$B$99,$B19)</f>
        <v/>
      </c>
      <c r="F19" s="19">
        <f>SUMIFS('01_日次入力'!$F$5:$F$99,'01_日次入力'!$A$5:$A$99,"&gt;="&amp;$A19,'01_日次入力'!$A$5:$A$99,"&lt;"&amp;$A19+7,'01_日次入力'!$B$5:$B$99,$B19)</f>
        <v/>
      </c>
      <c r="G19" s="19">
        <f>SUMIFS('01_日次入力'!$G$5:$G$99,'01_日次入力'!$A$5:$A$99,"&gt;="&amp;$A19,'01_日次入力'!$A$5:$A$99,"&lt;"&amp;$A19+7,'01_日次入力'!$B$5:$B$99,$B19)</f>
        <v/>
      </c>
      <c r="H19" s="19">
        <f>SUMIFS('01_日次入力'!$I$5:$I$99,'01_日次入力'!$A$5:$A$99,"&gt;="&amp;$A19,'01_日次入力'!$A$5:$A$99,"&lt;"&amp;$A19+7,'01_日次入力'!$B$5:$B$99,$B19)</f>
        <v/>
      </c>
      <c r="I19" s="18">
        <f>IF($C19=0,"",$E19/$C19)</f>
        <v/>
      </c>
      <c r="J19" s="18">
        <f>IF($E19=0,"",$F19/$E19)</f>
        <v/>
      </c>
      <c r="K19" s="18">
        <f>IF($C19=0,"",$F19/$C19)</f>
        <v/>
      </c>
      <c r="L19" s="19">
        <f>IF($F19=0,"",$H19/$F19)</f>
        <v/>
      </c>
      <c r="M19" s="18">
        <f>IF($G19=0,"",$H19/$G19)</f>
        <v/>
      </c>
      <c r="N19" s="26">
        <f>IF($K19="","",IF($K19&gt;='00_設定'!$B$12,"◎",IF($K19&gt;='00_設定'!$B$13,"○",IF($K19&gt;=0.002,"▲","✕"))))</f>
        <v/>
      </c>
    </row>
    <row r="21">
      <c r="A21" s="3" t="inlineStr">
        <is>
          <t>注記</t>
        </is>
      </c>
    </row>
    <row r="22">
      <c r="A22" s="2" t="inlineStr">
        <is>
          <t>黄色セル（週開始日・チャネル）を書き換えれば、任意の週を集計できます。週開始日は月曜を推奨。</t>
        </is>
      </c>
    </row>
    <row r="23">
      <c r="A23" s="2" t="inlineStr">
        <is>
          <t>在庫切れの週は転換率が実力を表しません。01_日次入力 のH列（在庫状態）を確認してから判断してください。</t>
        </is>
      </c>
    </row>
  </sheetData>
  <mergeCells count="5">
    <mergeCell ref="A22:N22"/>
    <mergeCell ref="A21:N21"/>
    <mergeCell ref="A2:N2"/>
    <mergeCell ref="A23:N2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0" customWidth="1" min="10" max="10"/>
    <col width="44" customWidth="1" min="11" max="11"/>
  </cols>
  <sheetData>
    <row r="1">
      <c r="A1" s="30" t="inlineStr">
        <is>
          <t>既存実績の比較とファネル分解</t>
        </is>
      </c>
    </row>
    <row r="2">
      <c r="A2" s="2" t="inlineStr">
        <is>
          <t>ご提出の「NAVER・Coupang 期間別実績比較」に、カート率とカート→注文率を追加して分解したものです。</t>
        </is>
      </c>
    </row>
    <row r="4">
      <c r="A4" s="4" t="inlineStr">
        <is>
          <t>チャネル</t>
        </is>
      </c>
      <c r="B4" s="4" t="inlineStr">
        <is>
          <t>期間</t>
        </is>
      </c>
      <c r="C4" s="4" t="inlineStr">
        <is>
          <t>日数</t>
        </is>
      </c>
      <c r="D4" s="4" t="inlineStr">
        <is>
          <t>訪問者数</t>
        </is>
      </c>
      <c r="E4" s="4" t="inlineStr">
        <is>
          <t>カート追加</t>
        </is>
      </c>
      <c r="F4" s="4" t="inlineStr">
        <is>
          <t>注文数</t>
        </is>
      </c>
      <c r="G4" s="4" t="inlineStr">
        <is>
          <t>カート率</t>
        </is>
      </c>
      <c r="H4" s="4" t="inlineStr">
        <is>
          <t>カート→注文</t>
        </is>
      </c>
      <c r="I4" s="4" t="inlineStr">
        <is>
          <t>購入転換率</t>
        </is>
      </c>
      <c r="J4" s="4" t="inlineStr">
        <is>
          <t>判定</t>
        </is>
      </c>
      <c r="K4" s="4" t="inlineStr">
        <is>
          <t>備考</t>
        </is>
      </c>
    </row>
    <row r="5">
      <c r="A5" s="5" t="inlineStr">
        <is>
          <t>NAVERスマートストア</t>
        </is>
      </c>
      <c r="B5" s="5" t="inlineStr">
        <is>
          <t>2026.07.19 〜 2026.08.18</t>
        </is>
      </c>
      <c r="C5" s="19" t="n">
        <v>31</v>
      </c>
      <c r="D5" s="19" t="n">
        <v>8383</v>
      </c>
      <c r="E5" s="19" t="n"/>
      <c r="F5" s="19" t="n">
        <v>21</v>
      </c>
      <c r="G5" s="18">
        <f>IF($E5="","",$E5/$D5)</f>
        <v/>
      </c>
      <c r="H5" s="32">
        <f>IF(OR($E5="",$E5=0),"",$F5/$E5)</f>
        <v/>
      </c>
      <c r="I5" s="33">
        <f>$F5/$D5</f>
        <v>0.0025050697840868423</v>
      </c>
      <c r="J5" s="34">
        <f>IF($I5&gt;='00_設定'!$B$12,"◎",IF($I5&gt;='00_設定'!$B$13,"○",IF($I5&gt;=0.002,"▲","✕")))</f>
        <v/>
      </c>
      <c r="K5" s="7" t="inlineStr">
        <is>
          <t>テスト購入（仮購入）が一部含まれ、実績より高く出ています</t>
        </is>
      </c>
    </row>
    <row r="6">
      <c r="A6" s="5" t="inlineStr">
        <is>
          <t>NAVERスマートストア</t>
        </is>
      </c>
      <c r="B6" s="5" t="inlineStr">
        <is>
          <t>2026.08.19 〜 2026.09.17</t>
        </is>
      </c>
      <c r="C6" s="19" t="n">
        <v>30</v>
      </c>
      <c r="D6" s="19" t="n">
        <v>15000</v>
      </c>
      <c r="E6" s="19" t="n"/>
      <c r="F6" s="19" t="n">
        <v>8</v>
      </c>
      <c r="G6" s="18">
        <f>IF($E6="","",$E6/$D6)</f>
        <v/>
      </c>
      <c r="H6" s="32">
        <f>IF(OR($E6="",$E6=0),"",$F6/$E6)</f>
        <v/>
      </c>
      <c r="I6" s="35">
        <f>$F6/$D6</f>
        <v>0.0005333333333333334</v>
      </c>
      <c r="J6" s="34">
        <f>IF($I6&gt;='00_設定'!$B$12,"◎",IF($I6&gt;='00_設定'!$B$13,"○",IF($I6&gt;=0.002,"▲","✕")))</f>
        <v/>
      </c>
      <c r="K6" s="7" t="inlineStr">
        <is>
          <t>通常の集計基準</t>
        </is>
      </c>
    </row>
    <row r="7">
      <c r="A7" s="5" t="inlineStr">
        <is>
          <t>Coupang</t>
        </is>
      </c>
      <c r="B7" s="5" t="inlineStr">
        <is>
          <t>2026.07.17 〜 2026.08.18</t>
        </is>
      </c>
      <c r="C7" s="19" t="n">
        <v>33</v>
      </c>
      <c r="D7" s="19" t="n">
        <v>1311</v>
      </c>
      <c r="E7" s="19" t="n">
        <v>152</v>
      </c>
      <c r="F7" s="19" t="n">
        <v>5</v>
      </c>
      <c r="G7" s="18">
        <f>IF($E7="","",$E7/$D7)</f>
        <v>0.11594202898550725</v>
      </c>
      <c r="H7" s="32">
        <f>IF(OR($E7="",$E7=0),"",$F7/$E7)</f>
        <v>0.03289473684210526</v>
      </c>
      <c r="I7" s="33">
        <f>$F7/$D7</f>
        <v>0.0038138825324180014</v>
      </c>
      <c r="J7" s="34">
        <f>IF($I7&gt;='00_設定'!$B$12,"◎",IF($I7&gt;='00_設定'!$B$13,"○",IF($I7&gt;=0.002,"▲","✕")))</f>
        <v/>
      </c>
      <c r="K7" s="7" t="inlineStr"/>
    </row>
    <row r="8">
      <c r="A8" s="5" t="inlineStr">
        <is>
          <t>Coupang</t>
        </is>
      </c>
      <c r="B8" s="5" t="inlineStr">
        <is>
          <t>2026.08.17 〜 2026.09.18</t>
        </is>
      </c>
      <c r="C8" s="19" t="n">
        <v>33</v>
      </c>
      <c r="D8" s="19" t="n">
        <v>1185</v>
      </c>
      <c r="E8" s="19" t="n">
        <v>153</v>
      </c>
      <c r="F8" s="19" t="n">
        <v>1</v>
      </c>
      <c r="G8" s="18">
        <f>IF($E8="","",$E8/$D8)</f>
        <v>0.1291139240506329</v>
      </c>
      <c r="H8" s="32">
        <f>IF(OR($E8="",$E8=0),"",$F8/$E8)</f>
        <v>0.006535947712418301</v>
      </c>
      <c r="I8" s="35">
        <f>$F8/$D8</f>
        <v>0.0008438818565400844</v>
      </c>
      <c r="J8" s="34">
        <f>IF($I8&gt;='00_設定'!$B$12,"◎",IF($I8&gt;='00_設定'!$B$13,"○",IF($I8&gt;=0.002,"▲","✕")))</f>
        <v/>
      </c>
      <c r="K8" s="7" t="inlineStr">
        <is>
          <t>在庫がほとんど無く、購入につながりにくかったと推定</t>
        </is>
      </c>
    </row>
    <row r="10">
      <c r="A10" s="3" t="inlineStr">
        <is>
          <t>ここから読み取れること</t>
        </is>
      </c>
    </row>
    <row r="11">
      <c r="A11" s="36" t="inlineStr">
        <is>
          <t>① NAVER：訪問者は 8,383 → 15,000 と 1.8倍に増えたのに、注文は 21 → 8 に減っています。集客は増えているのに買われていない状態です（前期はテスト購入を含むため、実際の落ち込みはこれより小さい可能性があります）。</t>
        </is>
      </c>
    </row>
    <row r="12">
      <c r="A12" s="36" t="inlineStr">
        <is>
          <t>② Coupang：訪問→カートは 11.6% → 12.9% と健全な水準を維持しています。落ちたのは カート→注文で、3.29% → 0.65% と約5分の1になりました。</t>
        </is>
      </c>
    </row>
    <row r="13">
      <c r="A13" s="36" t="inlineStr">
        <is>
          <t>③ つまり Coupang は「興味は持たれているが、買う直前で止まっている」状態です。在庫切れが主因という見立てと整合します。在庫を戻した後に カート→注文 が回復するかが、需要があるかどうかの答えになります。</t>
        </is>
      </c>
    </row>
    <row r="14">
      <c r="A14" s="36" t="inlineStr">
        <is>
          <t>④ NAVERはカート追加が記録されていないため、①が「集客の質」の問題か「買う直前」の問題かを切り分けられません。今後はカート追加を必ず記録してください。</t>
        </is>
      </c>
    </row>
    <row r="16">
      <c r="A16" s="3" t="inlineStr">
        <is>
          <t>次に測るべきこと（在庫を戻した後）</t>
        </is>
      </c>
    </row>
    <row r="17">
      <c r="A17" s="4" t="inlineStr">
        <is>
          <t>優先</t>
        </is>
      </c>
      <c r="B17" s="4" t="inlineStr">
        <is>
          <t>指標</t>
        </is>
      </c>
      <c r="C17" s="4" t="inlineStr">
        <is>
          <t>現在</t>
        </is>
      </c>
      <c r="D17" s="4" t="inlineStr">
        <is>
          <t>回復の合格ライン</t>
        </is>
      </c>
      <c r="E17" s="4" t="inlineStr">
        <is>
          <t>いつ判断するか</t>
        </is>
      </c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5" t="inlineStr">
        <is>
          <t>1</t>
        </is>
      </c>
      <c r="B18" s="5" t="inlineStr">
        <is>
          <t>Coupang カート→注文率</t>
        </is>
      </c>
      <c r="C18" s="5" t="inlineStr">
        <is>
          <t>0.65%</t>
        </is>
      </c>
      <c r="D18" s="5" t="inlineStr">
        <is>
          <t>5%以上</t>
        </is>
      </c>
      <c r="E18" s="5" t="inlineStr">
        <is>
          <t>在庫再登録から14日</t>
        </is>
      </c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5" t="inlineStr">
        <is>
          <t>2</t>
        </is>
      </c>
      <c r="B19" s="5" t="inlineStr">
        <is>
          <t>NAVER カート率</t>
        </is>
      </c>
      <c r="C19" s="5" t="inlineStr">
        <is>
          <t>未計測</t>
        </is>
      </c>
      <c r="D19" s="5" t="inlineStr">
        <is>
          <t>6%以上</t>
        </is>
      </c>
      <c r="E19" s="5" t="inlineStr">
        <is>
          <t>記録開始から14日</t>
        </is>
      </c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s="5" t="inlineStr">
        <is>
          <t>3</t>
        </is>
      </c>
      <c r="B20" s="5" t="inlineStr">
        <is>
          <t>NAVER 購入転換率</t>
        </is>
      </c>
      <c r="C20" s="5" t="inlineStr">
        <is>
          <t>0.053%</t>
        </is>
      </c>
      <c r="D20" s="5" t="inlineStr">
        <is>
          <t>0.5%以上</t>
        </is>
      </c>
      <c r="E20" s="5" t="inlineStr">
        <is>
          <t>広告再開から30日</t>
        </is>
      </c>
      <c r="F20" s="5" t="inlineStr"/>
      <c r="G20" s="5" t="inlineStr"/>
      <c r="H20" s="5" t="inlineStr"/>
      <c r="I20" s="5" t="inlineStr"/>
      <c r="J20" s="5" t="inlineStr"/>
      <c r="K20" s="5" t="inlineStr"/>
    </row>
    <row r="21">
      <c r="A21" s="5" t="inlineStr">
        <is>
          <t>4</t>
        </is>
      </c>
      <c r="B21" s="5" t="inlineStr">
        <is>
          <t>メタ広告 CPA</t>
        </is>
      </c>
      <c r="C21" s="5" t="inlineStr">
        <is>
          <t>未計測</t>
        </is>
      </c>
      <c r="D21" s="5" t="inlineStr">
        <is>
          <t>54,545W(¥6,000)以下</t>
        </is>
      </c>
      <c r="E21" s="5" t="inlineStr">
        <is>
          <t>出稿開始から30日</t>
        </is>
      </c>
      <c r="F21" s="5" t="inlineStr"/>
      <c r="G21" s="5" t="inlineStr"/>
      <c r="H21" s="5" t="inlineStr"/>
      <c r="I21" s="5" t="inlineStr"/>
      <c r="J21" s="5" t="inlineStr"/>
      <c r="K21" s="5" t="inlineStr"/>
    </row>
  </sheetData>
  <mergeCells count="8">
    <mergeCell ref="A12:K12"/>
    <mergeCell ref="A2:K2"/>
    <mergeCell ref="A11:K11"/>
    <mergeCell ref="A16:K16"/>
    <mergeCell ref="A10:K10"/>
    <mergeCell ref="A13:K13"/>
    <mergeCell ref="A14:K14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6" customWidth="1" min="5" max="5"/>
    <col width="58" customWidth="1" min="6" max="6"/>
  </cols>
  <sheetData>
    <row r="1">
      <c r="A1" s="24" t="inlineStr">
        <is>
          <t>設定と判定基準</t>
        </is>
      </c>
    </row>
    <row r="2">
      <c r="A2" s="2" t="inlineStr">
        <is>
          <t>黄色セルが入力欄。ここを変えると全シートの判定が変わります。通貨は韓国ウォン（W）、円は参考表示。</t>
        </is>
      </c>
    </row>
    <row r="4">
      <c r="A4" s="3" t="inlineStr">
        <is>
          <t>為替・単価</t>
        </is>
      </c>
    </row>
    <row r="5">
      <c r="A5" s="4" t="inlineStr">
        <is>
          <t>項目</t>
        </is>
      </c>
      <c r="B5" s="4" t="inlineStr">
        <is>
          <t>値</t>
        </is>
      </c>
      <c r="C5" s="4" t="inlineStr">
        <is>
          <t>単位</t>
        </is>
      </c>
      <c r="D5" s="4" t="inlineStr">
        <is>
          <t>円換算</t>
        </is>
      </c>
      <c r="E5" s="4" t="inlineStr"/>
      <c r="F5" s="4" t="inlineStr"/>
    </row>
    <row r="6">
      <c r="A6" s="5" t="inlineStr">
        <is>
          <t>為替レート</t>
        </is>
      </c>
      <c r="B6" s="6" t="n">
        <v>0.11</v>
      </c>
      <c r="C6" s="5" t="inlineStr">
        <is>
          <t>円/W</t>
        </is>
      </c>
      <c r="D6" s="5" t="inlineStr"/>
      <c r="E6" s="5" t="inlineStr"/>
      <c r="F6" s="7" t="inlineStr">
        <is>
          <t>実レートで更新</t>
        </is>
      </c>
    </row>
    <row r="7">
      <c r="A7" s="5" t="inlineStr">
        <is>
          <t>想定客単価</t>
        </is>
      </c>
      <c r="B7" s="8" t="n">
        <v>272727</v>
      </c>
      <c r="C7" s="5" t="inlineStr">
        <is>
          <t>W</t>
        </is>
      </c>
      <c r="D7" s="9">
        <f>B7*$B$6</f>
        <v>29999.97</v>
      </c>
      <c r="E7" s="5" t="inlineStr"/>
      <c r="F7" s="7" t="inlineStr">
        <is>
          <t>社内基準の客単価3万円</t>
        </is>
      </c>
    </row>
    <row r="8">
      <c r="A8" s="5" t="inlineStr">
        <is>
          <t>目標CPA</t>
        </is>
      </c>
      <c r="B8" s="8" t="n">
        <v>40909</v>
      </c>
      <c r="C8" s="5" t="inlineStr">
        <is>
          <t>W</t>
        </is>
      </c>
      <c r="D8" s="9">
        <f>B8*$B$6</f>
        <v>4499.99</v>
      </c>
      <c r="E8" s="5" t="inlineStr"/>
      <c r="F8" s="7" t="inlineStr">
        <is>
          <t>客単価×15%</t>
        </is>
      </c>
    </row>
    <row r="9">
      <c r="A9" s="5" t="inlineStr">
        <is>
          <t>許容CPA上限</t>
        </is>
      </c>
      <c r="B9" s="8" t="n">
        <v>54545</v>
      </c>
      <c r="C9" s="5" t="inlineStr">
        <is>
          <t>W</t>
        </is>
      </c>
      <c r="D9" s="9">
        <f>B9*$B$6</f>
        <v>5999.95</v>
      </c>
      <c r="E9" s="5" t="inlineStr"/>
      <c r="F9" s="7" t="inlineStr">
        <is>
          <t>客単価×20%</t>
        </is>
      </c>
    </row>
    <row r="10">
      <c r="A10" s="5" t="inlineStr">
        <is>
          <t>目標 広告費率</t>
        </is>
      </c>
      <c r="B10" s="10" t="n">
        <v>0.15</v>
      </c>
      <c r="C10" s="5" t="inlineStr">
        <is>
          <t>—</t>
        </is>
      </c>
      <c r="D10" s="5" t="inlineStr"/>
      <c r="E10" s="5" t="inlineStr"/>
      <c r="F10" s="7" t="inlineStr">
        <is>
          <t>広告費 ÷ 売上</t>
        </is>
      </c>
    </row>
    <row r="11">
      <c r="A11" s="5" t="inlineStr">
        <is>
          <t>許容 広告費率</t>
        </is>
      </c>
      <c r="B11" s="10" t="n">
        <v>0.2</v>
      </c>
      <c r="C11" s="5" t="inlineStr">
        <is>
          <t>—</t>
        </is>
      </c>
      <c r="D11" s="5" t="inlineStr"/>
      <c r="E11" s="5" t="inlineStr"/>
      <c r="F11" s="7" t="inlineStr"/>
    </row>
    <row r="12">
      <c r="A12" s="5" t="inlineStr">
        <is>
          <t>目標 購入転換率</t>
        </is>
      </c>
      <c r="B12" s="10" t="n">
        <v>0.01</v>
      </c>
      <c r="C12" s="5" t="inlineStr">
        <is>
          <t>—</t>
        </is>
      </c>
      <c r="D12" s="5" t="inlineStr"/>
      <c r="E12" s="5" t="inlineStr"/>
      <c r="F12" s="7" t="inlineStr">
        <is>
          <t>1.0%。実績は0.05〜0.38%</t>
        </is>
      </c>
    </row>
    <row r="13">
      <c r="A13" s="5" t="inlineStr">
        <is>
          <t>最低ライン 購入転換率</t>
        </is>
      </c>
      <c r="B13" s="10" t="n">
        <v>0.005</v>
      </c>
      <c r="C13" s="5" t="inlineStr">
        <is>
          <t>—</t>
        </is>
      </c>
      <c r="D13" s="5" t="inlineStr"/>
      <c r="E13" s="5" t="inlineStr"/>
      <c r="F13" s="7" t="inlineStr">
        <is>
          <t>0.5%</t>
        </is>
      </c>
    </row>
    <row r="14">
      <c r="A14" s="5" t="inlineStr">
        <is>
          <t>目標 カート率</t>
        </is>
      </c>
      <c r="B14" s="10" t="n">
        <v>0.1</v>
      </c>
      <c r="C14" s="5" t="inlineStr">
        <is>
          <t>—</t>
        </is>
      </c>
      <c r="D14" s="5" t="inlineStr"/>
      <c r="E14" s="5" t="inlineStr"/>
      <c r="F14" s="7" t="inlineStr">
        <is>
          <t>訪問→カート。Coupang実績12.9%</t>
        </is>
      </c>
    </row>
    <row r="15">
      <c r="A15" s="5" t="inlineStr">
        <is>
          <t>目標 カート→注文率</t>
        </is>
      </c>
      <c r="B15" s="10" t="n">
        <v>0.2</v>
      </c>
      <c r="C15" s="5" t="inlineStr">
        <is>
          <t>—</t>
        </is>
      </c>
      <c r="D15" s="5" t="inlineStr"/>
      <c r="E15" s="5" t="inlineStr"/>
      <c r="F15" s="7" t="inlineStr">
        <is>
          <t>Coupang実績は0.65%まで低下</t>
        </is>
      </c>
    </row>
    <row r="16">
      <c r="A16" s="5" t="inlineStr">
        <is>
          <t>目標 CTR</t>
        </is>
      </c>
      <c r="B16" s="10" t="n">
        <v>0.012</v>
      </c>
      <c r="C16" s="5" t="inlineStr">
        <is>
          <t>—</t>
        </is>
      </c>
      <c r="D16" s="5" t="inlineStr"/>
      <c r="E16" s="5" t="inlineStr"/>
      <c r="F16" s="7" t="inlineStr">
        <is>
          <t>メタ広告</t>
        </is>
      </c>
    </row>
    <row r="17">
      <c r="A17" s="5" t="inlineStr">
        <is>
          <t>目標 LP到達率</t>
        </is>
      </c>
      <c r="B17" s="10" t="n">
        <v>0.9</v>
      </c>
      <c r="C17" s="5" t="inlineStr">
        <is>
          <t>—</t>
        </is>
      </c>
      <c r="D17" s="5" t="inlineStr"/>
      <c r="E17" s="5" t="inlineStr"/>
      <c r="F17" s="7" t="inlineStr">
        <is>
          <t>クリック→LPビュー</t>
        </is>
      </c>
    </row>
    <row r="19">
      <c r="A19" s="3" t="inlineStr">
        <is>
          <t>判定の読み方</t>
        </is>
      </c>
    </row>
    <row r="20">
      <c r="A20" s="4" t="inlineStr">
        <is>
          <t>指標</t>
        </is>
      </c>
      <c r="B20" s="4" t="inlineStr">
        <is>
          <t>◎ 良好</t>
        </is>
      </c>
      <c r="C20" s="4" t="inlineStr">
        <is>
          <t>○ 許容</t>
        </is>
      </c>
      <c r="D20" s="4" t="inlineStr">
        <is>
          <t>▲ 要注意</t>
        </is>
      </c>
      <c r="E20" s="4" t="inlineStr">
        <is>
          <t>✕ 停止ライン</t>
        </is>
      </c>
      <c r="F20" s="4" t="inlineStr">
        <is>
          <t>見るポイント</t>
        </is>
      </c>
    </row>
    <row r="21">
      <c r="A21" s="5" t="inlineStr">
        <is>
          <t>購入転換率</t>
        </is>
      </c>
      <c r="B21" s="11" t="inlineStr">
        <is>
          <t>1.0%以上</t>
        </is>
      </c>
      <c r="C21" s="5" t="inlineStr">
        <is>
          <t>0.5%以上</t>
        </is>
      </c>
      <c r="D21" s="12" t="inlineStr">
        <is>
          <t>0.2%以上</t>
        </is>
      </c>
      <c r="E21" s="13" t="inlineStr">
        <is>
          <t>0.2%未満</t>
        </is>
      </c>
      <c r="F21" s="5" t="inlineStr">
        <is>
          <t>訪問が増えても注文が増えないなら商品ページの問題</t>
        </is>
      </c>
    </row>
    <row r="22">
      <c r="A22" s="5" t="inlineStr">
        <is>
          <t>カート率（訪問→カート）</t>
        </is>
      </c>
      <c r="B22" s="11" t="inlineStr">
        <is>
          <t>10%以上</t>
        </is>
      </c>
      <c r="C22" s="5" t="inlineStr">
        <is>
          <t>6%以上</t>
        </is>
      </c>
      <c r="D22" s="12" t="inlineStr">
        <is>
          <t>3%以上</t>
        </is>
      </c>
      <c r="E22" s="13" t="inlineStr">
        <is>
          <t>3%未満</t>
        </is>
      </c>
      <c r="F22" s="5" t="inlineStr">
        <is>
          <t>低いなら価格・画像・検索順位の問題</t>
        </is>
      </c>
    </row>
    <row r="23">
      <c r="A23" s="5" t="inlineStr">
        <is>
          <t>カート→注文率</t>
        </is>
      </c>
      <c r="B23" s="11" t="inlineStr">
        <is>
          <t>20%以上</t>
        </is>
      </c>
      <c r="C23" s="5" t="inlineStr">
        <is>
          <t>10%以上</t>
        </is>
      </c>
      <c r="D23" s="12" t="inlineStr">
        <is>
          <t>5%以上</t>
        </is>
      </c>
      <c r="E23" s="13" t="inlineStr">
        <is>
          <t>5%未満</t>
        </is>
      </c>
      <c r="F23" s="5" t="inlineStr">
        <is>
          <t>★低いなら在庫切れ・送料・決済の問題</t>
        </is>
      </c>
    </row>
    <row r="24">
      <c r="A24" s="5" t="inlineStr">
        <is>
          <t>CPA</t>
        </is>
      </c>
      <c r="B24" s="11" t="inlineStr">
        <is>
          <t>目標以下</t>
        </is>
      </c>
      <c r="C24" s="5" t="inlineStr">
        <is>
          <t>許容以下</t>
        </is>
      </c>
      <c r="D24" s="12" t="inlineStr">
        <is>
          <t>許容の1.5倍まで</t>
        </is>
      </c>
      <c r="E24" s="13" t="inlineStr">
        <is>
          <t>許容の1.5倍超</t>
        </is>
      </c>
      <c r="F24" s="5" t="inlineStr">
        <is>
          <t>7日連続で✕なら広告停止</t>
        </is>
      </c>
    </row>
    <row r="25">
      <c r="A25" s="5" t="inlineStr">
        <is>
          <t>広告費率</t>
        </is>
      </c>
      <c r="B25" s="11" t="inlineStr">
        <is>
          <t>15%以下</t>
        </is>
      </c>
      <c r="C25" s="5" t="inlineStr">
        <is>
          <t>20%以下</t>
        </is>
      </c>
      <c r="D25" s="12" t="inlineStr">
        <is>
          <t>30%まで</t>
        </is>
      </c>
      <c r="E25" s="13" t="inlineStr">
        <is>
          <t>30%超</t>
        </is>
      </c>
      <c r="F25" s="5" t="inlineStr"/>
    </row>
    <row r="26">
      <c r="A26" s="5" t="inlineStr">
        <is>
          <t>CTR（メタ）</t>
        </is>
      </c>
      <c r="B26" s="11" t="inlineStr">
        <is>
          <t>1.2%以上</t>
        </is>
      </c>
      <c r="C26" s="5" t="inlineStr">
        <is>
          <t>0.8%以上</t>
        </is>
      </c>
      <c r="D26" s="12" t="inlineStr">
        <is>
          <t>0.5%以上</t>
        </is>
      </c>
      <c r="E26" s="13" t="inlineStr">
        <is>
          <t>0.5%未満</t>
        </is>
      </c>
      <c r="F26" s="5" t="inlineStr">
        <is>
          <t>クリエイティブ疲弊のサイン</t>
        </is>
      </c>
    </row>
    <row r="27">
      <c r="A27" s="3" t="inlineStr">
        <is>
          <t>注記</t>
        </is>
      </c>
    </row>
    <row r="28">
      <c r="A28" s="2" t="inlineStr">
        <is>
          <t>★カート→注文率が最重要。Coupangは訪問→カートが12.9%と健全なのに、カート→注文が0.65%まで落ちています。</t>
        </is>
      </c>
    </row>
    <row r="29">
      <c r="A29" s="2" t="inlineStr">
        <is>
          <t>この2段階を分けて記録することで、「集客の問題」か「買う直前の問題」かが切り分けられます。</t>
        </is>
      </c>
    </row>
    <row r="30">
      <c r="A30" s="2" t="inlineStr">
        <is>
          <t>在庫状態を必ず記録してください。在庫切れ期間の転換率は需要の指標になりません。</t>
        </is>
      </c>
    </row>
  </sheetData>
  <mergeCells count="8">
    <mergeCell ref="A2:F2"/>
    <mergeCell ref="A28:F28"/>
    <mergeCell ref="A19:F19"/>
    <mergeCell ref="A1:F1"/>
    <mergeCell ref="A27:F27"/>
    <mergeCell ref="A4:F4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2026-09-18T02:21:35Z</dcterms:created>
  <dcterms:modified xsi:type="dcterms:W3CDTF">2026-09-18T02:23:12Z</dcterms:modified>
</cp:coreProperties>
</file>