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概要" sheetId="1" state="visible" r:id="rId1"/>
    <sheet name="② キーワード戦略" sheetId="2" state="visible" r:id="rId2"/>
    <sheet name="③ 3運用タイプ" sheetId="3" state="visible" r:id="rId3"/>
    <sheet name="PCスーツケース" sheetId="4" state="visible" r:id="rId4"/>
    <sheet name="クラシックアルミニウムスーツケース" sheetId="5" state="visible" r:id="rId5"/>
    <sheet name="多機能アルミニウムスーツケース" sheetId="6" state="visible" r:id="rId6"/>
    <sheet name="ジップタイプスーツケース" sheetId="7" state="visible" r:id="rId7"/>
    <sheet name="留学アウトドアスーツケース" sheetId="8" state="visible" r:id="rId8"/>
    <sheet name="④ スケジュール" sheetId="9" state="visible" r:id="rId9"/>
    <sheet name="⑤ AI検索対策(LLMO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color rgb="003A4A49"/>
      <sz val="10"/>
    </font>
    <font>
      <name val="Meiryo"/>
      <b val="1"/>
      <color rgb="000F3B3A"/>
      <sz val="11"/>
    </font>
    <font>
      <name val="Meiryo"/>
      <color rgb="001F2933"/>
      <sz val="10"/>
    </font>
    <font>
      <name val="Meiryo"/>
      <b val="1"/>
      <color rgb="00FFFFFF"/>
      <sz val="10"/>
    </font>
    <font>
      <name val="Meiryo"/>
      <b val="1"/>
      <color rgb="001F2933"/>
      <sz val="10"/>
    </font>
    <font>
      <name val="Meiryo"/>
      <color rgb="005A6A69"/>
      <sz val="9"/>
    </font>
    <font>
      <name val="Meiryo"/>
      <b val="1"/>
      <color rgb="000F3B3A"/>
      <sz val="10"/>
    </font>
  </fonts>
  <fills count="6">
    <fill>
      <patternFill/>
    </fill>
    <fill>
      <patternFill patternType="gray125"/>
    </fill>
    <fill>
      <patternFill patternType="solid">
        <fgColor rgb="000F3B3A"/>
      </patternFill>
    </fill>
    <fill>
      <patternFill patternType="solid">
        <fgColor rgb="00EAF2F1"/>
      </patternFill>
    </fill>
    <fill>
      <patternFill patternType="solid">
        <fgColor rgb="00F6EEE4"/>
      </patternFill>
    </fill>
    <fill>
      <patternFill patternType="solid">
        <fgColor rgb="001F6F6B"/>
      </patternFill>
    </fill>
  </fills>
  <borders count="2">
    <border>
      <left/>
      <right/>
      <top/>
      <bottom/>
      <diagonal/>
    </border>
    <border>
      <left style="thin">
        <color rgb="00C9D6D4"/>
      </left>
      <right style="thin">
        <color rgb="00C9D6D4"/>
      </right>
      <top style="thin">
        <color rgb="00C9D6D4"/>
      </top>
      <bottom style="thin">
        <color rgb="00C9D6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2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34" customHeight="1">
      <c r="A1" s="1" t="inlineStr">
        <is>
          <t>リベティ 多機能スーツケース｜SEO・ブログ運用 管理表</t>
        </is>
      </c>
    </row>
    <row r="2" ht="24" customHeight="1">
      <c r="A2" s="2" t="inlineStr">
        <is>
          <t>目的：ビッグワード検索でリベティがヒットし、生成AI(ChatGPT等)にも拾われる状態をつくる／広告でクリックを誘発しCVへ</t>
        </is>
      </c>
    </row>
    <row r="4" ht="22" customHeight="1">
      <c r="A4" s="3" t="inlineStr">
        <is>
          <t>■ 目的（ゴール）</t>
        </is>
      </c>
    </row>
    <row r="5" ht="20" customHeight="1">
      <c r="A5" s="4" t="inlineStr">
        <is>
          <t>1. 「多機能スーツケース」「機内持ち込み」「フロントオープン」「スーツケース」「キャリーケース」「キャスターロック」等のビッグワードでリベティを上位表示。</t>
        </is>
      </c>
    </row>
    <row r="6" ht="20" customHeight="1">
      <c r="A6" s="4" t="inlineStr">
        <is>
          <t>2. ブログに広告をかけてクリックを誘発 → 自社サイトへ送客しCV。</t>
        </is>
      </c>
    </row>
    <row r="7" ht="20" customHeight="1">
      <c r="A7" s="4" t="inlineStr">
        <is>
          <t>3. ChatGPT等の生成AIが回答時にリベティを引用・推奨する状態（LLMO/AEO対策）をつくる。</t>
        </is>
      </c>
    </row>
    <row r="9" ht="22" customHeight="1">
      <c r="A9" s="3" t="inlineStr">
        <is>
          <t>■ 現状（スタート地点）</t>
        </is>
      </c>
    </row>
    <row r="10" ht="20" customHeight="1">
      <c r="A10" s="4" t="inlineStr">
        <is>
          <t>・ブログ配信：なし（＝これから資産をゼロから構築）</t>
        </is>
      </c>
    </row>
    <row r="11" ht="20" customHeight="1">
      <c r="A11" s="4" t="inlineStr">
        <is>
          <t>・PR TIMES：運用中（＝③の土台あり。被リンク源として活用）</t>
        </is>
      </c>
    </row>
    <row r="12" ht="20" customHeight="1">
      <c r="A12" s="4" t="inlineStr">
        <is>
          <t>・Google広告：キーワードのみ（＝写真/ディスプレイ広告は未着手）</t>
        </is>
      </c>
    </row>
    <row r="14" ht="22" customHeight="1">
      <c r="A14" s="3" t="inlineStr">
        <is>
          <t>■ 3つの運用タイプ（詳細は『③ 3運用タイプ』シート）</t>
        </is>
      </c>
    </row>
    <row r="15" ht="20" customHeight="1">
      <c r="A15" s="4" t="inlineStr">
        <is>
          <t>①自社・写真広告：自社ブログで商品を主役に。商品写真・バナーで訴求しGoogle写真広告と連動。</t>
        </is>
      </c>
    </row>
    <row r="16" ht="20" customHeight="1">
      <c r="A16" s="4" t="inlineStr">
        <is>
          <t>②第三者・アフィリ：中立比較記事。他社品も紹介しアフィリ報酬。※PR表記必須（ステマ規制）。</t>
        </is>
      </c>
    </row>
    <row r="17" ht="20" customHeight="1">
      <c r="A17" s="4" t="inlineStr">
        <is>
          <t>③PR TIMES：リリース連動ブログ。ニュース化→被リンク→ブログ送客。</t>
        </is>
      </c>
    </row>
    <row r="19" ht="22" customHeight="1">
      <c r="A19" s="3" t="inlineStr">
        <is>
          <t>■ 使い方</t>
        </is>
      </c>
    </row>
    <row r="20" ht="20" customHeight="1">
      <c r="A20" s="4" t="inlineStr">
        <is>
          <t>・商品ごとにシートを用意（PC / クラシックアルミ / 多機能アルミ / ジップ / 留学アウトドア）。</t>
        </is>
      </c>
    </row>
    <row r="21" ht="20" customHeight="1">
      <c r="A21" s="4" t="inlineStr">
        <is>
          <t>・各行＝1記事。運用タイプ・担当・キーワード・公開予定日・ステータスを埋めて進捗管理。</t>
        </is>
      </c>
    </row>
    <row r="22" ht="20" customHeight="1">
      <c r="A22" s="4" t="inlineStr">
        <is>
          <t>・黄色セルは記入・要確認箇所。検索ボリュームは目安(大/中/小)。正確な数値はキーワードプランナーで確認。</t>
        </is>
      </c>
    </row>
    <row r="24" ht="22" customHeight="1">
      <c r="A24" s="3" t="inlineStr">
        <is>
          <t>■ 担当（署名でE-E-A-Tを担保）</t>
        </is>
      </c>
    </row>
    <row r="25" ht="20" customHeight="1">
      <c r="A25" s="4" t="inlineStr">
        <is>
          <t>北野：編集長・監修（全記事の品質/表記チェック、③PR TIMES主管）</t>
        </is>
      </c>
    </row>
    <row r="26" ht="20" customHeight="1">
      <c r="A26" s="4" t="inlineStr">
        <is>
          <t>雪乃：旅行・ライフスタイル（初めて買う層・使用レビュー・①②）</t>
        </is>
      </c>
    </row>
    <row r="27" ht="20" customHeight="1">
      <c r="A27" s="4" t="inlineStr">
        <is>
          <t>西岡：製品・品質検証（スペック比較・ボーケン試験・②検証記事）</t>
        </is>
      </c>
    </row>
    <row r="29">
      <c r="A29" s="3" t="inlineStr">
        <is>
          <t>■ 進捗ダッシュボード（各商品シートから自動集計）</t>
        </is>
      </c>
    </row>
    <row r="30">
      <c r="A30" s="5" t="inlineStr">
        <is>
          <t>商品シート</t>
        </is>
      </c>
      <c r="B30" s="5" t="inlineStr">
        <is>
          <t>計画記事数</t>
        </is>
      </c>
      <c r="C30" s="5" t="inlineStr">
        <is>
          <t>公開済み</t>
        </is>
      </c>
      <c r="D30" s="5" t="inlineStr">
        <is>
          <t>執筆中</t>
        </is>
      </c>
      <c r="E30" s="5" t="inlineStr">
        <is>
          <t>未着手</t>
        </is>
      </c>
      <c r="F30" s="5" t="inlineStr">
        <is>
          <t>公開率</t>
        </is>
      </c>
    </row>
    <row r="31">
      <c r="A31" s="6" t="inlineStr">
        <is>
          <t>PCスーツケース</t>
        </is>
      </c>
      <c r="B31" s="7">
        <f>COUNTA('PCスーツケース'!$B$5:$B$60)</f>
        <v/>
      </c>
      <c r="C31" s="7">
        <f>COUNTIF('PCスーツケース'!$N$5:$N$60,"公開済み")</f>
        <v/>
      </c>
      <c r="D31" s="7">
        <f>COUNTIF('PCスーツケース'!$N$5:$N$60,"執筆中")</f>
        <v/>
      </c>
      <c r="E31" s="7">
        <f>COUNTIF('PCスーツケース'!$N$5:$N$60,"未着手")</f>
        <v/>
      </c>
      <c r="F31" s="8">
        <f>IFERROR(C31/B31,0)</f>
        <v/>
      </c>
    </row>
    <row r="32">
      <c r="A32" s="6" t="inlineStr">
        <is>
          <t>クラシックアルミニウムスーツケース</t>
        </is>
      </c>
      <c r="B32" s="7">
        <f>COUNTA('クラシックアルミニウムスーツケース'!$B$5:$B$60)</f>
        <v/>
      </c>
      <c r="C32" s="7">
        <f>COUNTIF('クラシックアルミニウムスーツケース'!$N$5:$N$60,"公開済み")</f>
        <v/>
      </c>
      <c r="D32" s="7">
        <f>COUNTIF('クラシックアルミニウムスーツケース'!$N$5:$N$60,"執筆中")</f>
        <v/>
      </c>
      <c r="E32" s="7">
        <f>COUNTIF('クラシックアルミニウムスーツケース'!$N$5:$N$60,"未着手")</f>
        <v/>
      </c>
      <c r="F32" s="8">
        <f>IFERROR(C32/B32,0)</f>
        <v/>
      </c>
    </row>
    <row r="33">
      <c r="A33" s="6" t="inlineStr">
        <is>
          <t>多機能アルミニウムスーツケース</t>
        </is>
      </c>
      <c r="B33" s="7">
        <f>COUNTA('多機能アルミニウムスーツケース'!$B$5:$B$60)</f>
        <v/>
      </c>
      <c r="C33" s="7">
        <f>COUNTIF('多機能アルミニウムスーツケース'!$N$5:$N$60,"公開済み")</f>
        <v/>
      </c>
      <c r="D33" s="7">
        <f>COUNTIF('多機能アルミニウムスーツケース'!$N$5:$N$60,"執筆中")</f>
        <v/>
      </c>
      <c r="E33" s="7">
        <f>COUNTIF('多機能アルミニウムスーツケース'!$N$5:$N$60,"未着手")</f>
        <v/>
      </c>
      <c r="F33" s="8">
        <f>IFERROR(C33/B33,0)</f>
        <v/>
      </c>
    </row>
    <row r="34">
      <c r="A34" s="6" t="inlineStr">
        <is>
          <t>ジップタイプスーツケース</t>
        </is>
      </c>
      <c r="B34" s="7">
        <f>COUNTA('ジップタイプスーツケース'!$B$5:$B$60)</f>
        <v/>
      </c>
      <c r="C34" s="7">
        <f>COUNTIF('ジップタイプスーツケース'!$N$5:$N$60,"公開済み")</f>
        <v/>
      </c>
      <c r="D34" s="7">
        <f>COUNTIF('ジップタイプスーツケース'!$N$5:$N$60,"執筆中")</f>
        <v/>
      </c>
      <c r="E34" s="7">
        <f>COUNTIF('ジップタイプスーツケース'!$N$5:$N$60,"未着手")</f>
        <v/>
      </c>
      <c r="F34" s="8">
        <f>IFERROR(C34/B34,0)</f>
        <v/>
      </c>
    </row>
    <row r="35">
      <c r="A35" s="6" t="inlineStr">
        <is>
          <t>留学アウトドアスーツケース</t>
        </is>
      </c>
      <c r="B35" s="7">
        <f>COUNTA('留学アウトドアスーツケース'!$B$5:$B$60)</f>
        <v/>
      </c>
      <c r="C35" s="7">
        <f>COUNTIF('留学アウトドアスーツケース'!$N$5:$N$60,"公開済み")</f>
        <v/>
      </c>
      <c r="D35" s="7">
        <f>COUNTIF('留学アウトドアスーツケース'!$N$5:$N$60,"執筆中")</f>
        <v/>
      </c>
      <c r="E35" s="7">
        <f>COUNTIF('留学アウトドアスーツケース'!$N$5:$N$60,"未着手")</f>
        <v/>
      </c>
      <c r="F35" s="8">
        <f>IFERROR(C35/B35,0)</f>
        <v/>
      </c>
    </row>
    <row r="36">
      <c r="A36" s="9" t="inlineStr">
        <is>
          <t>合計</t>
        </is>
      </c>
      <c r="B36" s="10">
        <f>SUM(B31:B35)</f>
        <v/>
      </c>
      <c r="C36" s="10">
        <f>SUM(C31:C35)</f>
        <v/>
      </c>
      <c r="D36" s="10">
        <f>SUM(D31:D35)</f>
        <v/>
      </c>
      <c r="E36" s="10">
        <f>SUM(E31:E35)</f>
        <v/>
      </c>
      <c r="F36" s="11">
        <f>IFERROR(C36/B36,0)</f>
        <v/>
      </c>
    </row>
  </sheetData>
  <mergeCells count="23">
    <mergeCell ref="A16:F16"/>
    <mergeCell ref="A27:F27"/>
    <mergeCell ref="A12:F12"/>
    <mergeCell ref="A26:F26"/>
    <mergeCell ref="A21:F21"/>
    <mergeCell ref="A2:F2"/>
    <mergeCell ref="A14:F14"/>
    <mergeCell ref="A5:F5"/>
    <mergeCell ref="A22:F22"/>
    <mergeCell ref="A17:F17"/>
    <mergeCell ref="A4:F4"/>
    <mergeCell ref="A20:F20"/>
    <mergeCell ref="A29:F29"/>
    <mergeCell ref="A10:F10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4" customWidth="1" min="4" max="4"/>
    <col width="12" customWidth="1" min="5" max="5"/>
    <col width="8" customWidth="1" min="6" max="6"/>
    <col width="22" customWidth="1" min="7" max="7"/>
    <col width="30" customWidth="1" min="8" max="8"/>
  </cols>
  <sheetData>
    <row r="1" ht="34" customHeight="1">
      <c r="A1" s="1" t="inlineStr">
        <is>
          <t>キーワード戦略｜ビッグワードでリベティをヒットさせる設計</t>
        </is>
      </c>
    </row>
    <row r="2" ht="24" customHeight="1">
      <c r="A2" s="2" t="inlineStr">
        <is>
          <t>ビッグワード単体は競合が強い→『ビッグワード×商品特徴』の掛け合わせと、比較・まとめ記事で面を取る。検索ボリュームは目安(大/中/小)。正確な数値はキーワードプランナーで要確認。</t>
        </is>
      </c>
    </row>
    <row r="4" ht="32" customHeight="1">
      <c r="A4" s="5" t="inlineStr">
        <is>
          <t>区分</t>
        </is>
      </c>
      <c r="B4" s="5" t="inlineStr">
        <is>
          <t>対策キーワード</t>
        </is>
      </c>
      <c r="C4" s="5" t="inlineStr">
        <is>
          <t>掛け合わせ例（ロングテール）</t>
        </is>
      </c>
      <c r="D4" s="5" t="inlineStr">
        <is>
          <t>検索意図</t>
        </is>
      </c>
      <c r="E4" s="5" t="inlineStr">
        <is>
          <t>ボリューム目安</t>
        </is>
      </c>
      <c r="F4" s="5" t="inlineStr">
        <is>
          <t>難易度</t>
        </is>
      </c>
      <c r="G4" s="5" t="inlineStr">
        <is>
          <t>主担当商品シート</t>
        </is>
      </c>
      <c r="H4" s="5" t="inlineStr">
        <is>
          <t>獲りにいく記事タイプ</t>
        </is>
      </c>
    </row>
    <row r="5">
      <c r="A5" s="12" t="inlineStr">
        <is>
          <t>ビッグ</t>
        </is>
      </c>
      <c r="B5" s="12" t="inlineStr">
        <is>
          <t>スーツケース</t>
        </is>
      </c>
      <c r="C5" s="12" t="inlineStr">
        <is>
          <t>スーツケース おすすめ / 選び方 / 初めて</t>
        </is>
      </c>
      <c r="D5" s="12" t="inlineStr">
        <is>
          <t>比較検討</t>
        </is>
      </c>
      <c r="E5" s="7" t="inlineStr">
        <is>
          <t>大</t>
        </is>
      </c>
      <c r="F5" s="7" t="inlineStr">
        <is>
          <t>高</t>
        </is>
      </c>
      <c r="G5" s="12" t="inlineStr">
        <is>
          <t>全商品（まとめ）</t>
        </is>
      </c>
      <c r="H5" s="12" t="inlineStr">
        <is>
          <t>ピラー：選び方ガイド＋比較まとめ</t>
        </is>
      </c>
    </row>
    <row r="6">
      <c r="A6" s="13" t="inlineStr">
        <is>
          <t>ビッグ</t>
        </is>
      </c>
      <c r="B6" s="13" t="inlineStr">
        <is>
          <t>多機能スーツケース</t>
        </is>
      </c>
      <c r="C6" s="13" t="inlineStr">
        <is>
          <t>多機能スーツケース 比較 / 機能</t>
        </is>
      </c>
      <c r="D6" s="13" t="inlineStr">
        <is>
          <t>機能重視</t>
        </is>
      </c>
      <c r="E6" s="14" t="inlineStr">
        <is>
          <t>中</t>
        </is>
      </c>
      <c r="F6" s="14" t="inlineStr">
        <is>
          <t>高</t>
        </is>
      </c>
      <c r="G6" s="13" t="inlineStr">
        <is>
          <t>多機能アルミニウム</t>
        </is>
      </c>
      <c r="H6" s="13" t="inlineStr">
        <is>
          <t>機能特化の比較・解説</t>
        </is>
      </c>
    </row>
    <row r="7">
      <c r="A7" s="12" t="inlineStr">
        <is>
          <t>ビッグ</t>
        </is>
      </c>
      <c r="B7" s="12" t="inlineStr">
        <is>
          <t>機内持ち込み</t>
        </is>
      </c>
      <c r="C7" s="12" t="inlineStr">
        <is>
          <t>機内持ち込み サイズ / 対応 / lcc</t>
        </is>
      </c>
      <c r="D7" s="12" t="inlineStr">
        <is>
          <t>具体検討・CV近</t>
        </is>
      </c>
      <c r="E7" s="7" t="inlineStr">
        <is>
          <t>大</t>
        </is>
      </c>
      <c r="F7" s="7" t="inlineStr">
        <is>
          <t>高</t>
        </is>
      </c>
      <c r="G7" s="12" t="inlineStr">
        <is>
          <t>PC / ジップ</t>
        </is>
      </c>
      <c r="H7" s="12" t="inlineStr">
        <is>
          <t>サイズ対応表＋対応モデル紹介</t>
        </is>
      </c>
    </row>
    <row r="8">
      <c r="A8" s="13" t="inlineStr">
        <is>
          <t>ビッグ</t>
        </is>
      </c>
      <c r="B8" s="13" t="inlineStr">
        <is>
          <t>フロントオープン</t>
        </is>
      </c>
      <c r="C8" s="13" t="inlineStr">
        <is>
          <t>フロントオープン スーツケース / pc</t>
        </is>
      </c>
      <c r="D8" s="13" t="inlineStr">
        <is>
          <t>機能指名</t>
        </is>
      </c>
      <c r="E8" s="14" t="inlineStr">
        <is>
          <t>中</t>
        </is>
      </c>
      <c r="F8" s="14" t="inlineStr">
        <is>
          <t>中</t>
        </is>
      </c>
      <c r="G8" s="13" t="inlineStr">
        <is>
          <t>PCスーツケース</t>
        </is>
      </c>
      <c r="H8" s="13" t="inlineStr">
        <is>
          <t>フロントオープンの利点＋実演</t>
        </is>
      </c>
    </row>
    <row r="9">
      <c r="A9" s="12" t="inlineStr">
        <is>
          <t>ビッグ</t>
        </is>
      </c>
      <c r="B9" s="12" t="inlineStr">
        <is>
          <t>キャリーケース</t>
        </is>
      </c>
      <c r="C9" s="12" t="inlineStr">
        <is>
          <t>キャリーケース 軽量 / 機内 / 大型</t>
        </is>
      </c>
      <c r="D9" s="12" t="inlineStr">
        <is>
          <t>比較検討</t>
        </is>
      </c>
      <c r="E9" s="7" t="inlineStr">
        <is>
          <t>大</t>
        </is>
      </c>
      <c r="F9" s="7" t="inlineStr">
        <is>
          <t>高</t>
        </is>
      </c>
      <c r="G9" s="12" t="inlineStr">
        <is>
          <t>ジップ / 留学</t>
        </is>
      </c>
      <c r="H9" s="12" t="inlineStr">
        <is>
          <t>タイプ別比較・用途別おすすめ</t>
        </is>
      </c>
    </row>
    <row r="10">
      <c r="A10" s="13" t="inlineStr">
        <is>
          <t>ビッグ</t>
        </is>
      </c>
      <c r="B10" s="13" t="inlineStr">
        <is>
          <t>キャスターロック</t>
        </is>
      </c>
      <c r="C10" s="13" t="inlineStr">
        <is>
          <t>キャスターロック スーツケース / 便利</t>
        </is>
      </c>
      <c r="D10" s="13" t="inlineStr">
        <is>
          <t>機能訴求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多機能アルミ / クラシック</t>
        </is>
      </c>
      <c r="H10" s="13" t="inlineStr">
        <is>
          <t>キャスターロックの必要性＋搭載モデル</t>
        </is>
      </c>
    </row>
    <row r="11">
      <c r="A11" s="12" t="inlineStr">
        <is>
          <t>特徴</t>
        </is>
      </c>
      <c r="B11" s="12" t="inlineStr">
        <is>
          <t>アルミ スーツケース</t>
        </is>
      </c>
      <c r="C11" s="12" t="inlineStr">
        <is>
          <t>アルミ スーツケース 高級 / 丈夫 / 軽量</t>
        </is>
      </c>
      <c r="D11" s="12" t="inlineStr">
        <is>
          <t>品質重視</t>
        </is>
      </c>
      <c r="E11" s="7" t="inlineStr">
        <is>
          <t>中</t>
        </is>
      </c>
      <c r="F11" s="7" t="inlineStr">
        <is>
          <t>中</t>
        </is>
      </c>
      <c r="G11" s="12" t="inlineStr">
        <is>
          <t>クラシック/多機能アルミ</t>
        </is>
      </c>
      <c r="H11" s="12" t="inlineStr">
        <is>
          <t>アルミの魅力＋ボーケン試験</t>
        </is>
      </c>
    </row>
    <row r="12">
      <c r="A12" s="13" t="inlineStr">
        <is>
          <t>特徴</t>
        </is>
      </c>
      <c r="B12" s="13" t="inlineStr">
        <is>
          <t>スーツケース 大型</t>
        </is>
      </c>
      <c r="C12" s="13" t="inlineStr">
        <is>
          <t>大型 スーツケース 留学 / 長期</t>
        </is>
      </c>
      <c r="D12" s="13" t="inlineStr">
        <is>
          <t>大容量ニーズ</t>
        </is>
      </c>
      <c r="E12" s="14" t="inlineStr">
        <is>
          <t>中</t>
        </is>
      </c>
      <c r="F12" s="14" t="inlineStr">
        <is>
          <t>中</t>
        </is>
      </c>
      <c r="G12" s="13" t="inlineStr">
        <is>
          <t>留学アウトドア</t>
        </is>
      </c>
      <c r="H12" s="13" t="inlineStr">
        <is>
          <t>容量別の選び方</t>
        </is>
      </c>
    </row>
    <row r="13">
      <c r="A13" s="12" t="inlineStr">
        <is>
          <t>用途</t>
        </is>
      </c>
      <c r="B13" s="12" t="inlineStr">
        <is>
          <t>スーツケース 出張</t>
        </is>
      </c>
      <c r="C13" s="12" t="inlineStr">
        <is>
          <t>出張 スーツケース ビジネス / pc収納</t>
        </is>
      </c>
      <c r="D13" s="12" t="inlineStr">
        <is>
          <t>ビジネス</t>
        </is>
      </c>
      <c r="E13" s="7" t="inlineStr">
        <is>
          <t>中</t>
        </is>
      </c>
      <c r="F13" s="7" t="inlineStr">
        <is>
          <t>中</t>
        </is>
      </c>
      <c r="G13" s="12" t="inlineStr">
        <is>
          <t>PCスーツケース</t>
        </is>
      </c>
      <c r="H13" s="12" t="inlineStr">
        <is>
          <t>出張特化ガイド</t>
        </is>
      </c>
    </row>
    <row r="14">
      <c r="A14" s="13" t="inlineStr">
        <is>
          <t>用途</t>
        </is>
      </c>
      <c r="B14" s="13" t="inlineStr">
        <is>
          <t>スーツケース 留学</t>
        </is>
      </c>
      <c r="C14" s="13" t="inlineStr">
        <is>
          <t>留学 スーツケース おすすめ / 大容量</t>
        </is>
      </c>
      <c r="D14" s="13" t="inlineStr">
        <is>
          <t>長期渡航</t>
        </is>
      </c>
      <c r="E14" s="14" t="inlineStr">
        <is>
          <t>中</t>
        </is>
      </c>
      <c r="F14" s="14" t="inlineStr">
        <is>
          <t>中</t>
        </is>
      </c>
      <c r="G14" s="13" t="inlineStr">
        <is>
          <t>留学アウトドア</t>
        </is>
      </c>
      <c r="H14" s="13" t="inlineStr">
        <is>
          <t>留学準備ガイド</t>
        </is>
      </c>
    </row>
    <row r="16">
      <c r="A16" s="15" t="inlineStr">
        <is>
          <t>※ ビッグワードは単体で狙わず『掛け合わせ』で入口を作り、内部リンクでピラー(選び方まとめ)へ集約。まとめ記事に各商品への内部リンクを張ることで、指名検索前の面を確保する。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34" customHeight="1">
      <c r="A1" s="1" t="inlineStr">
        <is>
          <t>3つの運用タイプ｜役割・訴求・広告・コンプラ</t>
        </is>
      </c>
    </row>
    <row r="2" ht="24" customHeight="1">
      <c r="A2" s="2" t="inlineStr">
        <is>
          <t>同じ商品でも『誰の目線で・どの媒体で・どの広告で』出すかを分けて設計する。</t>
        </is>
      </c>
    </row>
    <row r="4" ht="32" customHeight="1">
      <c r="A4" s="5" t="inlineStr"/>
      <c r="B4" s="5" t="inlineStr">
        <is>
          <t>①自社・写真広告</t>
        </is>
      </c>
      <c r="C4" s="5" t="inlineStr">
        <is>
          <t>②第三者・アフィリ</t>
        </is>
      </c>
      <c r="D4" s="5" t="inlineStr">
        <is>
          <t>③PR TIMES</t>
        </is>
      </c>
    </row>
    <row r="5" ht="34" customHeight="1">
      <c r="A5" s="16" t="inlineStr">
        <is>
          <t>狙い</t>
        </is>
      </c>
      <c r="B5" s="12" t="inlineStr">
        <is>
          <t>自社商品を主役に直接CV</t>
        </is>
      </c>
      <c r="C5" s="12" t="inlineStr">
        <is>
          <t>中立比較で信頼→CV＋アフィリ収益</t>
        </is>
      </c>
      <c r="D5" s="12" t="inlineStr">
        <is>
          <t>ニュース化で権威付け・被リンク</t>
        </is>
      </c>
    </row>
    <row r="6" ht="34" customHeight="1">
      <c r="A6" s="16" t="inlineStr">
        <is>
          <t>媒体</t>
        </is>
      </c>
      <c r="B6" s="13" t="inlineStr">
        <is>
          <t>自社ブログ</t>
        </is>
      </c>
      <c r="C6" s="13" t="inlineStr">
        <is>
          <t>自社ブログ（比較カテゴリ）</t>
        </is>
      </c>
      <c r="D6" s="13" t="inlineStr">
        <is>
          <t>PR TIMES → 自社ブログへ送客</t>
        </is>
      </c>
    </row>
    <row r="7" ht="34" customHeight="1">
      <c r="A7" s="16" t="inlineStr">
        <is>
          <t>目線・トーン</t>
        </is>
      </c>
      <c r="B7" s="12" t="inlineStr">
        <is>
          <t>ブランド発信・商品愛</t>
        </is>
      </c>
      <c r="C7" s="12" t="inlineStr">
        <is>
          <t>客観・中立（長所も短所も）</t>
        </is>
      </c>
      <c r="D7" s="12" t="inlineStr">
        <is>
          <t>報道スタイル・事実ベース</t>
        </is>
      </c>
    </row>
    <row r="8" ht="34" customHeight="1">
      <c r="A8" s="16" t="inlineStr">
        <is>
          <t>主担当</t>
        </is>
      </c>
      <c r="B8" s="13" t="inlineStr">
        <is>
          <t>北野（雪乃）</t>
        </is>
      </c>
      <c r="C8" s="13" t="inlineStr">
        <is>
          <t>西岡・雪乃</t>
        </is>
      </c>
      <c r="D8" s="13" t="inlineStr">
        <is>
          <t>北野</t>
        </is>
      </c>
    </row>
    <row r="9" ht="34" customHeight="1">
      <c r="A9" s="16" t="inlineStr">
        <is>
          <t>広告</t>
        </is>
      </c>
      <c r="B9" s="12" t="inlineStr">
        <is>
          <t>商品写真バナー＋Google写真広告(P-MAX/ディスプレイ)</t>
        </is>
      </c>
      <c r="C9" s="12" t="inlineStr">
        <is>
          <t>記事内アフィリリンク＋Google検索広告</t>
        </is>
      </c>
      <c r="D9" s="12" t="inlineStr">
        <is>
          <t>リリース配信＋SNS拡散</t>
        </is>
      </c>
    </row>
    <row r="10" ht="34" customHeight="1">
      <c r="A10" s="16" t="inlineStr">
        <is>
          <t>CTA・リンク先</t>
        </is>
      </c>
      <c r="B10" s="13" t="inlineStr">
        <is>
          <t>自社ECの商品ページ</t>
        </is>
      </c>
      <c r="C10" s="13" t="inlineStr">
        <is>
          <t>比較ページ（自社＋他社アフィリ）</t>
        </is>
      </c>
      <c r="D10" s="13" t="inlineStr">
        <is>
          <t>自社ブログ検証記事→EC</t>
        </is>
      </c>
    </row>
    <row r="11" ht="34" customHeight="1">
      <c r="A11" s="16" t="inlineStr">
        <is>
          <t>収益</t>
        </is>
      </c>
      <c r="B11" s="12" t="inlineStr">
        <is>
          <t>自社売上</t>
        </is>
      </c>
      <c r="C11" s="12" t="inlineStr">
        <is>
          <t>自社売上＋アフィリ報酬</t>
        </is>
      </c>
      <c r="D11" s="12" t="inlineStr">
        <is>
          <t>（間接）指名検索・被リンクでSEO底上げ</t>
        </is>
      </c>
    </row>
    <row r="12" ht="34" customHeight="1">
      <c r="A12" s="16" t="inlineStr">
        <is>
          <t>KPI</t>
        </is>
      </c>
      <c r="B12" s="13" t="inlineStr">
        <is>
          <t>CTR・CVR・ROAS</t>
        </is>
      </c>
      <c r="C12" s="13" t="inlineStr">
        <is>
          <t>クリック率・アフィリ発生/承認</t>
        </is>
      </c>
      <c r="D12" s="13" t="inlineStr">
        <is>
          <t>掲載数・被リンク数・参照流入</t>
        </is>
      </c>
    </row>
    <row r="13" ht="34" customHeight="1">
      <c r="A13" s="16" t="inlineStr">
        <is>
          <t>コンプラ注意</t>
        </is>
      </c>
      <c r="B13" s="12" t="inlineStr">
        <is>
          <t>景表法（優良誤認NG）</t>
        </is>
      </c>
      <c r="C13" s="12" t="inlineStr">
        <is>
          <t>★PR表記必須（ステマ規制）／捏造NG</t>
        </is>
      </c>
      <c r="D13" s="12" t="inlineStr">
        <is>
          <t>事実のみ・試験は実施分のみ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2" customWidth="1" min="4" max="4"/>
    <col width="7" customWidth="1" min="5" max="5"/>
    <col width="7" customWidth="1" min="6" max="6"/>
    <col width="34" customWidth="1" min="7" max="7"/>
    <col width="22" customWidth="1" min="8" max="8"/>
    <col width="16" customWidth="1" min="9" max="9"/>
    <col width="8" customWidth="1" min="10" max="10"/>
    <col width="9" customWidth="1" min="11" max="11"/>
    <col width="20" customWidth="1" min="12" max="12"/>
    <col width="12" customWidth="1" min="13" max="13"/>
    <col width="12" customWidth="1" min="14" max="14"/>
  </cols>
  <sheetData>
    <row r="1" ht="34" customHeight="1">
      <c r="A1" s="1" t="inlineStr">
        <is>
          <t>PCスーツケース</t>
        </is>
      </c>
    </row>
    <row r="2" ht="24" customHeight="1">
      <c r="A2" s="2" t="inlineStr">
        <is>
          <t>ターゲット：出張の多いビジネス層／訴求：フロントオープン・PC収納・機内持ち込み・充電</t>
        </is>
      </c>
    </row>
    <row r="4" ht="32" customHeight="1">
      <c r="A4" s="5" t="inlineStr">
        <is>
          <t>No.</t>
        </is>
      </c>
      <c r="B4" s="5" t="inlineStr">
        <is>
          <t>対策KW(主)</t>
        </is>
      </c>
      <c r="C4" s="5" t="inlineStr">
        <is>
          <t>掛け合わせビッグワード</t>
        </is>
      </c>
      <c r="D4" s="5" t="inlineStr">
        <is>
          <t>検索意図</t>
        </is>
      </c>
      <c r="E4" s="5" t="inlineStr">
        <is>
          <t>Vol目安</t>
        </is>
      </c>
      <c r="F4" s="5" t="inlineStr">
        <is>
          <t>難易度</t>
        </is>
      </c>
      <c r="G4" s="5" t="inlineStr">
        <is>
          <t>記事タイトル案</t>
        </is>
      </c>
      <c r="H4" s="5" t="inlineStr">
        <is>
          <t>URLスラッグ</t>
        </is>
      </c>
      <c r="I4" s="5" t="inlineStr">
        <is>
          <t>運用タイプ</t>
        </is>
      </c>
      <c r="J4" s="5" t="inlineStr">
        <is>
          <t>担当</t>
        </is>
      </c>
      <c r="K4" s="5" t="inlineStr">
        <is>
          <t>想定文字数</t>
        </is>
      </c>
      <c r="L4" s="5" t="inlineStr">
        <is>
          <t>CTA・リンク先</t>
        </is>
      </c>
      <c r="M4" s="5" t="inlineStr">
        <is>
          <t>公開予定日</t>
        </is>
      </c>
      <c r="N4" s="5" t="inlineStr">
        <is>
          <t>ステータス</t>
        </is>
      </c>
    </row>
    <row r="5" ht="30" customHeight="1">
      <c r="A5" s="7" t="n">
        <v>1</v>
      </c>
      <c r="B5" s="12" t="inlineStr">
        <is>
          <t>フロントオープン</t>
        </is>
      </c>
      <c r="C5" s="12" t="inlineStr">
        <is>
          <t>フロントオープン スーツケース</t>
        </is>
      </c>
      <c r="D5" s="12" t="inlineStr">
        <is>
          <t>機能指名</t>
        </is>
      </c>
      <c r="E5" s="7" t="inlineStr">
        <is>
          <t>中</t>
        </is>
      </c>
      <c r="F5" s="7" t="inlineStr">
        <is>
          <t>中</t>
        </is>
      </c>
      <c r="G5" s="12" t="inlineStr">
        <is>
          <t>【実演】フロントオープンPCスーツケースが出張で神な理由</t>
        </is>
      </c>
      <c r="H5" s="12" t="inlineStr">
        <is>
          <t>pc-front-open</t>
        </is>
      </c>
      <c r="I5" s="7" t="inlineStr">
        <is>
          <t>①自社・写真広告</t>
        </is>
      </c>
      <c r="J5" s="7" t="inlineStr">
        <is>
          <t>雪乃</t>
        </is>
      </c>
      <c r="K5" s="7" t="n">
        <v>4000</v>
      </c>
      <c r="L5" s="12" t="inlineStr">
        <is>
          <t>自社EC 商品ページ</t>
        </is>
      </c>
      <c r="M5" s="17" t="inlineStr"/>
      <c r="N5" s="17" t="inlineStr">
        <is>
          <t>未着手</t>
        </is>
      </c>
    </row>
    <row r="6" ht="30" customHeight="1">
      <c r="A6" s="14" t="n">
        <v>2</v>
      </c>
      <c r="B6" s="13" t="inlineStr">
        <is>
          <t>機内持ち込み</t>
        </is>
      </c>
      <c r="C6" s="13" t="inlineStr">
        <is>
          <t>機内持ち込み pc スーツケース</t>
        </is>
      </c>
      <c r="D6" s="13" t="inlineStr">
        <is>
          <t>CV近</t>
        </is>
      </c>
      <c r="E6" s="14" t="inlineStr">
        <is>
          <t>大</t>
        </is>
      </c>
      <c r="F6" s="14" t="inlineStr">
        <is>
          <t>高</t>
        </is>
      </c>
      <c r="G6" s="13" t="inlineStr">
        <is>
          <t>機内持ち込みOK×PC収納｜出張で選ぶべき1台</t>
        </is>
      </c>
      <c r="H6" s="13" t="inlineStr">
        <is>
          <t>pc-carry-on</t>
        </is>
      </c>
      <c r="I6" s="14" t="inlineStr">
        <is>
          <t>①自社・写真広告</t>
        </is>
      </c>
      <c r="J6" s="14" t="inlineStr">
        <is>
          <t>雪乃</t>
        </is>
      </c>
      <c r="K6" s="14" t="n">
        <v>5000</v>
      </c>
      <c r="L6" s="13" t="inlineStr">
        <is>
          <t>自社EC 商品ページ</t>
        </is>
      </c>
      <c r="M6" s="17" t="inlineStr"/>
      <c r="N6" s="17" t="inlineStr">
        <is>
          <t>未着手</t>
        </is>
      </c>
    </row>
    <row r="7" ht="30" customHeight="1">
      <c r="A7" s="7" t="n">
        <v>3</v>
      </c>
      <c r="B7" s="12" t="inlineStr">
        <is>
          <t>スーツケース 出張</t>
        </is>
      </c>
      <c r="C7" s="12" t="inlineStr">
        <is>
          <t>出張 スーツケース ビジネス</t>
        </is>
      </c>
      <c r="D7" s="12" t="inlineStr">
        <is>
          <t>ビジネス</t>
        </is>
      </c>
      <c r="E7" s="7" t="inlineStr">
        <is>
          <t>中</t>
        </is>
      </c>
      <c r="F7" s="7" t="inlineStr">
        <is>
          <t>中</t>
        </is>
      </c>
      <c r="G7" s="12" t="inlineStr">
        <is>
          <t>出張族が本気で選ぶスーツケース比較｜PC・充電・軽さ</t>
        </is>
      </c>
      <c r="H7" s="12" t="inlineStr">
        <is>
          <t>business-suitcase-compare</t>
        </is>
      </c>
      <c r="I7" s="7" t="inlineStr">
        <is>
          <t>②第三者・アフィリ</t>
        </is>
      </c>
      <c r="J7" s="7" t="inlineStr">
        <is>
          <t>西岡</t>
        </is>
      </c>
      <c r="K7" s="7" t="n">
        <v>6000</v>
      </c>
      <c r="L7" s="12" t="inlineStr">
        <is>
          <t>比較ページ(自社+他社)</t>
        </is>
      </c>
      <c r="M7" s="17" t="inlineStr"/>
      <c r="N7" s="17" t="inlineStr">
        <is>
          <t>未着手</t>
        </is>
      </c>
    </row>
    <row r="8" ht="30" customHeight="1">
      <c r="A8" s="14" t="n">
        <v>4</v>
      </c>
      <c r="B8" s="13" t="inlineStr">
        <is>
          <t>キャリーケース</t>
        </is>
      </c>
      <c r="C8" s="13" t="inlineStr">
        <is>
          <t>キャリーケース ビジネス 軽量</t>
        </is>
      </c>
      <c r="D8" s="13" t="inlineStr">
        <is>
          <t>比較</t>
        </is>
      </c>
      <c r="E8" s="14" t="inlineStr">
        <is>
          <t>大</t>
        </is>
      </c>
      <c r="F8" s="14" t="inlineStr">
        <is>
          <t>高</t>
        </is>
      </c>
      <c r="G8" s="13" t="inlineStr">
        <is>
          <t>ビジネスキャリーケースおすすめ｜PC派の失敗しない選び方</t>
        </is>
      </c>
      <c r="H8" s="13" t="inlineStr">
        <is>
          <t>business-carrycase</t>
        </is>
      </c>
      <c r="I8" s="14" t="inlineStr">
        <is>
          <t>②第三者・アフィリ</t>
        </is>
      </c>
      <c r="J8" s="14" t="inlineStr">
        <is>
          <t>雪乃</t>
        </is>
      </c>
      <c r="K8" s="14" t="n">
        <v>6000</v>
      </c>
      <c r="L8" s="13" t="inlineStr">
        <is>
          <t>比較ページ</t>
        </is>
      </c>
      <c r="M8" s="17" t="inlineStr"/>
      <c r="N8" s="17" t="inlineStr">
        <is>
          <t>未着手</t>
        </is>
      </c>
    </row>
    <row r="9" ht="30" customHeight="1">
      <c r="A9" s="7" t="n">
        <v>5</v>
      </c>
      <c r="B9" s="12" t="inlineStr">
        <is>
          <t>スーツケース usb</t>
        </is>
      </c>
      <c r="C9" s="12" t="inlineStr">
        <is>
          <t>usb スーツケース 充電</t>
        </is>
      </c>
      <c r="D9" s="12" t="inlineStr">
        <is>
          <t>機能訴求</t>
        </is>
      </c>
      <c r="E9" s="7" t="inlineStr">
        <is>
          <t>小</t>
        </is>
      </c>
      <c r="F9" s="7" t="inlineStr">
        <is>
          <t>低</t>
        </is>
      </c>
      <c r="G9" s="12" t="inlineStr">
        <is>
          <t>USBポート付きスーツケースは必要？メリットと注意点</t>
        </is>
      </c>
      <c r="H9" s="12" t="inlineStr">
        <is>
          <t>suitcase-usb</t>
        </is>
      </c>
      <c r="I9" s="7" t="inlineStr">
        <is>
          <t>①自社・写真広告</t>
        </is>
      </c>
      <c r="J9" s="7" t="inlineStr">
        <is>
          <t>西岡</t>
        </is>
      </c>
      <c r="K9" s="7" t="n">
        <v>3500</v>
      </c>
      <c r="L9" s="12" t="inlineStr">
        <is>
          <t>自社EC 商品ページ</t>
        </is>
      </c>
      <c r="M9" s="17" t="inlineStr"/>
      <c r="N9" s="17" t="inlineStr">
        <is>
          <t>未着手</t>
        </is>
      </c>
    </row>
    <row r="10" ht="30" customHeight="1">
      <c r="A10" s="14" t="n">
        <v>6</v>
      </c>
      <c r="B10" s="13" t="inlineStr">
        <is>
          <t>新商品PR</t>
        </is>
      </c>
      <c r="C10" s="13" t="inlineStr">
        <is>
          <t>リベティ pc スーツケース 新発売</t>
        </is>
      </c>
      <c r="D10" s="13" t="inlineStr">
        <is>
          <t>指名・話題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【新発売】ビジネス特化PCスーツケースを発表</t>
        </is>
      </c>
      <c r="H10" s="13" t="inlineStr">
        <is>
          <t>prtimes-pc-launch</t>
        </is>
      </c>
      <c r="I10" s="14" t="inlineStr">
        <is>
          <t>③PR TIMES</t>
        </is>
      </c>
      <c r="J10" s="14" t="inlineStr">
        <is>
          <t>北野</t>
        </is>
      </c>
      <c r="K10" s="14" t="n">
        <v>1500</v>
      </c>
      <c r="L10" s="13" t="inlineStr">
        <is>
          <t>自社ブログ→EC</t>
        </is>
      </c>
      <c r="M10" s="17" t="inlineStr"/>
      <c r="N10" s="17" t="inlineStr">
        <is>
          <t>未着手</t>
        </is>
      </c>
    </row>
    <row r="12">
      <c r="A12" s="15" t="inlineStr">
        <is>
          <t>凡例：アンバー列(公開予定日・ステータス)を随時更新。運用タイプ/担当/難易度/Vol/ステータスはプルダウン選択。Vol目安=大中小(正確値はキーワードプランナーで確認)。</t>
        </is>
      </c>
    </row>
  </sheetData>
  <mergeCells count="3">
    <mergeCell ref="A12:N12"/>
    <mergeCell ref="A2:N2"/>
    <mergeCell ref="A1:N1"/>
  </mergeCells>
  <dataValidations count="5">
    <dataValidation sqref="I5:I10" showDropDown="0" showInputMessage="0" showErrorMessage="0" allowBlank="1" type="list">
      <formula1>"①自社・写真広告,②第三者・アフィリ,③PR TIMES"</formula1>
    </dataValidation>
    <dataValidation sqref="J5:J10" showDropDown="0" showInputMessage="0" showErrorMessage="0" allowBlank="1" type="list">
      <formula1>"北野,雪乃,西岡"</formula1>
    </dataValidation>
    <dataValidation sqref="N5:N10" showDropDown="0" showInputMessage="0" showErrorMessage="0" allowBlank="1" type="list">
      <formula1>"未着手,構成中,執筆中,入稿待ち,公開済み,リライト"</formula1>
    </dataValidation>
    <dataValidation sqref="F5:F10" showDropDown="0" showInputMessage="0" showErrorMessage="0" allowBlank="1" type="list">
      <formula1>"高,中,低"</formula1>
    </dataValidation>
    <dataValidation sqref="E5:E10" showDropDown="0" showInputMessage="0" showErrorMessage="0" allowBlank="1" type="list">
      <formula1>"大,中,小"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2" customWidth="1" min="4" max="4"/>
    <col width="7" customWidth="1" min="5" max="5"/>
    <col width="7" customWidth="1" min="6" max="6"/>
    <col width="34" customWidth="1" min="7" max="7"/>
    <col width="22" customWidth="1" min="8" max="8"/>
    <col width="16" customWidth="1" min="9" max="9"/>
    <col width="8" customWidth="1" min="10" max="10"/>
    <col width="9" customWidth="1" min="11" max="11"/>
    <col width="20" customWidth="1" min="12" max="12"/>
    <col width="12" customWidth="1" min="13" max="13"/>
    <col width="12" customWidth="1" min="14" max="14"/>
  </cols>
  <sheetData>
    <row r="1" ht="34" customHeight="1">
      <c r="A1" s="1" t="inlineStr">
        <is>
          <t>クラシックアルミニウムスーツケース</t>
        </is>
      </c>
    </row>
    <row r="2" ht="24" customHeight="1">
      <c r="A2" s="2" t="inlineStr">
        <is>
          <t>ターゲット：品質・所有欲を重視する層／訴求：アルミの高級感・丈夫さ(ボーケン試験)・キャスターロック</t>
        </is>
      </c>
    </row>
    <row r="4" ht="32" customHeight="1">
      <c r="A4" s="5" t="inlineStr">
        <is>
          <t>No.</t>
        </is>
      </c>
      <c r="B4" s="5" t="inlineStr">
        <is>
          <t>対策KW(主)</t>
        </is>
      </c>
      <c r="C4" s="5" t="inlineStr">
        <is>
          <t>掛け合わせビッグワード</t>
        </is>
      </c>
      <c r="D4" s="5" t="inlineStr">
        <is>
          <t>検索意図</t>
        </is>
      </c>
      <c r="E4" s="5" t="inlineStr">
        <is>
          <t>Vol目安</t>
        </is>
      </c>
      <c r="F4" s="5" t="inlineStr">
        <is>
          <t>難易度</t>
        </is>
      </c>
      <c r="G4" s="5" t="inlineStr">
        <is>
          <t>記事タイトル案</t>
        </is>
      </c>
      <c r="H4" s="5" t="inlineStr">
        <is>
          <t>URLスラッグ</t>
        </is>
      </c>
      <c r="I4" s="5" t="inlineStr">
        <is>
          <t>運用タイプ</t>
        </is>
      </c>
      <c r="J4" s="5" t="inlineStr">
        <is>
          <t>担当</t>
        </is>
      </c>
      <c r="K4" s="5" t="inlineStr">
        <is>
          <t>想定文字数</t>
        </is>
      </c>
      <c r="L4" s="5" t="inlineStr">
        <is>
          <t>CTA・リンク先</t>
        </is>
      </c>
      <c r="M4" s="5" t="inlineStr">
        <is>
          <t>公開予定日</t>
        </is>
      </c>
      <c r="N4" s="5" t="inlineStr">
        <is>
          <t>ステータス</t>
        </is>
      </c>
    </row>
    <row r="5" ht="30" customHeight="1">
      <c r="A5" s="7" t="n">
        <v>1</v>
      </c>
      <c r="B5" s="12" t="inlineStr">
        <is>
          <t>アルミ スーツケース</t>
        </is>
      </c>
      <c r="C5" s="12" t="inlineStr">
        <is>
          <t>アルミ スーツケース 高級</t>
        </is>
      </c>
      <c r="D5" s="12" t="inlineStr">
        <is>
          <t>品質・所有欲</t>
        </is>
      </c>
      <c r="E5" s="7" t="inlineStr">
        <is>
          <t>中</t>
        </is>
      </c>
      <c r="F5" s="7" t="inlineStr">
        <is>
          <t>中</t>
        </is>
      </c>
      <c r="G5" s="12" t="inlineStr">
        <is>
          <t>一生モノのアルミスーツケース｜クラシックの魅力と選び方</t>
        </is>
      </c>
      <c r="H5" s="12" t="inlineStr">
        <is>
          <t>classic-aluminum</t>
        </is>
      </c>
      <c r="I5" s="7" t="inlineStr">
        <is>
          <t>①自社・写真広告</t>
        </is>
      </c>
      <c r="J5" s="7" t="inlineStr">
        <is>
          <t>雪乃</t>
        </is>
      </c>
      <c r="K5" s="7" t="n">
        <v>4500</v>
      </c>
      <c r="L5" s="12" t="inlineStr">
        <is>
          <t>自社EC 商品ページ</t>
        </is>
      </c>
      <c r="M5" s="17" t="inlineStr"/>
      <c r="N5" s="17" t="inlineStr">
        <is>
          <t>未着手</t>
        </is>
      </c>
    </row>
    <row r="6" ht="30" customHeight="1">
      <c r="A6" s="14" t="n">
        <v>2</v>
      </c>
      <c r="B6" s="13" t="inlineStr">
        <is>
          <t>スーツケース 丈夫</t>
        </is>
      </c>
      <c r="C6" s="13" t="inlineStr">
        <is>
          <t>スーツケース 丈夫 壊れない アルミ</t>
        </is>
      </c>
      <c r="D6" s="13" t="inlineStr">
        <is>
          <t>不安解消・CV近</t>
        </is>
      </c>
      <c r="E6" s="14" t="inlineStr">
        <is>
          <t>中</t>
        </is>
      </c>
      <c r="F6" s="14" t="inlineStr">
        <is>
          <t>中</t>
        </is>
      </c>
      <c r="G6" s="13" t="inlineStr">
        <is>
          <t>【検証】アルミは本当に丈夫？ボーケン試験で確かめた</t>
        </is>
      </c>
      <c r="H6" s="13" t="inlineStr">
        <is>
          <t>aluminum-boken-test</t>
        </is>
      </c>
      <c r="I6" s="14" t="inlineStr">
        <is>
          <t>②第三者・アフィリ</t>
        </is>
      </c>
      <c r="J6" s="14" t="inlineStr">
        <is>
          <t>西岡</t>
        </is>
      </c>
      <c r="K6" s="14" t="n">
        <v>6000</v>
      </c>
      <c r="L6" s="13" t="inlineStr">
        <is>
          <t>比較ページ</t>
        </is>
      </c>
      <c r="M6" s="17" t="inlineStr"/>
      <c r="N6" s="17" t="inlineStr">
        <is>
          <t>未着手</t>
        </is>
      </c>
    </row>
    <row r="7" ht="30" customHeight="1">
      <c r="A7" s="7" t="n">
        <v>3</v>
      </c>
      <c r="B7" s="12" t="inlineStr">
        <is>
          <t>アルミ スーツケース デメリット</t>
        </is>
      </c>
      <c r="C7" s="12" t="inlineStr">
        <is>
          <t>アルミ スーツケース 重い デメリット</t>
        </is>
      </c>
      <c r="D7" s="12" t="inlineStr">
        <is>
          <t>比較検討</t>
        </is>
      </c>
      <c r="E7" s="7" t="inlineStr">
        <is>
          <t>小</t>
        </is>
      </c>
      <c r="F7" s="7" t="inlineStr">
        <is>
          <t>低</t>
        </is>
      </c>
      <c r="G7" s="12" t="inlineStr">
        <is>
          <t>アルミスーツケースのデメリットと後悔しない選び方</t>
        </is>
      </c>
      <c r="H7" s="12" t="inlineStr">
        <is>
          <t>aluminum-demerit</t>
        </is>
      </c>
      <c r="I7" s="7" t="inlineStr">
        <is>
          <t>②第三者・アフィリ</t>
        </is>
      </c>
      <c r="J7" s="7" t="inlineStr">
        <is>
          <t>西岡</t>
        </is>
      </c>
      <c r="K7" s="7" t="n">
        <v>5000</v>
      </c>
      <c r="L7" s="12" t="inlineStr">
        <is>
          <t>比較ページ</t>
        </is>
      </c>
      <c r="M7" s="17" t="inlineStr"/>
      <c r="N7" s="17" t="inlineStr">
        <is>
          <t>未着手</t>
        </is>
      </c>
    </row>
    <row r="8" ht="30" customHeight="1">
      <c r="A8" s="14" t="n">
        <v>4</v>
      </c>
      <c r="B8" s="13" t="inlineStr">
        <is>
          <t>キャスターロック</t>
        </is>
      </c>
      <c r="C8" s="13" t="inlineStr">
        <is>
          <t>キャスターロック アルミ スーツケース</t>
        </is>
      </c>
      <c r="D8" s="13" t="inlineStr">
        <is>
          <t>機能訴求</t>
        </is>
      </c>
      <c r="E8" s="14" t="inlineStr">
        <is>
          <t>小</t>
        </is>
      </c>
      <c r="F8" s="14" t="inlineStr">
        <is>
          <t>低</t>
        </is>
      </c>
      <c r="G8" s="13" t="inlineStr">
        <is>
          <t>キャスターロックは必要？坂道・電車で差が出る理由</t>
        </is>
      </c>
      <c r="H8" s="13" t="inlineStr">
        <is>
          <t>caster-lock</t>
        </is>
      </c>
      <c r="I8" s="14" t="inlineStr">
        <is>
          <t>①自社・写真広告</t>
        </is>
      </c>
      <c r="J8" s="14" t="inlineStr">
        <is>
          <t>雪乃</t>
        </is>
      </c>
      <c r="K8" s="14" t="n">
        <v>3500</v>
      </c>
      <c r="L8" s="13" t="inlineStr">
        <is>
          <t>自社EC 商品ページ</t>
        </is>
      </c>
      <c r="M8" s="17" t="inlineStr"/>
      <c r="N8" s="17" t="inlineStr">
        <is>
          <t>未着手</t>
        </is>
      </c>
    </row>
    <row r="9" ht="30" customHeight="1">
      <c r="A9" s="7" t="n">
        <v>5</v>
      </c>
      <c r="B9" s="12" t="inlineStr">
        <is>
          <t>スーツケース 高級 ブランド</t>
        </is>
      </c>
      <c r="C9" s="12" t="inlineStr">
        <is>
          <t>高級 スーツケース 比較</t>
        </is>
      </c>
      <c r="D9" s="12" t="inlineStr">
        <is>
          <t>ブランド比較</t>
        </is>
      </c>
      <c r="E9" s="7" t="inlineStr">
        <is>
          <t>中</t>
        </is>
      </c>
      <c r="F9" s="7" t="inlineStr">
        <is>
          <t>高</t>
        </is>
      </c>
      <c r="G9" s="12" t="inlineStr">
        <is>
          <t>高級スーツケース比較｜価格に見合う「丈夫さ」の見抜き方</t>
        </is>
      </c>
      <c r="H9" s="12" t="inlineStr">
        <is>
          <t>luxury-suitcase-compare</t>
        </is>
      </c>
      <c r="I9" s="7" t="inlineStr">
        <is>
          <t>②第三者・アフィリ</t>
        </is>
      </c>
      <c r="J9" s="7" t="inlineStr">
        <is>
          <t>西岡</t>
        </is>
      </c>
      <c r="K9" s="7" t="n">
        <v>6500</v>
      </c>
      <c r="L9" s="12" t="inlineStr">
        <is>
          <t>比較ページ</t>
        </is>
      </c>
      <c r="M9" s="17" t="inlineStr"/>
      <c r="N9" s="17" t="inlineStr">
        <is>
          <t>未着手</t>
        </is>
      </c>
    </row>
    <row r="10" ht="30" customHeight="1">
      <c r="A10" s="14" t="n">
        <v>6</v>
      </c>
      <c r="B10" s="13" t="inlineStr">
        <is>
          <t>品質PR</t>
        </is>
      </c>
      <c r="C10" s="13" t="inlineStr">
        <is>
          <t>リベティ アルミ ボーケン 合格</t>
        </is>
      </c>
      <c r="D10" s="13" t="inlineStr">
        <is>
          <t>権威付け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【品質証明】アルミスーツケースが第三者試験に合格</t>
        </is>
      </c>
      <c r="H10" s="13" t="inlineStr">
        <is>
          <t>prtimes-aluminum-quality</t>
        </is>
      </c>
      <c r="I10" s="14" t="inlineStr">
        <is>
          <t>③PR TIMES</t>
        </is>
      </c>
      <c r="J10" s="14" t="inlineStr">
        <is>
          <t>北野</t>
        </is>
      </c>
      <c r="K10" s="14" t="n">
        <v>1500</v>
      </c>
      <c r="L10" s="13" t="inlineStr">
        <is>
          <t>自社ブログ→EC</t>
        </is>
      </c>
      <c r="M10" s="17" t="inlineStr"/>
      <c r="N10" s="17" t="inlineStr">
        <is>
          <t>未着手</t>
        </is>
      </c>
    </row>
    <row r="12">
      <c r="A12" s="15" t="inlineStr">
        <is>
          <t>凡例：アンバー列(公開予定日・ステータス)を随時更新。運用タイプ/担当/難易度/Vol/ステータスはプルダウン選択。Vol目安=大中小(正確値はキーワードプランナーで確認)。</t>
        </is>
      </c>
    </row>
  </sheetData>
  <mergeCells count="3">
    <mergeCell ref="A12:N12"/>
    <mergeCell ref="A2:N2"/>
    <mergeCell ref="A1:N1"/>
  </mergeCells>
  <dataValidations count="5">
    <dataValidation sqref="I5:I10" showDropDown="0" showInputMessage="0" showErrorMessage="0" allowBlank="1" type="list">
      <formula1>"①自社・写真広告,②第三者・アフィリ,③PR TIMES"</formula1>
    </dataValidation>
    <dataValidation sqref="J5:J10" showDropDown="0" showInputMessage="0" showErrorMessage="0" allowBlank="1" type="list">
      <formula1>"北野,雪乃,西岡"</formula1>
    </dataValidation>
    <dataValidation sqref="N5:N10" showDropDown="0" showInputMessage="0" showErrorMessage="0" allowBlank="1" type="list">
      <formula1>"未着手,構成中,執筆中,入稿待ち,公開済み,リライト"</formula1>
    </dataValidation>
    <dataValidation sqref="F5:F10" showDropDown="0" showInputMessage="0" showErrorMessage="0" allowBlank="1" type="list">
      <formula1>"高,中,低"</formula1>
    </dataValidation>
    <dataValidation sqref="E5:E10" showDropDown="0" showInputMessage="0" showErrorMessage="0" allowBlank="1" type="list">
      <formula1>"大,中,小"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2" customWidth="1" min="4" max="4"/>
    <col width="7" customWidth="1" min="5" max="5"/>
    <col width="7" customWidth="1" min="6" max="6"/>
    <col width="34" customWidth="1" min="7" max="7"/>
    <col width="22" customWidth="1" min="8" max="8"/>
    <col width="16" customWidth="1" min="9" max="9"/>
    <col width="8" customWidth="1" min="10" max="10"/>
    <col width="9" customWidth="1" min="11" max="11"/>
    <col width="20" customWidth="1" min="12" max="12"/>
    <col width="12" customWidth="1" min="13" max="13"/>
    <col width="12" customWidth="1" min="14" max="14"/>
  </cols>
  <sheetData>
    <row r="1" ht="34" customHeight="1">
      <c r="A1" s="1" t="inlineStr">
        <is>
          <t>多機能アルミニウムスーツケース</t>
        </is>
      </c>
    </row>
    <row r="2" ht="24" customHeight="1">
      <c r="A2" s="2" t="inlineStr">
        <is>
          <t>ターゲット：機能を比較して選ぶ層／訴求：多機能スーツケース・キャスターロック・機内持ち込み(コアKW)</t>
        </is>
      </c>
    </row>
    <row r="4" ht="32" customHeight="1">
      <c r="A4" s="5" t="inlineStr">
        <is>
          <t>No.</t>
        </is>
      </c>
      <c r="B4" s="5" t="inlineStr">
        <is>
          <t>対策KW(主)</t>
        </is>
      </c>
      <c r="C4" s="5" t="inlineStr">
        <is>
          <t>掛け合わせビッグワード</t>
        </is>
      </c>
      <c r="D4" s="5" t="inlineStr">
        <is>
          <t>検索意図</t>
        </is>
      </c>
      <c r="E4" s="5" t="inlineStr">
        <is>
          <t>Vol目安</t>
        </is>
      </c>
      <c r="F4" s="5" t="inlineStr">
        <is>
          <t>難易度</t>
        </is>
      </c>
      <c r="G4" s="5" t="inlineStr">
        <is>
          <t>記事タイトル案</t>
        </is>
      </c>
      <c r="H4" s="5" t="inlineStr">
        <is>
          <t>URLスラッグ</t>
        </is>
      </c>
      <c r="I4" s="5" t="inlineStr">
        <is>
          <t>運用タイプ</t>
        </is>
      </c>
      <c r="J4" s="5" t="inlineStr">
        <is>
          <t>担当</t>
        </is>
      </c>
      <c r="K4" s="5" t="inlineStr">
        <is>
          <t>想定文字数</t>
        </is>
      </c>
      <c r="L4" s="5" t="inlineStr">
        <is>
          <t>CTA・リンク先</t>
        </is>
      </c>
      <c r="M4" s="5" t="inlineStr">
        <is>
          <t>公開予定日</t>
        </is>
      </c>
      <c r="N4" s="5" t="inlineStr">
        <is>
          <t>ステータス</t>
        </is>
      </c>
    </row>
    <row r="5" ht="30" customHeight="1">
      <c r="A5" s="7" t="n">
        <v>1</v>
      </c>
      <c r="B5" s="12" t="inlineStr">
        <is>
          <t>多機能スーツケース</t>
        </is>
      </c>
      <c r="C5" s="12" t="inlineStr">
        <is>
          <t>多機能スーツケース アルミ 比較</t>
        </is>
      </c>
      <c r="D5" s="12" t="inlineStr">
        <is>
          <t>機能重視</t>
        </is>
      </c>
      <c r="E5" s="7" t="inlineStr">
        <is>
          <t>中</t>
        </is>
      </c>
      <c r="F5" s="7" t="inlineStr">
        <is>
          <t>高</t>
        </is>
      </c>
      <c r="G5" s="12" t="inlineStr">
        <is>
          <t>多機能スーツケースとは？「全部入り」アルミを徹底解剖</t>
        </is>
      </c>
      <c r="H5" s="12" t="inlineStr">
        <is>
          <t>multifunction-suitcase</t>
        </is>
      </c>
      <c r="I5" s="7" t="inlineStr">
        <is>
          <t>①自社・写真広告</t>
        </is>
      </c>
      <c r="J5" s="7" t="inlineStr">
        <is>
          <t>西岡</t>
        </is>
      </c>
      <c r="K5" s="7" t="n">
        <v>5000</v>
      </c>
      <c r="L5" s="12" t="inlineStr">
        <is>
          <t>自社EC 商品ページ</t>
        </is>
      </c>
      <c r="M5" s="17" t="inlineStr"/>
      <c r="N5" s="17" t="inlineStr">
        <is>
          <t>未着手</t>
        </is>
      </c>
    </row>
    <row r="6" ht="30" customHeight="1">
      <c r="A6" s="14" t="n">
        <v>2</v>
      </c>
      <c r="B6" s="13" t="inlineStr">
        <is>
          <t>多機能スーツケース</t>
        </is>
      </c>
      <c r="C6" s="13" t="inlineStr">
        <is>
          <t>多機能 スーツケース おすすめ ランキング</t>
        </is>
      </c>
      <c r="D6" s="13" t="inlineStr">
        <is>
          <t>比較・CV近</t>
        </is>
      </c>
      <c r="E6" s="14" t="inlineStr">
        <is>
          <t>中</t>
        </is>
      </c>
      <c r="F6" s="14" t="inlineStr">
        <is>
          <t>高</t>
        </is>
      </c>
      <c r="G6" s="13" t="inlineStr">
        <is>
          <t>多機能スーツケースおすすめ比較｜機能で選ぶ完全ガイド</t>
        </is>
      </c>
      <c r="H6" s="13" t="inlineStr">
        <is>
          <t>multifunction-ranking</t>
        </is>
      </c>
      <c r="I6" s="14" t="inlineStr">
        <is>
          <t>②第三者・アフィリ</t>
        </is>
      </c>
      <c r="J6" s="14" t="inlineStr">
        <is>
          <t>西岡</t>
        </is>
      </c>
      <c r="K6" s="14" t="n">
        <v>7000</v>
      </c>
      <c r="L6" s="13" t="inlineStr">
        <is>
          <t>比較ページ</t>
        </is>
      </c>
      <c r="M6" s="17" t="inlineStr"/>
      <c r="N6" s="17" t="inlineStr">
        <is>
          <t>未着手</t>
        </is>
      </c>
    </row>
    <row r="7" ht="30" customHeight="1">
      <c r="A7" s="7" t="n">
        <v>3</v>
      </c>
      <c r="B7" s="12" t="inlineStr">
        <is>
          <t>キャスターロック</t>
        </is>
      </c>
      <c r="C7" s="12" t="inlineStr">
        <is>
          <t>キャスターロック スーツケース 便利</t>
        </is>
      </c>
      <c r="D7" s="12" t="inlineStr">
        <is>
          <t>機能訴求</t>
        </is>
      </c>
      <c r="E7" s="7" t="inlineStr">
        <is>
          <t>小</t>
        </is>
      </c>
      <c r="F7" s="7" t="inlineStr">
        <is>
          <t>低</t>
        </is>
      </c>
      <c r="G7" s="12" t="inlineStr">
        <is>
          <t>キャスターロック＋TSA＋拡張｜多機能の便利機能まとめ</t>
        </is>
      </c>
      <c r="H7" s="12" t="inlineStr">
        <is>
          <t>multifunction-features</t>
        </is>
      </c>
      <c r="I7" s="7" t="inlineStr">
        <is>
          <t>①自社・写真広告</t>
        </is>
      </c>
      <c r="J7" s="7" t="inlineStr">
        <is>
          <t>雪乃</t>
        </is>
      </c>
      <c r="K7" s="7" t="n">
        <v>4000</v>
      </c>
      <c r="L7" s="12" t="inlineStr">
        <is>
          <t>自社EC 商品ページ</t>
        </is>
      </c>
      <c r="M7" s="17" t="inlineStr"/>
      <c r="N7" s="17" t="inlineStr">
        <is>
          <t>未着手</t>
        </is>
      </c>
    </row>
    <row r="8" ht="30" customHeight="1">
      <c r="A8" s="14" t="n">
        <v>4</v>
      </c>
      <c r="B8" s="13" t="inlineStr">
        <is>
          <t>機内持ち込み</t>
        </is>
      </c>
      <c r="C8" s="13" t="inlineStr">
        <is>
          <t>多機能 スーツケース 機内持ち込み</t>
        </is>
      </c>
      <c r="D8" s="13" t="inlineStr">
        <is>
          <t>CV近</t>
        </is>
      </c>
      <c r="E8" s="14" t="inlineStr">
        <is>
          <t>大</t>
        </is>
      </c>
      <c r="F8" s="14" t="inlineStr">
        <is>
          <t>高</t>
        </is>
      </c>
      <c r="G8" s="13" t="inlineStr">
        <is>
          <t>多機能なのに機内持ち込みOK｜出張で最強の1台</t>
        </is>
      </c>
      <c r="H8" s="13" t="inlineStr">
        <is>
          <t>multifunction-carryon</t>
        </is>
      </c>
      <c r="I8" s="14" t="inlineStr">
        <is>
          <t>①自社・写真広告</t>
        </is>
      </c>
      <c r="J8" s="14" t="inlineStr">
        <is>
          <t>雪乃</t>
        </is>
      </c>
      <c r="K8" s="14" t="n">
        <v>4500</v>
      </c>
      <c r="L8" s="13" t="inlineStr">
        <is>
          <t>自社EC 商品ページ</t>
        </is>
      </c>
      <c r="M8" s="17" t="inlineStr"/>
      <c r="N8" s="17" t="inlineStr">
        <is>
          <t>未着手</t>
        </is>
      </c>
    </row>
    <row r="9" ht="30" customHeight="1">
      <c r="A9" s="7" t="n">
        <v>5</v>
      </c>
      <c r="B9" s="12" t="inlineStr">
        <is>
          <t>スーツケース 機能 比較</t>
        </is>
      </c>
      <c r="C9" s="12" t="inlineStr">
        <is>
          <t>スーツケース 機能 比較 表</t>
        </is>
      </c>
      <c r="D9" s="12" t="inlineStr">
        <is>
          <t>比較</t>
        </is>
      </c>
      <c r="E9" s="7" t="inlineStr">
        <is>
          <t>中</t>
        </is>
      </c>
      <c r="F9" s="7" t="inlineStr">
        <is>
          <t>中</t>
        </is>
      </c>
      <c r="G9" s="12" t="inlineStr">
        <is>
          <t>スーツケースの機能を一覧比較｜どこまで必要?</t>
        </is>
      </c>
      <c r="H9" s="12" t="inlineStr">
        <is>
          <t>suitcase-feature-compare</t>
        </is>
      </c>
      <c r="I9" s="7" t="inlineStr">
        <is>
          <t>②第三者・アフィリ</t>
        </is>
      </c>
      <c r="J9" s="7" t="inlineStr">
        <is>
          <t>西岡</t>
        </is>
      </c>
      <c r="K9" s="7" t="n">
        <v>6000</v>
      </c>
      <c r="L9" s="12" t="inlineStr">
        <is>
          <t>比較ページ</t>
        </is>
      </c>
      <c r="M9" s="17" t="inlineStr"/>
      <c r="N9" s="17" t="inlineStr">
        <is>
          <t>未着手</t>
        </is>
      </c>
    </row>
    <row r="10" ht="30" customHeight="1">
      <c r="A10" s="14" t="n">
        <v>6</v>
      </c>
      <c r="B10" s="13" t="inlineStr">
        <is>
          <t>新機能PR</t>
        </is>
      </c>
      <c r="C10" s="13" t="inlineStr">
        <is>
          <t>リベティ 多機能 スーツケース 新機能</t>
        </is>
      </c>
      <c r="D10" s="13" t="inlineStr">
        <is>
          <t>話題化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【新発売】キャスターロック搭載の多機能アルミを発表</t>
        </is>
      </c>
      <c r="H10" s="13" t="inlineStr">
        <is>
          <t>prtimes-multifunction</t>
        </is>
      </c>
      <c r="I10" s="14" t="inlineStr">
        <is>
          <t>③PR TIMES</t>
        </is>
      </c>
      <c r="J10" s="14" t="inlineStr">
        <is>
          <t>北野</t>
        </is>
      </c>
      <c r="K10" s="14" t="n">
        <v>1500</v>
      </c>
      <c r="L10" s="13" t="inlineStr">
        <is>
          <t>自社ブログ→EC</t>
        </is>
      </c>
      <c r="M10" s="17" t="inlineStr"/>
      <c r="N10" s="17" t="inlineStr">
        <is>
          <t>未着手</t>
        </is>
      </c>
    </row>
    <row r="12">
      <c r="A12" s="15" t="inlineStr">
        <is>
          <t>凡例：アンバー列(公開予定日・ステータス)を随時更新。運用タイプ/担当/難易度/Vol/ステータスはプルダウン選択。Vol目安=大中小(正確値はキーワードプランナーで確認)。</t>
        </is>
      </c>
    </row>
  </sheetData>
  <mergeCells count="3">
    <mergeCell ref="A12:N12"/>
    <mergeCell ref="A2:N2"/>
    <mergeCell ref="A1:N1"/>
  </mergeCells>
  <dataValidations count="5">
    <dataValidation sqref="I5:I10" showDropDown="0" showInputMessage="0" showErrorMessage="0" allowBlank="1" type="list">
      <formula1>"①自社・写真広告,②第三者・アフィリ,③PR TIMES"</formula1>
    </dataValidation>
    <dataValidation sqref="J5:J10" showDropDown="0" showInputMessage="0" showErrorMessage="0" allowBlank="1" type="list">
      <formula1>"北野,雪乃,西岡"</formula1>
    </dataValidation>
    <dataValidation sqref="N5:N10" showDropDown="0" showInputMessage="0" showErrorMessage="0" allowBlank="1" type="list">
      <formula1>"未着手,構成中,執筆中,入稿待ち,公開済み,リライト"</formula1>
    </dataValidation>
    <dataValidation sqref="F5:F10" showDropDown="0" showInputMessage="0" showErrorMessage="0" allowBlank="1" type="list">
      <formula1>"高,中,低"</formula1>
    </dataValidation>
    <dataValidation sqref="E5:E10" showDropDown="0" showInputMessage="0" showErrorMessage="0" allowBlank="1" type="list">
      <formula1>"大,中,小"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2" customWidth="1" min="4" max="4"/>
    <col width="7" customWidth="1" min="5" max="5"/>
    <col width="7" customWidth="1" min="6" max="6"/>
    <col width="34" customWidth="1" min="7" max="7"/>
    <col width="22" customWidth="1" min="8" max="8"/>
    <col width="16" customWidth="1" min="9" max="9"/>
    <col width="8" customWidth="1" min="10" max="10"/>
    <col width="9" customWidth="1" min="11" max="11"/>
    <col width="20" customWidth="1" min="12" max="12"/>
    <col width="12" customWidth="1" min="13" max="13"/>
    <col width="12" customWidth="1" min="14" max="14"/>
  </cols>
  <sheetData>
    <row r="1" ht="34" customHeight="1">
      <c r="A1" s="1" t="inlineStr">
        <is>
          <t>ジップタイプスーツケース</t>
        </is>
      </c>
    </row>
    <row r="2" ht="24" customHeight="1">
      <c r="A2" s="2" t="inlineStr">
        <is>
          <t>ターゲット：軽さ・価格・使い勝手重視の層／訴求：軽量・拡張・機内持ち込み・キャリーケース</t>
        </is>
      </c>
    </row>
    <row r="4" ht="32" customHeight="1">
      <c r="A4" s="5" t="inlineStr">
        <is>
          <t>No.</t>
        </is>
      </c>
      <c r="B4" s="5" t="inlineStr">
        <is>
          <t>対策KW(主)</t>
        </is>
      </c>
      <c r="C4" s="5" t="inlineStr">
        <is>
          <t>掛け合わせビッグワード</t>
        </is>
      </c>
      <c r="D4" s="5" t="inlineStr">
        <is>
          <t>検索意図</t>
        </is>
      </c>
      <c r="E4" s="5" t="inlineStr">
        <is>
          <t>Vol目安</t>
        </is>
      </c>
      <c r="F4" s="5" t="inlineStr">
        <is>
          <t>難易度</t>
        </is>
      </c>
      <c r="G4" s="5" t="inlineStr">
        <is>
          <t>記事タイトル案</t>
        </is>
      </c>
      <c r="H4" s="5" t="inlineStr">
        <is>
          <t>URLスラッグ</t>
        </is>
      </c>
      <c r="I4" s="5" t="inlineStr">
        <is>
          <t>運用タイプ</t>
        </is>
      </c>
      <c r="J4" s="5" t="inlineStr">
        <is>
          <t>担当</t>
        </is>
      </c>
      <c r="K4" s="5" t="inlineStr">
        <is>
          <t>想定文字数</t>
        </is>
      </c>
      <c r="L4" s="5" t="inlineStr">
        <is>
          <t>CTA・リンク先</t>
        </is>
      </c>
      <c r="M4" s="5" t="inlineStr">
        <is>
          <t>公開予定日</t>
        </is>
      </c>
      <c r="N4" s="5" t="inlineStr">
        <is>
          <t>ステータス</t>
        </is>
      </c>
    </row>
    <row r="5" ht="30" customHeight="1">
      <c r="A5" s="7" t="n">
        <v>1</v>
      </c>
      <c r="B5" s="12" t="inlineStr">
        <is>
          <t>スーツケース 軽量</t>
        </is>
      </c>
      <c r="C5" s="12" t="inlineStr">
        <is>
          <t>軽量 スーツケース ジッパー</t>
        </is>
      </c>
      <c r="D5" s="12" t="inlineStr">
        <is>
          <t>軽さ重視</t>
        </is>
      </c>
      <c r="E5" s="7" t="inlineStr">
        <is>
          <t>大</t>
        </is>
      </c>
      <c r="F5" s="7" t="inlineStr">
        <is>
          <t>高</t>
        </is>
      </c>
      <c r="G5" s="12" t="inlineStr">
        <is>
          <t>軽いスーツケースならジップタイプ｜軽量の理由と選び方</t>
        </is>
      </c>
      <c r="H5" s="12" t="inlineStr">
        <is>
          <t>zip-lightweight</t>
        </is>
      </c>
      <c r="I5" s="7" t="inlineStr">
        <is>
          <t>①自社・写真広告</t>
        </is>
      </c>
      <c r="J5" s="7" t="inlineStr">
        <is>
          <t>雪乃</t>
        </is>
      </c>
      <c r="K5" s="7" t="n">
        <v>4000</v>
      </c>
      <c r="L5" s="12" t="inlineStr">
        <is>
          <t>自社EC 商品ページ</t>
        </is>
      </c>
      <c r="M5" s="17" t="inlineStr"/>
      <c r="N5" s="17" t="inlineStr">
        <is>
          <t>未着手</t>
        </is>
      </c>
    </row>
    <row r="6" ht="30" customHeight="1">
      <c r="A6" s="14" t="n">
        <v>2</v>
      </c>
      <c r="B6" s="13" t="inlineStr">
        <is>
          <t>キャリーケース</t>
        </is>
      </c>
      <c r="C6" s="13" t="inlineStr">
        <is>
          <t>キャリーケース 軽量 拡張</t>
        </is>
      </c>
      <c r="D6" s="13" t="inlineStr">
        <is>
          <t>比較</t>
        </is>
      </c>
      <c r="E6" s="14" t="inlineStr">
        <is>
          <t>大</t>
        </is>
      </c>
      <c r="F6" s="14" t="inlineStr">
        <is>
          <t>高</t>
        </is>
      </c>
      <c r="G6" s="13" t="inlineStr">
        <is>
          <t>拡張できるキャリーケース｜荷物が増えても安心の1台</t>
        </is>
      </c>
      <c r="H6" s="13" t="inlineStr">
        <is>
          <t>expandable-carrycase</t>
        </is>
      </c>
      <c r="I6" s="14" t="inlineStr">
        <is>
          <t>①自社・写真広告</t>
        </is>
      </c>
      <c r="J6" s="14" t="inlineStr">
        <is>
          <t>雪乃</t>
        </is>
      </c>
      <c r="K6" s="14" t="n">
        <v>4500</v>
      </c>
      <c r="L6" s="13" t="inlineStr">
        <is>
          <t>自社EC 商品ページ</t>
        </is>
      </c>
      <c r="M6" s="17" t="inlineStr"/>
      <c r="N6" s="17" t="inlineStr">
        <is>
          <t>未着手</t>
        </is>
      </c>
    </row>
    <row r="7" ht="30" customHeight="1">
      <c r="A7" s="7" t="n">
        <v>3</v>
      </c>
      <c r="B7" s="12" t="inlineStr">
        <is>
          <t>スーツケース ファスナー フレーム 違い</t>
        </is>
      </c>
      <c r="C7" s="12" t="inlineStr">
        <is>
          <t>ジッパー フレーム 比較</t>
        </is>
      </c>
      <c r="D7" s="12" t="inlineStr">
        <is>
          <t>比較検討</t>
        </is>
      </c>
      <c r="E7" s="7" t="inlineStr">
        <is>
          <t>中</t>
        </is>
      </c>
      <c r="F7" s="7" t="inlineStr">
        <is>
          <t>中</t>
        </is>
      </c>
      <c r="G7" s="12" t="inlineStr">
        <is>
          <t>ジッパーvsフレーム徹底比較｜初めてはどっち?</t>
        </is>
      </c>
      <c r="H7" s="12" t="inlineStr">
        <is>
          <t>zip-vs-frame</t>
        </is>
      </c>
      <c r="I7" s="7" t="inlineStr">
        <is>
          <t>②第三者・アフィリ</t>
        </is>
      </c>
      <c r="J7" s="7" t="inlineStr">
        <is>
          <t>西岡</t>
        </is>
      </c>
      <c r="K7" s="7" t="n">
        <v>6000</v>
      </c>
      <c r="L7" s="12" t="inlineStr">
        <is>
          <t>比較ページ</t>
        </is>
      </c>
      <c r="M7" s="17" t="inlineStr"/>
      <c r="N7" s="17" t="inlineStr">
        <is>
          <t>未着手</t>
        </is>
      </c>
    </row>
    <row r="8" ht="30" customHeight="1">
      <c r="A8" s="14" t="n">
        <v>4</v>
      </c>
      <c r="B8" s="13" t="inlineStr">
        <is>
          <t>機内持ち込み</t>
        </is>
      </c>
      <c r="C8" s="13" t="inlineStr">
        <is>
          <t>機内持ち込み 軽量 スーツケース</t>
        </is>
      </c>
      <c r="D8" s="13" t="inlineStr">
        <is>
          <t>CV近</t>
        </is>
      </c>
      <c r="E8" s="14" t="inlineStr">
        <is>
          <t>大</t>
        </is>
      </c>
      <c r="F8" s="14" t="inlineStr">
        <is>
          <t>高</t>
        </is>
      </c>
      <c r="G8" s="13" t="inlineStr">
        <is>
          <t>機内持ち込み最軽量級｜LCCでも安心のジップタイプ</t>
        </is>
      </c>
      <c r="H8" s="13" t="inlineStr">
        <is>
          <t>zip-carryon-light</t>
        </is>
      </c>
      <c r="I8" s="14" t="inlineStr">
        <is>
          <t>①自社・写真広告</t>
        </is>
      </c>
      <c r="J8" s="14" t="inlineStr">
        <is>
          <t>雪乃</t>
        </is>
      </c>
      <c r="K8" s="14" t="n">
        <v>4500</v>
      </c>
      <c r="L8" s="13" t="inlineStr">
        <is>
          <t>自社EC 商品ページ</t>
        </is>
      </c>
      <c r="M8" s="17" t="inlineStr"/>
      <c r="N8" s="17" t="inlineStr">
        <is>
          <t>未着手</t>
        </is>
      </c>
    </row>
    <row r="9" ht="30" customHeight="1">
      <c r="A9" s="7" t="n">
        <v>5</v>
      </c>
      <c r="B9" s="12" t="inlineStr">
        <is>
          <t>スーツケース コスパ</t>
        </is>
      </c>
      <c r="C9" s="12" t="inlineStr">
        <is>
          <t>コスパ スーツケース おすすめ</t>
        </is>
      </c>
      <c r="D9" s="12" t="inlineStr">
        <is>
          <t>価格重視</t>
        </is>
      </c>
      <c r="E9" s="7" t="inlineStr">
        <is>
          <t>中</t>
        </is>
      </c>
      <c r="F9" s="7" t="inlineStr">
        <is>
          <t>中</t>
        </is>
      </c>
      <c r="G9" s="12" t="inlineStr">
        <is>
          <t>コスパ最強スーツケース比較｜安くて丈夫を見抜く</t>
        </is>
      </c>
      <c r="H9" s="12" t="inlineStr">
        <is>
          <t>cospa-suitcase</t>
        </is>
      </c>
      <c r="I9" s="7" t="inlineStr">
        <is>
          <t>②第三者・アフィリ</t>
        </is>
      </c>
      <c r="J9" s="7" t="inlineStr">
        <is>
          <t>西岡</t>
        </is>
      </c>
      <c r="K9" s="7" t="n">
        <v>6000</v>
      </c>
      <c r="L9" s="12" t="inlineStr">
        <is>
          <t>比較ページ</t>
        </is>
      </c>
      <c r="M9" s="17" t="inlineStr"/>
      <c r="N9" s="17" t="inlineStr">
        <is>
          <t>未着手</t>
        </is>
      </c>
    </row>
    <row r="10" ht="30" customHeight="1">
      <c r="A10" s="14" t="n">
        <v>6</v>
      </c>
      <c r="B10" s="13" t="inlineStr">
        <is>
          <t>新色PR</t>
        </is>
      </c>
      <c r="C10" s="13" t="inlineStr">
        <is>
          <t>リベティ ジップ スーツケース 新色</t>
        </is>
      </c>
      <c r="D10" s="13" t="inlineStr">
        <is>
          <t>話題化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【新色発売】軽量ジップスーツケースにカラー追加</t>
        </is>
      </c>
      <c r="H10" s="13" t="inlineStr">
        <is>
          <t>prtimes-zip-color</t>
        </is>
      </c>
      <c r="I10" s="14" t="inlineStr">
        <is>
          <t>③PR TIMES</t>
        </is>
      </c>
      <c r="J10" s="14" t="inlineStr">
        <is>
          <t>北野</t>
        </is>
      </c>
      <c r="K10" s="14" t="n">
        <v>1200</v>
      </c>
      <c r="L10" s="13" t="inlineStr">
        <is>
          <t>自社ブログ→EC</t>
        </is>
      </c>
      <c r="M10" s="17" t="inlineStr"/>
      <c r="N10" s="17" t="inlineStr">
        <is>
          <t>未着手</t>
        </is>
      </c>
    </row>
    <row r="12">
      <c r="A12" s="15" t="inlineStr">
        <is>
          <t>凡例：アンバー列(公開予定日・ステータス)を随時更新。運用タイプ/担当/難易度/Vol/ステータスはプルダウン選択。Vol目安=大中小(正確値はキーワードプランナーで確認)。</t>
        </is>
      </c>
    </row>
  </sheetData>
  <mergeCells count="3">
    <mergeCell ref="A12:N12"/>
    <mergeCell ref="A2:N2"/>
    <mergeCell ref="A1:N1"/>
  </mergeCells>
  <dataValidations count="5">
    <dataValidation sqref="I5:I10" showDropDown="0" showInputMessage="0" showErrorMessage="0" allowBlank="1" type="list">
      <formula1>"①自社・写真広告,②第三者・アフィリ,③PR TIMES"</formula1>
    </dataValidation>
    <dataValidation sqref="J5:J10" showDropDown="0" showInputMessage="0" showErrorMessage="0" allowBlank="1" type="list">
      <formula1>"北野,雪乃,西岡"</formula1>
    </dataValidation>
    <dataValidation sqref="N5:N10" showDropDown="0" showInputMessage="0" showErrorMessage="0" allowBlank="1" type="list">
      <formula1>"未着手,構成中,執筆中,入稿待ち,公開済み,リライト"</formula1>
    </dataValidation>
    <dataValidation sqref="F5:F10" showDropDown="0" showInputMessage="0" showErrorMessage="0" allowBlank="1" type="list">
      <formula1>"高,中,低"</formula1>
    </dataValidation>
    <dataValidation sqref="E5:E10" showDropDown="0" showInputMessage="0" showErrorMessage="0" allowBlank="1" type="list">
      <formula1>"大,中,小"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2" customWidth="1" min="4" max="4"/>
    <col width="7" customWidth="1" min="5" max="5"/>
    <col width="7" customWidth="1" min="6" max="6"/>
    <col width="34" customWidth="1" min="7" max="7"/>
    <col width="22" customWidth="1" min="8" max="8"/>
    <col width="16" customWidth="1" min="9" max="9"/>
    <col width="8" customWidth="1" min="10" max="10"/>
    <col width="9" customWidth="1" min="11" max="11"/>
    <col width="20" customWidth="1" min="12" max="12"/>
    <col width="12" customWidth="1" min="13" max="13"/>
    <col width="12" customWidth="1" min="14" max="14"/>
  </cols>
  <sheetData>
    <row r="1" ht="34" customHeight="1">
      <c r="A1" s="1" t="inlineStr">
        <is>
          <t>留学アウトドアスーツケース</t>
        </is>
      </c>
    </row>
    <row r="2" ht="24" customHeight="1">
      <c r="A2" s="2" t="inlineStr">
        <is>
          <t>ターゲット：留学・長期・アウトドア層／訴求：大容量・丈夫さ・大型キャリーケース</t>
        </is>
      </c>
    </row>
    <row r="4" ht="32" customHeight="1">
      <c r="A4" s="5" t="inlineStr">
        <is>
          <t>No.</t>
        </is>
      </c>
      <c r="B4" s="5" t="inlineStr">
        <is>
          <t>対策KW(主)</t>
        </is>
      </c>
      <c r="C4" s="5" t="inlineStr">
        <is>
          <t>掛け合わせビッグワード</t>
        </is>
      </c>
      <c r="D4" s="5" t="inlineStr">
        <is>
          <t>検索意図</t>
        </is>
      </c>
      <c r="E4" s="5" t="inlineStr">
        <is>
          <t>Vol目安</t>
        </is>
      </c>
      <c r="F4" s="5" t="inlineStr">
        <is>
          <t>難易度</t>
        </is>
      </c>
      <c r="G4" s="5" t="inlineStr">
        <is>
          <t>記事タイトル案</t>
        </is>
      </c>
      <c r="H4" s="5" t="inlineStr">
        <is>
          <t>URLスラッグ</t>
        </is>
      </c>
      <c r="I4" s="5" t="inlineStr">
        <is>
          <t>運用タイプ</t>
        </is>
      </c>
      <c r="J4" s="5" t="inlineStr">
        <is>
          <t>担当</t>
        </is>
      </c>
      <c r="K4" s="5" t="inlineStr">
        <is>
          <t>想定文字数</t>
        </is>
      </c>
      <c r="L4" s="5" t="inlineStr">
        <is>
          <t>CTA・リンク先</t>
        </is>
      </c>
      <c r="M4" s="5" t="inlineStr">
        <is>
          <t>公開予定日</t>
        </is>
      </c>
      <c r="N4" s="5" t="inlineStr">
        <is>
          <t>ステータス</t>
        </is>
      </c>
    </row>
    <row r="5" ht="30" customHeight="1">
      <c r="A5" s="7" t="n">
        <v>1</v>
      </c>
      <c r="B5" s="12" t="inlineStr">
        <is>
          <t>スーツケース 留学</t>
        </is>
      </c>
      <c r="C5" s="12" t="inlineStr">
        <is>
          <t>留学 スーツケース おすすめ 大容量</t>
        </is>
      </c>
      <c r="D5" s="12" t="inlineStr">
        <is>
          <t>長期渡航・CV近</t>
        </is>
      </c>
      <c r="E5" s="7" t="inlineStr">
        <is>
          <t>中</t>
        </is>
      </c>
      <c r="F5" s="7" t="inlineStr">
        <is>
          <t>中</t>
        </is>
      </c>
      <c r="G5" s="12" t="inlineStr">
        <is>
          <t>留学スーツケースの選び方｜大容量・預け入れ完全ガイド</t>
        </is>
      </c>
      <c r="H5" s="12" t="inlineStr">
        <is>
          <t>study-abroad-suitcase</t>
        </is>
      </c>
      <c r="I5" s="7" t="inlineStr">
        <is>
          <t>①自社・写真広告</t>
        </is>
      </c>
      <c r="J5" s="7" t="inlineStr">
        <is>
          <t>雪乃</t>
        </is>
      </c>
      <c r="K5" s="7" t="n">
        <v>5500</v>
      </c>
      <c r="L5" s="12" t="inlineStr">
        <is>
          <t>自社EC 商品ページ</t>
        </is>
      </c>
      <c r="M5" s="17" t="inlineStr"/>
      <c r="N5" s="17" t="inlineStr">
        <is>
          <t>未着手</t>
        </is>
      </c>
    </row>
    <row r="6" ht="30" customHeight="1">
      <c r="A6" s="14" t="n">
        <v>2</v>
      </c>
      <c r="B6" s="13" t="inlineStr">
        <is>
          <t>スーツケース 大型</t>
        </is>
      </c>
      <c r="C6" s="13" t="inlineStr">
        <is>
          <t>大型 スーツケース 長期旅行</t>
        </is>
      </c>
      <c r="D6" s="13" t="inlineStr">
        <is>
          <t>大容量ニーズ</t>
        </is>
      </c>
      <c r="E6" s="14" t="inlineStr">
        <is>
          <t>中</t>
        </is>
      </c>
      <c r="F6" s="14" t="inlineStr">
        <is>
          <t>中</t>
        </is>
      </c>
      <c r="G6" s="13" t="inlineStr">
        <is>
          <t>大型スーツケース比較｜長期・留学で失敗しない容量選び</t>
        </is>
      </c>
      <c r="H6" s="13" t="inlineStr">
        <is>
          <t>large-suitcase-compare</t>
        </is>
      </c>
      <c r="I6" s="14" t="inlineStr">
        <is>
          <t>②第三者・アフィリ</t>
        </is>
      </c>
      <c r="J6" s="14" t="inlineStr">
        <is>
          <t>西岡</t>
        </is>
      </c>
      <c r="K6" s="14" t="n">
        <v>6500</v>
      </c>
      <c r="L6" s="13" t="inlineStr">
        <is>
          <t>比較ページ</t>
        </is>
      </c>
      <c r="M6" s="17" t="inlineStr"/>
      <c r="N6" s="17" t="inlineStr">
        <is>
          <t>未着手</t>
        </is>
      </c>
    </row>
    <row r="7" ht="30" customHeight="1">
      <c r="A7" s="7" t="n">
        <v>3</v>
      </c>
      <c r="B7" s="12" t="inlineStr">
        <is>
          <t>スーツケース 何リットル 留学</t>
        </is>
      </c>
      <c r="C7" s="12" t="inlineStr">
        <is>
          <t>留学 スーツケース 容量 目安</t>
        </is>
      </c>
      <c r="D7" s="12" t="inlineStr">
        <is>
          <t>サイズ迷い</t>
        </is>
      </c>
      <c r="E7" s="7" t="inlineStr">
        <is>
          <t>小</t>
        </is>
      </c>
      <c r="F7" s="7" t="inlineStr">
        <is>
          <t>低</t>
        </is>
      </c>
      <c r="G7" s="12" t="inlineStr">
        <is>
          <t>留学は何リットル?滞在期間別の容量早見表</t>
        </is>
      </c>
      <c r="H7" s="12" t="inlineStr">
        <is>
          <t>study-abroad-liter</t>
        </is>
      </c>
      <c r="I7" s="7" t="inlineStr">
        <is>
          <t>①自社・写真広告</t>
        </is>
      </c>
      <c r="J7" s="7" t="inlineStr">
        <is>
          <t>雪乃</t>
        </is>
      </c>
      <c r="K7" s="7" t="n">
        <v>3500</v>
      </c>
      <c r="L7" s="12" t="inlineStr">
        <is>
          <t>自社EC 商品ページ</t>
        </is>
      </c>
      <c r="M7" s="17" t="inlineStr"/>
      <c r="N7" s="17" t="inlineStr">
        <is>
          <t>未着手</t>
        </is>
      </c>
    </row>
    <row r="8" ht="30" customHeight="1">
      <c r="A8" s="14" t="n">
        <v>4</v>
      </c>
      <c r="B8" s="13" t="inlineStr">
        <is>
          <t>スーツケース 丈夫 大型</t>
        </is>
      </c>
      <c r="C8" s="13" t="inlineStr">
        <is>
          <t>丈夫 大型 スーツケース アウトドア</t>
        </is>
      </c>
      <c r="D8" s="13" t="inlineStr">
        <is>
          <t>耐久重視</t>
        </is>
      </c>
      <c r="E8" s="14" t="inlineStr">
        <is>
          <t>小</t>
        </is>
      </c>
      <c r="F8" s="14" t="inlineStr">
        <is>
          <t>低</t>
        </is>
      </c>
      <c r="G8" s="13" t="inlineStr">
        <is>
          <t>ハードに使っても壊れない大型スーツケース｜アウトドア対応</t>
        </is>
      </c>
      <c r="H8" s="13" t="inlineStr">
        <is>
          <t>outdoor-durable</t>
        </is>
      </c>
      <c r="I8" s="14" t="inlineStr">
        <is>
          <t>②第三者・アフィリ</t>
        </is>
      </c>
      <c r="J8" s="14" t="inlineStr">
        <is>
          <t>西岡</t>
        </is>
      </c>
      <c r="K8" s="14" t="n">
        <v>5000</v>
      </c>
      <c r="L8" s="13" t="inlineStr">
        <is>
          <t>比較ページ</t>
        </is>
      </c>
      <c r="M8" s="17" t="inlineStr"/>
      <c r="N8" s="17" t="inlineStr">
        <is>
          <t>未着手</t>
        </is>
      </c>
    </row>
    <row r="9" ht="30" customHeight="1">
      <c r="A9" s="7" t="n">
        <v>5</v>
      </c>
      <c r="B9" s="12" t="inlineStr">
        <is>
          <t>キャリーケース 大型</t>
        </is>
      </c>
      <c r="C9" s="12" t="inlineStr">
        <is>
          <t>大型 キャリーケース 海外</t>
        </is>
      </c>
      <c r="D9" s="12" t="inlineStr">
        <is>
          <t>海外長期</t>
        </is>
      </c>
      <c r="E9" s="7" t="inlineStr">
        <is>
          <t>中</t>
        </is>
      </c>
      <c r="F9" s="7" t="inlineStr">
        <is>
          <t>中</t>
        </is>
      </c>
      <c r="G9" s="12" t="inlineStr">
        <is>
          <t>海外長期滞在のキャリーケース選び｜移動もラクな大容量</t>
        </is>
      </c>
      <c r="H9" s="12" t="inlineStr">
        <is>
          <t>large-carrycase-overseas</t>
        </is>
      </c>
      <c r="I9" s="7" t="inlineStr">
        <is>
          <t>①自社・写真広告</t>
        </is>
      </c>
      <c r="J9" s="7" t="inlineStr">
        <is>
          <t>雪乃</t>
        </is>
      </c>
      <c r="K9" s="7" t="n">
        <v>4500</v>
      </c>
      <c r="L9" s="12" t="inlineStr">
        <is>
          <t>自社EC 商品ページ</t>
        </is>
      </c>
      <c r="M9" s="17" t="inlineStr"/>
      <c r="N9" s="17" t="inlineStr">
        <is>
          <t>未着手</t>
        </is>
      </c>
    </row>
    <row r="10" ht="30" customHeight="1">
      <c r="A10" s="14" t="n">
        <v>6</v>
      </c>
      <c r="B10" s="13" t="inlineStr">
        <is>
          <t>留学特集PR</t>
        </is>
      </c>
      <c r="C10" s="13" t="inlineStr">
        <is>
          <t>リベティ 留学 スーツケース 特集</t>
        </is>
      </c>
      <c r="D10" s="13" t="inlineStr">
        <is>
          <t>季節話題</t>
        </is>
      </c>
      <c r="E10" s="14" t="inlineStr">
        <is>
          <t>小</t>
        </is>
      </c>
      <c r="F10" s="14" t="inlineStr">
        <is>
          <t>低</t>
        </is>
      </c>
      <c r="G10" s="13" t="inlineStr">
        <is>
          <t>【留学シーズン】大容量アウトドアスーツケースを提案</t>
        </is>
      </c>
      <c r="H10" s="13" t="inlineStr">
        <is>
          <t>prtimes-study-abroad</t>
        </is>
      </c>
      <c r="I10" s="14" t="inlineStr">
        <is>
          <t>③PR TIMES</t>
        </is>
      </c>
      <c r="J10" s="14" t="inlineStr">
        <is>
          <t>北野</t>
        </is>
      </c>
      <c r="K10" s="14" t="n">
        <v>1500</v>
      </c>
      <c r="L10" s="13" t="inlineStr">
        <is>
          <t>自社ブログ→EC</t>
        </is>
      </c>
      <c r="M10" s="17" t="inlineStr"/>
      <c r="N10" s="17" t="inlineStr">
        <is>
          <t>未着手</t>
        </is>
      </c>
    </row>
    <row r="12">
      <c r="A12" s="15" t="inlineStr">
        <is>
          <t>凡例：アンバー列(公開予定日・ステータス)を随時更新。運用タイプ/担当/難易度/Vol/ステータスはプルダウン選択。Vol目安=大中小(正確値はキーワードプランナーで確認)。</t>
        </is>
      </c>
    </row>
  </sheetData>
  <mergeCells count="3">
    <mergeCell ref="A12:N12"/>
    <mergeCell ref="A2:N2"/>
    <mergeCell ref="A1:N1"/>
  </mergeCells>
  <dataValidations count="5">
    <dataValidation sqref="I5:I10" showDropDown="0" showInputMessage="0" showErrorMessage="0" allowBlank="1" type="list">
      <formula1>"①自社・写真広告,②第三者・アフィリ,③PR TIMES"</formula1>
    </dataValidation>
    <dataValidation sqref="J5:J10" showDropDown="0" showInputMessage="0" showErrorMessage="0" allowBlank="1" type="list">
      <formula1>"北野,雪乃,西岡"</formula1>
    </dataValidation>
    <dataValidation sqref="N5:N10" showDropDown="0" showInputMessage="0" showErrorMessage="0" allowBlank="1" type="list">
      <formula1>"未着手,構成中,執筆中,入稿待ち,公開済み,リライト"</formula1>
    </dataValidation>
    <dataValidation sqref="F5:F10" showDropDown="0" showInputMessage="0" showErrorMessage="0" allowBlank="1" type="list">
      <formula1>"高,中,低"</formula1>
    </dataValidation>
    <dataValidation sqref="E5:E10" showDropDown="0" showInputMessage="0" showErrorMessage="0" allowBlank="1" type="list">
      <formula1>"大,中,小"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4" customWidth="1" min="4" max="4"/>
    <col width="18" customWidth="1" min="5" max="5"/>
    <col width="18" customWidth="1" min="6" max="6"/>
    <col width="10" customWidth="1" min="7" max="7"/>
    <col width="22" customWidth="1" min="8" max="8"/>
  </cols>
  <sheetData>
    <row r="1" ht="34" customHeight="1">
      <c r="A1" s="1" t="inlineStr">
        <is>
          <t>公開スケジュール（90日ロードマップ）</t>
        </is>
      </c>
    </row>
    <row r="2" ht="24" customHeight="1">
      <c r="A2" s="2" t="inlineStr">
        <is>
          <t>『まず面を取る→検証で信頼→広告で加速』の順。週1〜2本を継続。日付は着手時に確定させる。</t>
        </is>
      </c>
    </row>
    <row r="4" ht="32" customHeight="1">
      <c r="A4" s="5" t="inlineStr">
        <is>
          <t>週</t>
        </is>
      </c>
      <c r="B4" s="5" t="inlineStr">
        <is>
          <t>期間の目安</t>
        </is>
      </c>
      <c r="C4" s="5" t="inlineStr">
        <is>
          <t>フェーズ</t>
        </is>
      </c>
      <c r="D4" s="5" t="inlineStr">
        <is>
          <t>公開する記事(例)</t>
        </is>
      </c>
      <c r="E4" s="5" t="inlineStr">
        <is>
          <t>対象商品</t>
        </is>
      </c>
      <c r="F4" s="5" t="inlineStr">
        <is>
          <t>運用タイプ</t>
        </is>
      </c>
      <c r="G4" s="5" t="inlineStr">
        <is>
          <t>担当</t>
        </is>
      </c>
      <c r="H4" s="5" t="inlineStr">
        <is>
          <t>広告アクション</t>
        </is>
      </c>
    </row>
    <row r="5" ht="32" customHeight="1">
      <c r="A5" s="7" t="inlineStr">
        <is>
          <t>W1-2</t>
        </is>
      </c>
      <c r="B5" s="12" t="inlineStr">
        <is>
          <t>〜Day14</t>
        </is>
      </c>
      <c r="C5" s="7" t="inlineStr">
        <is>
          <t>土台</t>
        </is>
      </c>
      <c r="D5" s="12" t="inlineStr">
        <is>
          <t>選び方ピラー＋著者プロフィール整備／PR表記ルール確定</t>
        </is>
      </c>
      <c r="E5" s="12" t="inlineStr">
        <is>
          <t>全商品</t>
        </is>
      </c>
      <c r="F5" s="12" t="inlineStr">
        <is>
          <t>①/監修</t>
        </is>
      </c>
      <c r="G5" s="7" t="inlineStr">
        <is>
          <t>北野</t>
        </is>
      </c>
      <c r="H5" s="12" t="inlineStr"/>
    </row>
    <row r="6" ht="32" customHeight="1">
      <c r="A6" s="14" t="inlineStr">
        <is>
          <t>W3-4</t>
        </is>
      </c>
      <c r="B6" s="13" t="inlineStr">
        <is>
          <t>〜Day30</t>
        </is>
      </c>
      <c r="C6" s="14" t="inlineStr">
        <is>
          <t>面取り①</t>
        </is>
      </c>
      <c r="D6" s="13" t="inlineStr">
        <is>
          <t>フロントオープンPC／軽量ジップ／多機能とは</t>
        </is>
      </c>
      <c r="E6" s="13" t="inlineStr">
        <is>
          <t>PC/ジップ/多機能</t>
        </is>
      </c>
      <c r="F6" s="13" t="inlineStr">
        <is>
          <t>①自社・写真広告</t>
        </is>
      </c>
      <c r="G6" s="14" t="inlineStr">
        <is>
          <t>雪乃</t>
        </is>
      </c>
      <c r="H6" s="13" t="inlineStr"/>
    </row>
    <row r="7" ht="32" customHeight="1">
      <c r="A7" s="7" t="inlineStr">
        <is>
          <t>W5-6</t>
        </is>
      </c>
      <c r="B7" s="12" t="inlineStr">
        <is>
          <t>〜Day42</t>
        </is>
      </c>
      <c r="C7" s="7" t="inlineStr">
        <is>
          <t>信頼①</t>
        </is>
      </c>
      <c r="D7" s="12" t="inlineStr">
        <is>
          <t>ボーケン試験検証記事(アルミ)／PR TIMES配信</t>
        </is>
      </c>
      <c r="E7" s="12" t="inlineStr">
        <is>
          <t>クラシック/多機能アルミ</t>
        </is>
      </c>
      <c r="F7" s="12" t="inlineStr">
        <is>
          <t>②/③</t>
        </is>
      </c>
      <c r="G7" s="7" t="inlineStr">
        <is>
          <t>西岡・北野</t>
        </is>
      </c>
      <c r="H7" s="12" t="inlineStr">
        <is>
          <t>写真広告バナー入稿</t>
        </is>
      </c>
    </row>
    <row r="8" ht="32" customHeight="1">
      <c r="A8" s="14" t="inlineStr">
        <is>
          <t>W7-8</t>
        </is>
      </c>
      <c r="B8" s="13" t="inlineStr">
        <is>
          <t>〜Day56</t>
        </is>
      </c>
      <c r="C8" s="14" t="inlineStr">
        <is>
          <t>面取り②</t>
        </is>
      </c>
      <c r="D8" s="13" t="inlineStr">
        <is>
          <t>機内持ち込み対応表／留学容量ガイド</t>
        </is>
      </c>
      <c r="E8" s="13" t="inlineStr">
        <is>
          <t>PC/多機能/留学</t>
        </is>
      </c>
      <c r="F8" s="13" t="inlineStr">
        <is>
          <t>①自社・写真広告</t>
        </is>
      </c>
      <c r="G8" s="14" t="inlineStr">
        <is>
          <t>雪乃</t>
        </is>
      </c>
      <c r="H8" s="13" t="inlineStr">
        <is>
          <t>Google写真広告 開始</t>
        </is>
      </c>
    </row>
    <row r="9" ht="32" customHeight="1">
      <c r="A9" s="7" t="inlineStr">
        <is>
          <t>W9-10</t>
        </is>
      </c>
      <c r="B9" s="12" t="inlineStr">
        <is>
          <t>〜Day70</t>
        </is>
      </c>
      <c r="C9" s="7" t="inlineStr">
        <is>
          <t>比較・収益</t>
        </is>
      </c>
      <c r="D9" s="12" t="inlineStr">
        <is>
          <t>多機能おすすめ比較／出張比較(アフィリ)</t>
        </is>
      </c>
      <c r="E9" s="12" t="inlineStr">
        <is>
          <t>多機能/PC</t>
        </is>
      </c>
      <c r="F9" s="12" t="inlineStr">
        <is>
          <t>②第三者・アフィリ</t>
        </is>
      </c>
      <c r="G9" s="7" t="inlineStr">
        <is>
          <t>西岡</t>
        </is>
      </c>
      <c r="H9" s="12" t="inlineStr">
        <is>
          <t>アフィリ提携・計測開始</t>
        </is>
      </c>
    </row>
    <row r="10" ht="32" customHeight="1">
      <c r="A10" s="14" t="inlineStr">
        <is>
          <t>W11-12</t>
        </is>
      </c>
      <c r="B10" s="13" t="inlineStr">
        <is>
          <t>〜Day84</t>
        </is>
      </c>
      <c r="C10" s="14" t="inlineStr">
        <is>
          <t>拡張・話題</t>
        </is>
      </c>
      <c r="D10" s="13" t="inlineStr">
        <is>
          <t>ジッパーvsフレーム／新色・留学特集PR</t>
        </is>
      </c>
      <c r="E10" s="13" t="inlineStr">
        <is>
          <t>ジップ/留学</t>
        </is>
      </c>
      <c r="F10" s="13" t="inlineStr">
        <is>
          <t>②/③</t>
        </is>
      </c>
      <c r="G10" s="14" t="inlineStr">
        <is>
          <t>西岡・北野</t>
        </is>
      </c>
      <c r="H10" s="13" t="inlineStr">
        <is>
          <t>P-MAX 拡張</t>
        </is>
      </c>
    </row>
    <row r="11" ht="32" customHeight="1">
      <c r="A11" s="7" t="inlineStr">
        <is>
          <t>W13〜</t>
        </is>
      </c>
      <c r="B11" s="12" t="inlineStr">
        <is>
          <t>Day85〜</t>
        </is>
      </c>
      <c r="C11" s="7" t="inlineStr">
        <is>
          <t>改善</t>
        </is>
      </c>
      <c r="D11" s="12" t="inlineStr">
        <is>
          <t>GA4/Search Consoleで勝ち記事をリライト→上位化</t>
        </is>
      </c>
      <c r="E11" s="12" t="inlineStr">
        <is>
          <t>全商品</t>
        </is>
      </c>
      <c r="F11" s="12" t="inlineStr">
        <is>
          <t>全タイプ</t>
        </is>
      </c>
      <c r="G11" s="7" t="inlineStr">
        <is>
          <t>全員</t>
        </is>
      </c>
      <c r="H11" s="12" t="inlineStr">
        <is>
          <t>ROAS見て予算再配分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14" customWidth="1" min="4" max="4"/>
    <col width="10" customWidth="1" min="5" max="5"/>
    <col width="8" customWidth="1" min="6" max="6"/>
  </cols>
  <sheetData>
    <row r="1" ht="34" customHeight="1">
      <c r="A1" s="1" t="inlineStr">
        <is>
          <t>AI検索対策(LLMO/AEO)｜ChatGPT等に『リベティ』を拾わせる</t>
        </is>
      </c>
    </row>
    <row r="2" ht="24" customHeight="1">
      <c r="A2" s="2" t="inlineStr">
        <is>
          <t>生成AIは「引用しやすい一次情報・明快な構造・第三者言及」を好む。SEOと両輪で仕込む。</t>
        </is>
      </c>
    </row>
    <row r="5" ht="34" customHeight="1">
      <c r="A5" s="12" t="inlineStr">
        <is>
          <t>Q&amp;A・定義文で書く</t>
        </is>
      </c>
      <c r="B5" s="12" t="inlineStr">
        <is>
          <t>AIは明快な定義・箇条書きをそのまま引用しやすい</t>
        </is>
      </c>
      <c r="C5" s="12" t="inlineStr">
        <is>
          <t>各記事にFAQと『◯◯とは』の一文要約を必ず入れる</t>
        </is>
      </c>
      <c r="D5" s="12" t="inlineStr">
        <is>
          <t>全記事</t>
        </is>
      </c>
      <c r="E5" s="7" t="inlineStr">
        <is>
          <t>雪乃</t>
        </is>
      </c>
      <c r="F5" s="7" t="inlineStr">
        <is>
          <t>高</t>
        </is>
      </c>
    </row>
    <row r="6" ht="34" customHeight="1">
      <c r="A6" s="13" t="inlineStr">
        <is>
          <t>構造化データ(Schema)</t>
        </is>
      </c>
      <c r="B6" s="13" t="inlineStr">
        <is>
          <t>AI/検索がエンティティを正確に認識</t>
        </is>
      </c>
      <c r="C6" s="13" t="inlineStr">
        <is>
          <t>Product/FAQ/Review/BreadcrumbのJSON-LDを実装</t>
        </is>
      </c>
      <c r="D6" s="13" t="inlineStr">
        <is>
          <t>全記事</t>
        </is>
      </c>
      <c r="E6" s="14" t="inlineStr">
        <is>
          <t>西岡</t>
        </is>
      </c>
      <c r="F6" s="14" t="inlineStr">
        <is>
          <t>高</t>
        </is>
      </c>
    </row>
    <row r="7" ht="34" customHeight="1">
      <c r="A7" s="12" t="inlineStr">
        <is>
          <t>一次情報(独自データ)</t>
        </is>
      </c>
      <c r="B7" s="12" t="inlineStr">
        <is>
          <t>AIは「出典になれる」独自データを引用しやすい</t>
        </is>
      </c>
      <c r="C7" s="12" t="inlineStr">
        <is>
          <t>ボーケン試験結果・自社調査を数値で公開</t>
        </is>
      </c>
      <c r="D7" s="12" t="inlineStr">
        <is>
          <t>検証記事</t>
        </is>
      </c>
      <c r="E7" s="7" t="inlineStr">
        <is>
          <t>西岡</t>
        </is>
      </c>
      <c r="F7" s="7" t="inlineStr">
        <is>
          <t>高</t>
        </is>
      </c>
    </row>
    <row r="8" ht="34" customHeight="1">
      <c r="A8" s="13" t="inlineStr">
        <is>
          <t>第三者言及を増やす</t>
        </is>
      </c>
      <c r="B8" s="13" t="inlineStr">
        <is>
          <t>AIは複数ソースで言及される対象を推奨しやすい</t>
        </is>
      </c>
      <c r="C8" s="13" t="inlineStr">
        <is>
          <t>PR TIMES配信→メディア転載→被リンク/言及を蓄積</t>
        </is>
      </c>
      <c r="D8" s="13" t="inlineStr">
        <is>
          <t>③PR TIMES</t>
        </is>
      </c>
      <c r="E8" s="14" t="inlineStr">
        <is>
          <t>北野</t>
        </is>
      </c>
      <c r="F8" s="14" t="inlineStr">
        <is>
          <t>高</t>
        </is>
      </c>
    </row>
    <row r="9" ht="34" customHeight="1">
      <c r="A9" s="12" t="inlineStr">
        <is>
          <t>エンティティ一貫性</t>
        </is>
      </c>
      <c r="B9" s="12" t="inlineStr">
        <is>
          <t>「リベティ=多機能スーツケース」の関連を学習させる</t>
        </is>
      </c>
      <c r="C9" s="12" t="inlineStr">
        <is>
          <t>社名/商品名/特徴の表記を全媒体で統一</t>
        </is>
      </c>
      <c r="D9" s="12" t="inlineStr">
        <is>
          <t>全媒体</t>
        </is>
      </c>
      <c r="E9" s="7" t="inlineStr">
        <is>
          <t>北野</t>
        </is>
      </c>
      <c r="F9" s="7" t="inlineStr">
        <is>
          <t>中</t>
        </is>
      </c>
    </row>
    <row r="10" ht="34" customHeight="1">
      <c r="A10" s="13" t="inlineStr">
        <is>
          <t>比較表を載せる</t>
        </is>
      </c>
      <c r="B10" s="13" t="inlineStr">
        <is>
          <t>AIは表を要約・引用しやすい</t>
        </is>
      </c>
      <c r="C10" s="13" t="inlineStr">
        <is>
          <t>主要スペックの比較表を各カテゴリに設置</t>
        </is>
      </c>
      <c r="D10" s="13" t="inlineStr">
        <is>
          <t>比較記事</t>
        </is>
      </c>
      <c r="E10" s="14" t="inlineStr">
        <is>
          <t>西岡</t>
        </is>
      </c>
      <c r="F10" s="14" t="inlineStr">
        <is>
          <t>中</t>
        </is>
      </c>
    </row>
    <row r="11" ht="34" customHeight="1">
      <c r="A11" s="12" t="inlineStr">
        <is>
          <t>著者情報(E-E-A-T)</t>
        </is>
      </c>
      <c r="B11" s="12" t="inlineStr">
        <is>
          <t>誰が書いたかが信頼源として評価される</t>
        </is>
      </c>
      <c r="C11" s="12" t="inlineStr">
        <is>
          <t>著者プロフィール・監修者・更新日を明記</t>
        </is>
      </c>
      <c r="D11" s="12" t="inlineStr">
        <is>
          <t>全記事</t>
        </is>
      </c>
      <c r="E11" s="7" t="inlineStr">
        <is>
          <t>北野</t>
        </is>
      </c>
      <c r="F11" s="7" t="inlineStr">
        <is>
          <t>中</t>
        </is>
      </c>
    </row>
    <row r="12" ht="34" customHeight="1">
      <c r="A12" s="13" t="inlineStr">
        <is>
          <t>llms.txt / 明快なsite構造</t>
        </is>
      </c>
      <c r="B12" s="13" t="inlineStr">
        <is>
          <t>AIクローラが要点を取得しやすい</t>
        </is>
      </c>
      <c r="C12" s="13" t="inlineStr">
        <is>
          <t>主要ページ要約のllms.txt設置・内部リンク整理</t>
        </is>
      </c>
      <c r="D12" s="13" t="inlineStr">
        <is>
          <t>サイト全体</t>
        </is>
      </c>
      <c r="E12" s="14" t="inlineStr">
        <is>
          <t>西岡</t>
        </is>
      </c>
      <c r="F12" s="14" t="inlineStr">
        <is>
          <t>低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2026-08-04T17:16:04Z</dcterms:created>
  <dcterms:modified xsi:type="dcterms:W3CDTF">2026-08-04T17:16:04Z</dcterms:modified>
</cp:coreProperties>
</file>